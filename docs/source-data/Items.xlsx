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Item_Mapping" sheetId="2" r:id="rId6"/>
    <sheet state="visible" name="VMS_Products_Helper" sheetId="3" r:id="rId7"/>
    <sheet state="visible" name="Inventory" sheetId="4" r:id="rId8"/>
    <sheet state="visible" name="Inventory_Old" sheetId="5" r:id="rId9"/>
    <sheet state="visible" name="PickRoutes" sheetId="6" r:id="rId10"/>
    <sheet state="visible" name="PickRouteLines" sheetId="7" r:id="rId11"/>
    <sheet state="visible" name="Purchases" sheetId="8" r:id="rId12"/>
    <sheet state="visible" name="PurchaseLines" sheetId="9" r:id="rId13"/>
    <sheet state="visible" name="Locations" sheetId="10" r:id="rId14"/>
    <sheet state="visible" name="MachineRefillLines" sheetId="11" r:id="rId15"/>
    <sheet state="visible" name="Machines" sheetId="12" r:id="rId16"/>
    <sheet state="visible" name="MachineRefills" sheetId="13" r:id="rId17"/>
    <sheet state="visible" name="Operators" sheetId="14" r:id="rId18"/>
    <sheet state="visible" name="OperatorWalletTx" sheetId="15" r:id="rId19"/>
  </sheets>
  <definedNames/>
  <calcPr/>
</workbook>
</file>

<file path=xl/sharedStrings.xml><?xml version="1.0" encoding="utf-8"?>
<sst xmlns="http://schemas.openxmlformats.org/spreadsheetml/2006/main" count="16882" uniqueCount="5328">
  <si>
    <t>Item ID</t>
  </si>
  <si>
    <t>Name</t>
  </si>
  <si>
    <t>Description</t>
  </si>
  <si>
    <t>Image</t>
  </si>
  <si>
    <t>Selling price</t>
  </si>
  <si>
    <t>Purchase price</t>
  </si>
  <si>
    <t>MinStock</t>
  </si>
  <si>
    <t>Importance</t>
  </si>
  <si>
    <t>ProductGroup</t>
  </si>
  <si>
    <t>Barcode</t>
  </si>
  <si>
    <t>UnitsPerBox</t>
  </si>
  <si>
    <t>0087</t>
  </si>
  <si>
    <t>mr.bite strike</t>
  </si>
  <si>
    <t>Items_Images/mr</t>
  </si>
  <si>
    <t>0086</t>
  </si>
  <si>
    <t>Mrbeast</t>
  </si>
  <si>
    <t>Items_Images/mrbeast.jpg</t>
  </si>
  <si>
    <t>Chocolate</t>
  </si>
  <si>
    <t>0083</t>
  </si>
  <si>
    <t>Doritos real</t>
  </si>
  <si>
    <t>0082</t>
  </si>
  <si>
    <t>L suntop</t>
  </si>
  <si>
    <t>Items_Images/suntopL.webp</t>
  </si>
  <si>
    <t>0081</t>
  </si>
  <si>
    <t>Smsm</t>
  </si>
  <si>
    <t>0080</t>
  </si>
  <si>
    <t>Yasmin Penuts</t>
  </si>
  <si>
    <t>0079</t>
  </si>
  <si>
    <t>Yasmin Almonds</t>
  </si>
  <si>
    <t>0078</t>
  </si>
  <si>
    <t>Mulino Cookis</t>
  </si>
  <si>
    <t>0077</t>
  </si>
  <si>
    <t>Saminsa</t>
  </si>
  <si>
    <t>0076</t>
  </si>
  <si>
    <t>koren Indomie</t>
  </si>
  <si>
    <t>Items_Images/bulddk.jpg</t>
  </si>
  <si>
    <t>0075</t>
  </si>
  <si>
    <t>Twix ex</t>
  </si>
  <si>
    <t>0074</t>
  </si>
  <si>
    <t>HiPro</t>
  </si>
  <si>
    <t>Items_Images/hipro.png</t>
  </si>
  <si>
    <t>0073</t>
  </si>
  <si>
    <t>Rani</t>
  </si>
  <si>
    <t>Items_Images/rani.jpg</t>
  </si>
  <si>
    <t>0072</t>
  </si>
  <si>
    <t>Roshetto</t>
  </si>
  <si>
    <t>0071</t>
  </si>
  <si>
    <t>MrCrunch-RingGo</t>
  </si>
  <si>
    <t>Items_Images/0071.Image.160040.jpg</t>
  </si>
  <si>
    <t>0070</t>
  </si>
  <si>
    <t>Indomie</t>
  </si>
  <si>
    <t>Items_Images/indomie.jpg</t>
  </si>
  <si>
    <t>0069</t>
  </si>
  <si>
    <t>ToraBika capp</t>
  </si>
  <si>
    <t>0067</t>
  </si>
  <si>
    <t>Nuts</t>
  </si>
  <si>
    <t>0065</t>
  </si>
  <si>
    <t>Dallas juice</t>
  </si>
  <si>
    <t>Items_Images/0065.Image.142044.jpg</t>
  </si>
  <si>
    <t>0064</t>
  </si>
  <si>
    <t>SunTop Almarai Strawberry</t>
  </si>
  <si>
    <t>Items_Images/0064.Image.142956.jpg</t>
  </si>
  <si>
    <t>0063</t>
  </si>
  <si>
    <t>PopCorn Chocolate</t>
  </si>
  <si>
    <t>0062</t>
  </si>
  <si>
    <t>Jannaty</t>
  </si>
  <si>
    <t>0061</t>
  </si>
  <si>
    <t>Prime</t>
  </si>
  <si>
    <t>Items_Images/prime.jpg</t>
  </si>
  <si>
    <t>0060</t>
  </si>
  <si>
    <t>zigi marinated peanuts</t>
  </si>
  <si>
    <t>0059</t>
  </si>
  <si>
    <t>Toren Dark Chocolate</t>
  </si>
  <si>
    <t>0058</t>
  </si>
  <si>
    <t>Today Chocolate</t>
  </si>
  <si>
    <t>0057</t>
  </si>
  <si>
    <t>ifruit juice</t>
  </si>
  <si>
    <t>0056</t>
  </si>
  <si>
    <t>Bourbon biscuit</t>
  </si>
  <si>
    <t>Items_Images/0056.Image.143628.jpg</t>
  </si>
  <si>
    <t>0055</t>
  </si>
  <si>
    <t>Tropia</t>
  </si>
  <si>
    <t>0054</t>
  </si>
  <si>
    <t>Mirinda apple</t>
  </si>
  <si>
    <t>Items_Images/0054.Image.144938.jpg</t>
  </si>
  <si>
    <t>0053</t>
  </si>
  <si>
    <t>7up</t>
  </si>
  <si>
    <t>Items_Images/7up.jpg</t>
  </si>
  <si>
    <t>0052</t>
  </si>
  <si>
    <t>MR Crunch cheese</t>
  </si>
  <si>
    <t>Items_Images/0052.Image.141102.jpg</t>
  </si>
  <si>
    <t>0051</t>
  </si>
  <si>
    <t>Justo Drink</t>
  </si>
  <si>
    <t>Items_Images/0051.Image.142523.jpg</t>
  </si>
  <si>
    <t>0050</t>
  </si>
  <si>
    <t>Ivsar water</t>
  </si>
  <si>
    <t>0049</t>
  </si>
  <si>
    <t>Haribo</t>
  </si>
  <si>
    <t>Items_Images/0049.Image.163136.jpg</t>
  </si>
  <si>
    <t>0048</t>
  </si>
  <si>
    <t>Kinder bueno1stick</t>
  </si>
  <si>
    <t>0046</t>
  </si>
  <si>
    <t>Chocolate Drink</t>
  </si>
  <si>
    <t>0045</t>
  </si>
  <si>
    <t>Natural Grape</t>
  </si>
  <si>
    <t>0044</t>
  </si>
  <si>
    <t>Caser Juice</t>
  </si>
  <si>
    <t>0043</t>
  </si>
  <si>
    <t>MrCrunch</t>
  </si>
  <si>
    <t>0042</t>
  </si>
  <si>
    <t>Green</t>
  </si>
  <si>
    <t>Items_Images/greencola.jpg</t>
  </si>
  <si>
    <t>0041</t>
  </si>
  <si>
    <t>Pretzels</t>
  </si>
  <si>
    <t>Items_Images/pretzels.jpg</t>
  </si>
  <si>
    <t>0040</t>
  </si>
  <si>
    <t>KitKat</t>
  </si>
  <si>
    <t>Items_Images/kitkat.webp</t>
  </si>
  <si>
    <t>0039</t>
  </si>
  <si>
    <t>Feiny Biscuits</t>
  </si>
  <si>
    <t>0038</t>
  </si>
  <si>
    <t>Lovita cookies</t>
  </si>
  <si>
    <t>Items_Images/0038.Image.161358.jpg</t>
  </si>
  <si>
    <t>0037</t>
  </si>
  <si>
    <t>Digestive</t>
  </si>
  <si>
    <t>Items_Images/0037.Image.161157.jpg</t>
  </si>
  <si>
    <t>0036</t>
  </si>
  <si>
    <t>Kunuz Juice</t>
  </si>
  <si>
    <t>Items_Images/kunuz.jpeg</t>
  </si>
  <si>
    <t>0035</t>
  </si>
  <si>
    <t>Sirma</t>
  </si>
  <si>
    <t>0033</t>
  </si>
  <si>
    <t>Corissant Karuzo</t>
  </si>
  <si>
    <t>Items_Images/karuzo.jpg</t>
  </si>
  <si>
    <t>0032</t>
  </si>
  <si>
    <t>SunTop Almarai Chocolate</t>
  </si>
  <si>
    <t>Items_Images/0032.Image.142846.jpg</t>
  </si>
  <si>
    <t>0031</t>
  </si>
  <si>
    <t>Rauch Drink</t>
  </si>
  <si>
    <t>0030</t>
  </si>
  <si>
    <t>Mars</t>
  </si>
  <si>
    <t>Items_Images/mars.jpg</t>
  </si>
  <si>
    <t>0029</t>
  </si>
  <si>
    <t>Pepsi</t>
  </si>
  <si>
    <t>Items_Images/pepsi.jpg</t>
  </si>
  <si>
    <t>0028</t>
  </si>
  <si>
    <t>Snickers</t>
  </si>
  <si>
    <t>Items_Images/0028.Image.144401.jpg</t>
  </si>
  <si>
    <t>0027</t>
  </si>
  <si>
    <t>Gardena</t>
  </si>
  <si>
    <t>Items_Images/0027.Image.220057.jpg</t>
  </si>
  <si>
    <t>0026</t>
  </si>
  <si>
    <t>Bounty</t>
  </si>
  <si>
    <t>Items_Images/bounty.jpg</t>
  </si>
  <si>
    <t>0025</t>
  </si>
  <si>
    <t>Twix</t>
  </si>
  <si>
    <t>Items_Images/0025.Image.144117.jpg</t>
  </si>
  <si>
    <t>0024</t>
  </si>
  <si>
    <t>kinder delice</t>
  </si>
  <si>
    <t>0023</t>
  </si>
  <si>
    <t>Freez</t>
  </si>
  <si>
    <t>Items_Images/freez.jpeg</t>
  </si>
  <si>
    <t>0022</t>
  </si>
  <si>
    <t>bonart</t>
  </si>
  <si>
    <t>Items_Images/bonart.jpeg</t>
  </si>
  <si>
    <t>0021</t>
  </si>
  <si>
    <t>Laviva</t>
  </si>
  <si>
    <t>Items_Images/0021.Image.143044.jpg</t>
  </si>
  <si>
    <t>0020</t>
  </si>
  <si>
    <t>mm</t>
  </si>
  <si>
    <t>Items_Images/m&amp;m.jpg</t>
  </si>
  <si>
    <t>0019</t>
  </si>
  <si>
    <t>mr bite</t>
  </si>
  <si>
    <t>Items_Images/mrbite.jpeg</t>
  </si>
  <si>
    <t>0018</t>
  </si>
  <si>
    <t>Takis</t>
  </si>
  <si>
    <t>Items_Images/0018.Image.100026.jpg</t>
  </si>
  <si>
    <t>0017</t>
  </si>
  <si>
    <t>Doritos Dinamita</t>
  </si>
  <si>
    <t>Items_Images/doritos_dinamita.jpg</t>
  </si>
  <si>
    <t>0016</t>
  </si>
  <si>
    <t>wafe'up</t>
  </si>
  <si>
    <t>Items_Images/wafeup.jpg</t>
  </si>
  <si>
    <t>0015</t>
  </si>
  <si>
    <t>kinza lemon</t>
  </si>
  <si>
    <t>Items_Images/0015.Image.143447.jpg</t>
  </si>
  <si>
    <t>0014</t>
  </si>
  <si>
    <t>Kinder Bueno</t>
  </si>
  <si>
    <t>Items_Images/bueno.webp</t>
  </si>
  <si>
    <t>0012</t>
  </si>
  <si>
    <t>sunTop</t>
  </si>
  <si>
    <t>Items_Images/suntop.jpg</t>
  </si>
  <si>
    <t>0011</t>
  </si>
  <si>
    <t>X!R</t>
  </si>
  <si>
    <t>Items_Images/0011.Image.142239.jpg</t>
  </si>
  <si>
    <t>0010</t>
  </si>
  <si>
    <t>Skittles</t>
  </si>
  <si>
    <t>Items_Images/0010.Image.145400.jpg</t>
  </si>
  <si>
    <t>0009</t>
  </si>
  <si>
    <t>Pepsi 500ml</t>
  </si>
  <si>
    <t>0008</t>
  </si>
  <si>
    <t>Xo Energy</t>
  </si>
  <si>
    <t>0006</t>
  </si>
  <si>
    <t>Tiger *12 cheese</t>
  </si>
  <si>
    <t>Items_Images/0006.Image.135345.jpg</t>
  </si>
  <si>
    <t>Tiger</t>
  </si>
  <si>
    <t>0005</t>
  </si>
  <si>
    <t>Schweppes</t>
  </si>
  <si>
    <t>Items_Images/0005.Image.134253.jpg</t>
  </si>
  <si>
    <t>0004</t>
  </si>
  <si>
    <t>Skittles drink</t>
  </si>
  <si>
    <t>0003</t>
  </si>
  <si>
    <t>Maltesers</t>
  </si>
  <si>
    <t>Items_Images/maltesers.jpg</t>
  </si>
  <si>
    <t>0002</t>
  </si>
  <si>
    <t>Water</t>
  </si>
  <si>
    <t>Items_Images/water.jpg</t>
  </si>
  <si>
    <t>0001</t>
  </si>
  <si>
    <t>Doritos</t>
  </si>
  <si>
    <t>Items_Images/doritos.avif</t>
  </si>
  <si>
    <t>e7e30487</t>
  </si>
  <si>
    <t>Tiger paprika</t>
  </si>
  <si>
    <t>Items_Images/e7e30487.Image.135619.jpg</t>
  </si>
  <si>
    <t>52c15a06</t>
  </si>
  <si>
    <t>Tiger kebab</t>
  </si>
  <si>
    <t>Items_Images/52c15a06.Image.135645.jpg</t>
  </si>
  <si>
    <t>9f3ec79c</t>
  </si>
  <si>
    <t>Tiger chili and lemon</t>
  </si>
  <si>
    <t>Items_Images/9f3ec79c.Image.135723.jpg</t>
  </si>
  <si>
    <t>492147d3</t>
  </si>
  <si>
    <t>Tiger tomato</t>
  </si>
  <si>
    <t>Items_Images/492147d3.Image.135753.jpg</t>
  </si>
  <si>
    <t>e509f31d</t>
  </si>
  <si>
    <t>Tiger sweet chili</t>
  </si>
  <si>
    <t>Items_Images/e509f31d.Image.135841.jpg</t>
  </si>
  <si>
    <t>308fcfb2</t>
  </si>
  <si>
    <t>MR Crunch Crunchy fries</t>
  </si>
  <si>
    <t>Items_Images/308fcfb2.Image.141308.jpg</t>
  </si>
  <si>
    <t>e28d366b</t>
  </si>
  <si>
    <t>Mr Crunch Veggys</t>
  </si>
  <si>
    <t>Items_Images/e28d366b.Image.141520.jpg</t>
  </si>
  <si>
    <t>6670c5c1</t>
  </si>
  <si>
    <t>Vita go</t>
  </si>
  <si>
    <t>Items_Images/6670c5c1.Image.142625.jpg</t>
  </si>
  <si>
    <t>2a5b5163</t>
  </si>
  <si>
    <t>Coco mix</t>
  </si>
  <si>
    <t>Items_Images/2a5b5163.Image.144243.jpg</t>
  </si>
  <si>
    <t>364fe321</t>
  </si>
  <si>
    <t>Caesar mango</t>
  </si>
  <si>
    <t>Items_Images/364fe321.Image.145621.jpg</t>
  </si>
  <si>
    <t>69692785</t>
  </si>
  <si>
    <t>Bebeto</t>
  </si>
  <si>
    <t>Items_Images/69692785.Image.163406.jpg</t>
  </si>
  <si>
    <t>f3465619</t>
  </si>
  <si>
    <t>Sweeto</t>
  </si>
  <si>
    <t>Items_Images/f3465619.Image.163523.jpg</t>
  </si>
  <si>
    <t>52149040</t>
  </si>
  <si>
    <t>test2</t>
  </si>
  <si>
    <t>Items_Images/52149040.Image.161824.jpg</t>
  </si>
  <si>
    <t>f2959682</t>
  </si>
  <si>
    <t>test</t>
  </si>
  <si>
    <t>Items_Images/f2959682.Image.161830.jpg</t>
  </si>
  <si>
    <t>d0a21a3b</t>
  </si>
  <si>
    <t>Browniz moulin</t>
  </si>
  <si>
    <t>Items_Images/d0a21a3b.Image.104046.jpg</t>
  </si>
  <si>
    <t>d0f577e2</t>
  </si>
  <si>
    <t>Marie biscuit</t>
  </si>
  <si>
    <t>Items_Images/d0f577e2.Image.104133.jpg</t>
  </si>
  <si>
    <t>2f2e7440</t>
  </si>
  <si>
    <t>Crico</t>
  </si>
  <si>
    <t>Items_Images/2f2e7440.Image.104219.png</t>
  </si>
  <si>
    <t>12b96290</t>
  </si>
  <si>
    <t>Doritos nacho</t>
  </si>
  <si>
    <t>Items_Images/12b96290.Image.170453.jpg</t>
  </si>
  <si>
    <t>73c36157</t>
  </si>
  <si>
    <t>Alain mini cola</t>
  </si>
  <si>
    <t>Items_Images/73c36157.Image.160931.jpg</t>
  </si>
  <si>
    <t>cc35c9db</t>
  </si>
  <si>
    <t>Buldak</t>
  </si>
  <si>
    <t>Items_Images/cc35c9db.Image.100127.jpg</t>
  </si>
  <si>
    <t>d5b5f9d1</t>
  </si>
  <si>
    <t>Doritos green hot</t>
  </si>
  <si>
    <t>Items_Images/d5b5f9d1.Image.150625.jpg</t>
  </si>
  <si>
    <t>78233e6f</t>
  </si>
  <si>
    <t>Barbican</t>
  </si>
  <si>
    <t>Items_Images/78233e6f.Image.214441.jpg</t>
  </si>
  <si>
    <t>0af806f8</t>
  </si>
  <si>
    <t>Doritos red hot</t>
  </si>
  <si>
    <t>Items_Images/0af806f8.Image.215944.jpg</t>
  </si>
  <si>
    <t>bb6c2490</t>
  </si>
  <si>
    <t>Mr Crunch Tarbouch</t>
  </si>
  <si>
    <t>Items_Images/bb6c2490.Image.083508.jpg</t>
  </si>
  <si>
    <t>b77b1c64</t>
  </si>
  <si>
    <t>Bonucci souffle</t>
  </si>
  <si>
    <t>Items_Images/b77b1c64.Image.181723.jpg</t>
  </si>
  <si>
    <t>83dd14b5</t>
  </si>
  <si>
    <t>Coach suntop</t>
  </si>
  <si>
    <t>Items_Images/83dd14b5.Image.102839.jpg</t>
  </si>
  <si>
    <t>ccaf1c68</t>
  </si>
  <si>
    <t>Wafer Laviva</t>
  </si>
  <si>
    <t>Items_Images/ccaf1c68.Image.151802.jpg</t>
  </si>
  <si>
    <t>a3f74383</t>
  </si>
  <si>
    <t>Shani</t>
  </si>
  <si>
    <t>Items_Images/a3f74383.Image.131747.jpg</t>
  </si>
  <si>
    <t>ed187a9e</t>
  </si>
  <si>
    <t>X!R  BERRY</t>
  </si>
  <si>
    <t>Items_Images/ed187a9e.Image.133801.jpg</t>
  </si>
  <si>
    <t>bfd1b639</t>
  </si>
  <si>
    <t>Xr mango</t>
  </si>
  <si>
    <t>Items_Images/bfd1b639.Image.133844.jpg</t>
  </si>
  <si>
    <t>b112660a</t>
  </si>
  <si>
    <t>Caesar berry</t>
  </si>
  <si>
    <t>Items_Images/b112660a.Image.134147.jpg</t>
  </si>
  <si>
    <t>649eaeb5</t>
  </si>
  <si>
    <t>Schwppes</t>
  </si>
  <si>
    <t>Items_Images/649eaeb5.Image.134405.jpg</t>
  </si>
  <si>
    <t>f38e69c5</t>
  </si>
  <si>
    <t>Items_Images/f38e69c5.Image.134437.jpg</t>
  </si>
  <si>
    <t>3e9fa8d9</t>
  </si>
  <si>
    <t>Kinza cola</t>
  </si>
  <si>
    <t>Items_Images/3e9fa8d9.Image.135200.jpg</t>
  </si>
  <si>
    <t>27febea6</t>
  </si>
  <si>
    <t>Maxxx chips</t>
  </si>
  <si>
    <t>Items_Images/27febea6.Image.140237.png</t>
  </si>
  <si>
    <t>3945efc9</t>
  </si>
  <si>
    <t>Mulino  oat cookies</t>
  </si>
  <si>
    <t>Items_Images/3945efc9.Image.140530.jpg</t>
  </si>
  <si>
    <t>c099f042</t>
  </si>
  <si>
    <t>Tiger excellence</t>
  </si>
  <si>
    <t>Items_Images/c099f042.Image.140913.jpg</t>
  </si>
  <si>
    <t>cd21eb57</t>
  </si>
  <si>
    <t>Chillax corn chips</t>
  </si>
  <si>
    <t>Items_Images/cd21eb57.Image.141015.jpg</t>
  </si>
  <si>
    <t>b3204174</t>
  </si>
  <si>
    <t>Shocks potato</t>
  </si>
  <si>
    <t>Items_Images/b3204174.Image.141449.png</t>
  </si>
  <si>
    <t>360bd4d4</t>
  </si>
  <si>
    <t>Lexus</t>
  </si>
  <si>
    <t>Items_Images/360bd4d4.Image.142409.png</t>
  </si>
  <si>
    <t>f30d8158</t>
  </si>
  <si>
    <t>Savi stix</t>
  </si>
  <si>
    <t>Items_Images/f30d8158.Image.142437.png</t>
  </si>
  <si>
    <t>cf6c9481</t>
  </si>
  <si>
    <t>Turbo strips</t>
  </si>
  <si>
    <t>Items_Images/cf6c9481.Image.142509.jpg</t>
  </si>
  <si>
    <t>ee3cf870</t>
  </si>
  <si>
    <t>Wellness</t>
  </si>
  <si>
    <t>Items_Images/ee3cf870.Image.143045.jpg</t>
  </si>
  <si>
    <t>7cd3aac7</t>
  </si>
  <si>
    <t>Toblerone</t>
  </si>
  <si>
    <t>Items_Images/7cd3aac7.Image.143652.jpg</t>
  </si>
  <si>
    <t>9d0be7b3</t>
  </si>
  <si>
    <t>Milka choco cow</t>
  </si>
  <si>
    <t>Items_Images/9d0be7b3.Image.143817.jpg</t>
  </si>
  <si>
    <t>0f694cb5</t>
  </si>
  <si>
    <t>Vitrac</t>
  </si>
  <si>
    <t>Items_Images/0f694cb5.Image.144236.png</t>
  </si>
  <si>
    <t>d8e8d66a</t>
  </si>
  <si>
    <t>Shada</t>
  </si>
  <si>
    <t>Items_Images/d8e8d66a.Image.150914.jpg</t>
  </si>
  <si>
    <t>1b6b5ed6</t>
  </si>
  <si>
    <t>Rayhan</t>
  </si>
  <si>
    <t>Items_Images/1b6b5ed6.Image.151431.jpg</t>
  </si>
  <si>
    <t>c80ae9f2</t>
  </si>
  <si>
    <t>Yumi Zak</t>
  </si>
  <si>
    <t>Items_Images/c80ae9f2.Image.143421.jpg</t>
  </si>
  <si>
    <t>1039e79c</t>
  </si>
  <si>
    <t>Activ</t>
  </si>
  <si>
    <t>Items_Images/1039e79c.Image.143553.jpg</t>
  </si>
  <si>
    <t>cb9e809e</t>
  </si>
  <si>
    <t>Sweeto Jelly</t>
  </si>
  <si>
    <t>Items_Images/cb9e809e.Image.163550.jpg</t>
  </si>
  <si>
    <t>a19879cf</t>
  </si>
  <si>
    <t>Galaxy Wafer roll</t>
  </si>
  <si>
    <t>Items_Images/a19879cf.Image.163903.jpg</t>
  </si>
  <si>
    <t>27c8f623</t>
  </si>
  <si>
    <t>Bounty Wafer roll</t>
  </si>
  <si>
    <t>Items_Images/27c8f623.Image.163946.jpg</t>
  </si>
  <si>
    <t>02d86a9b</t>
  </si>
  <si>
    <t>Twix wafer roll</t>
  </si>
  <si>
    <t>Items_Images/02d86a9b.Image.164005.jpg</t>
  </si>
  <si>
    <t>57a5617b</t>
  </si>
  <si>
    <t>Mirinda orange</t>
  </si>
  <si>
    <t>Items_Images/57a5617b.Image.165309.jpg</t>
  </si>
  <si>
    <t>bb4d1bd1</t>
  </si>
  <si>
    <t>Snickers wafer roll</t>
  </si>
  <si>
    <t>Items_Images/bb4d1bd1.Image.165314.jpg</t>
  </si>
  <si>
    <t>406a1fee</t>
  </si>
  <si>
    <t>Mirinda Bitter Soda</t>
  </si>
  <si>
    <t>Items_Images/406a1fee.Image.171214.jpg</t>
  </si>
  <si>
    <t>561399a6</t>
  </si>
  <si>
    <t>Yupi</t>
  </si>
  <si>
    <t>Items_Images/561399a6.Image.173725.jpg</t>
  </si>
  <si>
    <t>e9e2a383</t>
  </si>
  <si>
    <t>Be happy</t>
  </si>
  <si>
    <t>Items_Images/e9e2a383.Image.170336.jpg</t>
  </si>
  <si>
    <t>8ed00567</t>
  </si>
  <si>
    <t>BEM&amp;Bo</t>
  </si>
  <si>
    <t>Items_Images/8ed00567.Image.180908.jpg</t>
  </si>
  <si>
    <t>220a28b9</t>
  </si>
  <si>
    <t>Milka</t>
  </si>
  <si>
    <t>Items_Images/220a28b9.Image.122356.jpg</t>
  </si>
  <si>
    <t>f998044c</t>
  </si>
  <si>
    <t>Kinder schokolade</t>
  </si>
  <si>
    <t>Items_Images/f998044c.Image.122404.jpg</t>
  </si>
  <si>
    <t>70bdbe11</t>
  </si>
  <si>
    <t>Schweppes pineapple</t>
  </si>
  <si>
    <t>Items_Images/70bdbe11.Image.185624.jpg</t>
  </si>
  <si>
    <t>eda833ca</t>
  </si>
  <si>
    <t>Mr crunch normal</t>
  </si>
  <si>
    <t>Items_Images/eda833ca.Image.175706.jpg</t>
  </si>
  <si>
    <t>951a092f</t>
  </si>
  <si>
    <t>Daddy chips</t>
  </si>
  <si>
    <t>Items_Images/951a092f.Image.181907.jpg</t>
  </si>
  <si>
    <t>6c787857</t>
  </si>
  <si>
    <t>Minicco</t>
  </si>
  <si>
    <t>Items_Images/6c787857.Image.150737.jpg</t>
  </si>
  <si>
    <t>7221daf3</t>
  </si>
  <si>
    <t>Items_Images/7221daf3.Image.215201.jpg</t>
  </si>
  <si>
    <t>c22010ef</t>
  </si>
  <si>
    <t>Doritos ketchup jalapeno</t>
  </si>
  <si>
    <t>Items_Images/c22010ef.Image.063449.jpg</t>
  </si>
  <si>
    <t>AppSheet_Item_ID</t>
  </si>
  <si>
    <t>AppSheet_Item_Name</t>
  </si>
  <si>
    <t>Clean Name</t>
  </si>
  <si>
    <t>Name Key</t>
  </si>
  <si>
    <t>mrbeast</t>
  </si>
  <si>
    <t/>
  </si>
  <si>
    <t>doritos real</t>
  </si>
  <si>
    <t>l suntop</t>
  </si>
  <si>
    <t>smsm</t>
  </si>
  <si>
    <t>yasmin penuts</t>
  </si>
  <si>
    <t>yasmin almonds</t>
  </si>
  <si>
    <t>mulino cookis</t>
  </si>
  <si>
    <t>saminsa</t>
  </si>
  <si>
    <t>koren indomie</t>
  </si>
  <si>
    <t>twix ex</t>
  </si>
  <si>
    <t>hipro</t>
  </si>
  <si>
    <t>rani</t>
  </si>
  <si>
    <t>roshetto</t>
  </si>
  <si>
    <t>mrcrunch-ringgo</t>
  </si>
  <si>
    <t>indomie</t>
  </si>
  <si>
    <t>torabika capp</t>
  </si>
  <si>
    <t>nuts</t>
  </si>
  <si>
    <t>dallas juice</t>
  </si>
  <si>
    <t>suntop almarai strawberry</t>
  </si>
  <si>
    <t>popcorn chocolate</t>
  </si>
  <si>
    <t>jannaty</t>
  </si>
  <si>
    <t>prime</t>
  </si>
  <si>
    <t>toren dark chocolate</t>
  </si>
  <si>
    <t>today chocolate</t>
  </si>
  <si>
    <t>bourbon biscuit</t>
  </si>
  <si>
    <t>tropia</t>
  </si>
  <si>
    <t>mirinda apple</t>
  </si>
  <si>
    <t>mr crunch cheese</t>
  </si>
  <si>
    <t>justo drink</t>
  </si>
  <si>
    <t>ivsar water</t>
  </si>
  <si>
    <t>haribo</t>
  </si>
  <si>
    <t>kinder bueno1stick</t>
  </si>
  <si>
    <t>chocolate drink</t>
  </si>
  <si>
    <t>natural grape</t>
  </si>
  <si>
    <t>caser juice</t>
  </si>
  <si>
    <t>mrcrunch</t>
  </si>
  <si>
    <t>green</t>
  </si>
  <si>
    <t>pretzels</t>
  </si>
  <si>
    <t>kitkat</t>
  </si>
  <si>
    <t>feiny biscuits</t>
  </si>
  <si>
    <t>lovita cookies</t>
  </si>
  <si>
    <t>digestive</t>
  </si>
  <si>
    <t>kunuz juice</t>
  </si>
  <si>
    <t>sirma</t>
  </si>
  <si>
    <t>corissant karuzo</t>
  </si>
  <si>
    <t>suntop almarai chocolate</t>
  </si>
  <si>
    <t>rauch drink</t>
  </si>
  <si>
    <t>mars</t>
  </si>
  <si>
    <t>pepsi</t>
  </si>
  <si>
    <t>snickers</t>
  </si>
  <si>
    <t>gardena</t>
  </si>
  <si>
    <t>bounty</t>
  </si>
  <si>
    <t>twix</t>
  </si>
  <si>
    <t>freez</t>
  </si>
  <si>
    <t>laviva</t>
  </si>
  <si>
    <t>takis</t>
  </si>
  <si>
    <t>doritos dinamita</t>
  </si>
  <si>
    <t>kinder bueno</t>
  </si>
  <si>
    <t>suntop</t>
  </si>
  <si>
    <t>x!r</t>
  </si>
  <si>
    <t>skittles</t>
  </si>
  <si>
    <t>pepsi 500ml</t>
  </si>
  <si>
    <t>xo energy</t>
  </si>
  <si>
    <t>tiger *12 cheese</t>
  </si>
  <si>
    <t>schweppes</t>
  </si>
  <si>
    <t>skittles drink</t>
  </si>
  <si>
    <t>maltesers</t>
  </si>
  <si>
    <t>water</t>
  </si>
  <si>
    <t>doritos</t>
  </si>
  <si>
    <t>tiger paprika</t>
  </si>
  <si>
    <t>tiger kebab</t>
  </si>
  <si>
    <t>tiger chili and lemon</t>
  </si>
  <si>
    <t>tiger tomato</t>
  </si>
  <si>
    <t>tiger sweet chili</t>
  </si>
  <si>
    <t>mr crunch crunchy fries</t>
  </si>
  <si>
    <t>mr crunch veggys</t>
  </si>
  <si>
    <t>vita go</t>
  </si>
  <si>
    <t>coco mix</t>
  </si>
  <si>
    <t>caesar mango</t>
  </si>
  <si>
    <t>bebeto</t>
  </si>
  <si>
    <t>sweeto</t>
  </si>
  <si>
    <t>browniz moulin</t>
  </si>
  <si>
    <t>marie biscuit</t>
  </si>
  <si>
    <t>crico</t>
  </si>
  <si>
    <t>doritos nacho</t>
  </si>
  <si>
    <t>alain mini cola</t>
  </si>
  <si>
    <t>buldak</t>
  </si>
  <si>
    <t>doritos green hot</t>
  </si>
  <si>
    <t>barbican</t>
  </si>
  <si>
    <t>doritos red hot</t>
  </si>
  <si>
    <t>mr crunch tarbouch</t>
  </si>
  <si>
    <t>bonucci souffle</t>
  </si>
  <si>
    <t>coach suntop</t>
  </si>
  <si>
    <t>wafer laviva</t>
  </si>
  <si>
    <t>shani</t>
  </si>
  <si>
    <t>x!r berry</t>
  </si>
  <si>
    <t>xr mango</t>
  </si>
  <si>
    <t>caesar berry</t>
  </si>
  <si>
    <t>schwppes</t>
  </si>
  <si>
    <t>kinza cola</t>
  </si>
  <si>
    <t>maxxx chips</t>
  </si>
  <si>
    <t>mulino oat cookies</t>
  </si>
  <si>
    <t>tiger excellence</t>
  </si>
  <si>
    <t>chillax corn chips</t>
  </si>
  <si>
    <t>shocks potato</t>
  </si>
  <si>
    <t>lexus</t>
  </si>
  <si>
    <t>savi stix</t>
  </si>
  <si>
    <t>turbo strips</t>
  </si>
  <si>
    <t>wellness</t>
  </si>
  <si>
    <t>toblerone</t>
  </si>
  <si>
    <t>milka choco cow</t>
  </si>
  <si>
    <t>vitrac</t>
  </si>
  <si>
    <t>shada</t>
  </si>
  <si>
    <t>rayhan</t>
  </si>
  <si>
    <t>yumi zak</t>
  </si>
  <si>
    <t>activ</t>
  </si>
  <si>
    <t>sweeto jelly</t>
  </si>
  <si>
    <t>galaxy wafer roll</t>
  </si>
  <si>
    <t>bounty wafer roll</t>
  </si>
  <si>
    <t>twix wafer roll</t>
  </si>
  <si>
    <t>mirinda orange</t>
  </si>
  <si>
    <t>snickers wafer roll</t>
  </si>
  <si>
    <t>mirinda bitter soda</t>
  </si>
  <si>
    <t>yupi</t>
  </si>
  <si>
    <t>be happy</t>
  </si>
  <si>
    <t>bem&amp;bo</t>
  </si>
  <si>
    <t>milka</t>
  </si>
  <si>
    <t>kinder schokolade</t>
  </si>
  <si>
    <t>schweppes pineapple</t>
  </si>
  <si>
    <t>mr crunch normal</t>
  </si>
  <si>
    <t>daddy chips</t>
  </si>
  <si>
    <t>minicco</t>
  </si>
  <si>
    <t>doritos ketchup jalapeno</t>
  </si>
  <si>
    <t>Inventory ID</t>
  </si>
  <si>
    <t>DateTime</t>
  </si>
  <si>
    <t>Amount</t>
  </si>
  <si>
    <t>SourcePurchaseID</t>
  </si>
  <si>
    <t>LocationID</t>
  </si>
  <si>
    <t>Reason</t>
  </si>
  <si>
    <t>OperatorEmail</t>
  </si>
  <si>
    <t>MachineID</t>
  </si>
  <si>
    <t>RelatedRefillID</t>
  </si>
  <si>
    <t>a2de7383</t>
  </si>
  <si>
    <t>MAIN</t>
  </si>
  <si>
    <t>anasgherfal@gmail.com</t>
  </si>
  <si>
    <t>b8816e1c</t>
  </si>
  <si>
    <t>221920c0</t>
  </si>
  <si>
    <t>f8aa4cc4</t>
  </si>
  <si>
    <t>990d0e76</t>
  </si>
  <si>
    <t>6696660f</t>
  </si>
  <si>
    <t>896c8803</t>
  </si>
  <si>
    <t>dd5616d6</t>
  </si>
  <si>
    <t>74a12150</t>
  </si>
  <si>
    <t>ba5930ad</t>
  </si>
  <si>
    <t>c0422ab4</t>
  </si>
  <si>
    <t>0d7cc23e</t>
  </si>
  <si>
    <t>fc17b57a</t>
  </si>
  <si>
    <t>0cd028fc</t>
  </si>
  <si>
    <t>cfbae1fe</t>
  </si>
  <si>
    <t>6d65039b</t>
  </si>
  <si>
    <t>c6aff753</t>
  </si>
  <si>
    <t>0545c094</t>
  </si>
  <si>
    <t>31ff09fe</t>
  </si>
  <si>
    <t>db21cf1f</t>
  </si>
  <si>
    <t>e7b42511</t>
  </si>
  <si>
    <t>42edc66b</t>
  </si>
  <si>
    <t>8a70271d</t>
  </si>
  <si>
    <t>765458b7</t>
  </si>
  <si>
    <t>a5df8846</t>
  </si>
  <si>
    <t>05b29cf4</t>
  </si>
  <si>
    <t>8c868700</t>
  </si>
  <si>
    <t>b6055385</t>
  </si>
  <si>
    <t>zegallai911@gmail.com</t>
  </si>
  <si>
    <t>42fc3374</t>
  </si>
  <si>
    <t>6afc4cec</t>
  </si>
  <si>
    <t>b18bb8b0</t>
  </si>
  <si>
    <t>bbd6236a</t>
  </si>
  <si>
    <t>843fa583</t>
  </si>
  <si>
    <t>85b1096b</t>
  </si>
  <si>
    <t>7a0084b3</t>
  </si>
  <si>
    <t>dcf5f141</t>
  </si>
  <si>
    <t>8174d233</t>
  </si>
  <si>
    <t>4a7286f4</t>
  </si>
  <si>
    <t>7db5cceb</t>
  </si>
  <si>
    <t>d3bfee7f</t>
  </si>
  <si>
    <t>a6636d75</t>
  </si>
  <si>
    <t>f2fc3485</t>
  </si>
  <si>
    <t>24f3dc13</t>
  </si>
  <si>
    <t>588e71d2</t>
  </si>
  <si>
    <t>1f961ff5</t>
  </si>
  <si>
    <t>c4baf50e</t>
  </si>
  <si>
    <t>bb09feb3</t>
  </si>
  <si>
    <t>1e6cac36</t>
  </si>
  <si>
    <t>4bad21a8</t>
  </si>
  <si>
    <t>771db0b1</t>
  </si>
  <si>
    <t>bc4fa413</t>
  </si>
  <si>
    <t>5c0b42b1</t>
  </si>
  <si>
    <t>604d9434</t>
  </si>
  <si>
    <t>515eb569</t>
  </si>
  <si>
    <t>bd540a24</t>
  </si>
  <si>
    <t>a6121aab</t>
  </si>
  <si>
    <t>24a2cd9e</t>
  </si>
  <si>
    <t>4b3dc21d</t>
  </si>
  <si>
    <t>7d3d7dbf</t>
  </si>
  <si>
    <t>d1f23d0b</t>
  </si>
  <si>
    <t>f18d1be6</t>
  </si>
  <si>
    <t>97cda473</t>
  </si>
  <si>
    <t>312b006e</t>
  </si>
  <si>
    <t>45f6bffb</t>
  </si>
  <si>
    <t>f62073df</t>
  </si>
  <si>
    <t>254d5b01</t>
  </si>
  <si>
    <t>f68d947c</t>
  </si>
  <si>
    <t>38b4361d</t>
  </si>
  <si>
    <t>09f174ab</t>
  </si>
  <si>
    <t>c9864ed0</t>
  </si>
  <si>
    <t>d5ef1776</t>
  </si>
  <si>
    <t>90380702</t>
  </si>
  <si>
    <t>4c0b0ec0</t>
  </si>
  <si>
    <t>e93a3996</t>
  </si>
  <si>
    <t>f23dea83</t>
  </si>
  <si>
    <t>71c5537e</t>
  </si>
  <si>
    <t>25b80b03</t>
  </si>
  <si>
    <t>59fbbb4c</t>
  </si>
  <si>
    <t>4fd283c3</t>
  </si>
  <si>
    <t>982580c9</t>
  </si>
  <si>
    <t>8cebf362</t>
  </si>
  <si>
    <t>ab74bc99</t>
  </si>
  <si>
    <t>567c0b27</t>
  </si>
  <si>
    <t>b034b138</t>
  </si>
  <si>
    <t>fa7935df</t>
  </si>
  <si>
    <t>04f20028</t>
  </si>
  <si>
    <t>6012ae73</t>
  </si>
  <si>
    <t>58748be6</t>
  </si>
  <si>
    <t>dbe7e884</t>
  </si>
  <si>
    <t>82aa0598</t>
  </si>
  <si>
    <t>37b29fa8</t>
  </si>
  <si>
    <t>3a1acd45</t>
  </si>
  <si>
    <t>1a6d9b04</t>
  </si>
  <si>
    <t>44db3bcc</t>
  </si>
  <si>
    <t>08603a38</t>
  </si>
  <si>
    <t>5bbefc58</t>
  </si>
  <si>
    <t>e1feffb1</t>
  </si>
  <si>
    <t>9bfba582</t>
  </si>
  <si>
    <t>1b2c29a6</t>
  </si>
  <si>
    <t>1e9f50c0</t>
  </si>
  <si>
    <t>1172aa26</t>
  </si>
  <si>
    <t>4ba079fb</t>
  </si>
  <si>
    <t>032d03f5</t>
  </si>
  <si>
    <t>ffe8d1fc</t>
  </si>
  <si>
    <t>78bf660c</t>
  </si>
  <si>
    <t>2000653e</t>
  </si>
  <si>
    <t>33d6aa86</t>
  </si>
  <si>
    <t>a5671efb</t>
  </si>
  <si>
    <t>9ca7073d</t>
  </si>
  <si>
    <t>ee72e553</t>
  </si>
  <si>
    <t>44faee1c</t>
  </si>
  <si>
    <t>0709224d</t>
  </si>
  <si>
    <t>e92040c3</t>
  </si>
  <si>
    <t>a94ab7af</t>
  </si>
  <si>
    <t>f5ce98dd</t>
  </si>
  <si>
    <t>325591f7</t>
  </si>
  <si>
    <t>c757789d</t>
  </si>
  <si>
    <t>2770416e</t>
  </si>
  <si>
    <t>ce10e9e5</t>
  </si>
  <si>
    <t>ccc20938</t>
  </si>
  <si>
    <t>42a68c91</t>
  </si>
  <si>
    <t>a518e6ea</t>
  </si>
  <si>
    <t>a2e90dfb</t>
  </si>
  <si>
    <t>ad157a36</t>
  </si>
  <si>
    <t>ae6083ea</t>
  </si>
  <si>
    <t>90ff3450</t>
  </si>
  <si>
    <t>3f58795d</t>
  </si>
  <si>
    <t>c71a7404</t>
  </si>
  <si>
    <t>56d24e71</t>
  </si>
  <si>
    <t>ef07a395</t>
  </si>
  <si>
    <t>d1750f5c</t>
  </si>
  <si>
    <t>6077a763</t>
  </si>
  <si>
    <t>162b8673</t>
  </si>
  <si>
    <t>03428c4c</t>
  </si>
  <si>
    <t>ede98773</t>
  </si>
  <si>
    <t>1af2d686</t>
  </si>
  <si>
    <t>23576cd2</t>
  </si>
  <si>
    <t>26015e2d</t>
  </si>
  <si>
    <t>5303657e</t>
  </si>
  <si>
    <t>4d870448</t>
  </si>
  <si>
    <t>6d73e588</t>
  </si>
  <si>
    <t>69213db0</t>
  </si>
  <si>
    <t>a7664fb8</t>
  </si>
  <si>
    <t>2f6379c0</t>
  </si>
  <si>
    <t>35668862</t>
  </si>
  <si>
    <t>65ae54e9</t>
  </si>
  <si>
    <t>1e8e1725</t>
  </si>
  <si>
    <t>c59e3ce7</t>
  </si>
  <si>
    <t>205b5873</t>
  </si>
  <si>
    <t>b72e6521</t>
  </si>
  <si>
    <t>ca0251f2</t>
  </si>
  <si>
    <t>cc6aacfd</t>
  </si>
  <si>
    <t>2b1eb431</t>
  </si>
  <si>
    <t>f9886766</t>
  </si>
  <si>
    <t>feff7c62</t>
  </si>
  <si>
    <t>d20a2791</t>
  </si>
  <si>
    <t>44ccb44b</t>
  </si>
  <si>
    <t>6b97f17b</t>
  </si>
  <si>
    <t>9622f3da</t>
  </si>
  <si>
    <t>1d5a665e</t>
  </si>
  <si>
    <t>9b25735d</t>
  </si>
  <si>
    <t>659a566e</t>
  </si>
  <si>
    <t>0f38d54e</t>
  </si>
  <si>
    <t>9efe4e85</t>
  </si>
  <si>
    <t>751eeef6</t>
  </si>
  <si>
    <t>a16451b0</t>
  </si>
  <si>
    <t>c3671a86</t>
  </si>
  <si>
    <t>2a775865</t>
  </si>
  <si>
    <t>9f6206c5</t>
  </si>
  <si>
    <t>d7af1ab2</t>
  </si>
  <si>
    <t>ff43d5b4</t>
  </si>
  <si>
    <t>2c4eca00</t>
  </si>
  <si>
    <t>35863b23</t>
  </si>
  <si>
    <t>2766680f</t>
  </si>
  <si>
    <t>1852b4df</t>
  </si>
  <si>
    <t>2ea543e6</t>
  </si>
  <si>
    <t>7eab0772</t>
  </si>
  <si>
    <t>774c1392</t>
  </si>
  <si>
    <t>b4246b21</t>
  </si>
  <si>
    <t>a0051cb6</t>
  </si>
  <si>
    <t>9374a76d</t>
  </si>
  <si>
    <t>3909be96</t>
  </si>
  <si>
    <t>c6b85e48</t>
  </si>
  <si>
    <t>732b60e5</t>
  </si>
  <si>
    <t>acea088b</t>
  </si>
  <si>
    <t>88364d64</t>
  </si>
  <si>
    <t>6266946e</t>
  </si>
  <si>
    <t>f3b05dc0</t>
  </si>
  <si>
    <t>3962879d</t>
  </si>
  <si>
    <t>4316d6a0</t>
  </si>
  <si>
    <t>430bc77a</t>
  </si>
  <si>
    <t>9673a519</t>
  </si>
  <si>
    <t>ed703c0e</t>
  </si>
  <si>
    <t>716fa340</t>
  </si>
  <si>
    <t>e29165d6</t>
  </si>
  <si>
    <t>165a4e26</t>
  </si>
  <si>
    <t>c0400872</t>
  </si>
  <si>
    <t>9b9c9f9e</t>
  </si>
  <si>
    <t>2a8facba</t>
  </si>
  <si>
    <t>84452d00</t>
  </si>
  <si>
    <t>a68b5fd8</t>
  </si>
  <si>
    <t>b640e061</t>
  </si>
  <si>
    <t>969c4fff</t>
  </si>
  <si>
    <t>26c1a81a</t>
  </si>
  <si>
    <t>30ea4035</t>
  </si>
  <si>
    <t>b62a3bf7</t>
  </si>
  <si>
    <t>157e4b91</t>
  </si>
  <si>
    <t>f9beda82</t>
  </si>
  <si>
    <t>fea98f62</t>
  </si>
  <si>
    <t>ec56984b</t>
  </si>
  <si>
    <t>c88c01cc</t>
  </si>
  <si>
    <t>ed0842c0</t>
  </si>
  <si>
    <t>847df8eb</t>
  </si>
  <si>
    <t>f72b6d6b</t>
  </si>
  <si>
    <t>c5bd588a</t>
  </si>
  <si>
    <t>706c41b9</t>
  </si>
  <si>
    <t>f0aafe20</t>
  </si>
  <si>
    <t>94707de0</t>
  </si>
  <si>
    <t>d2ba047b</t>
  </si>
  <si>
    <t>4aefdbfc</t>
  </si>
  <si>
    <t>cbc2ca64</t>
  </si>
  <si>
    <t>6af673be</t>
  </si>
  <si>
    <t>784d9d44</t>
  </si>
  <si>
    <t>17986214</t>
  </si>
  <si>
    <t>4856e0a1</t>
  </si>
  <si>
    <t>e6d7d2de</t>
  </si>
  <si>
    <t>309dd432</t>
  </si>
  <si>
    <t>9bbc11e2</t>
  </si>
  <si>
    <t>fdb78374</t>
  </si>
  <si>
    <t>49f5478c</t>
  </si>
  <si>
    <t>5a5a650a</t>
  </si>
  <si>
    <t>63cbcd68</t>
  </si>
  <si>
    <t>e2d52b6e</t>
  </si>
  <si>
    <t>47a7a96b</t>
  </si>
  <si>
    <t>05d52f6a</t>
  </si>
  <si>
    <t>8801757a</t>
  </si>
  <si>
    <t>2634344e</t>
  </si>
  <si>
    <t>b466716b</t>
  </si>
  <si>
    <t>d5e7cde7</t>
  </si>
  <si>
    <t>bcb645b2</t>
  </si>
  <si>
    <t>4dd5019e</t>
  </si>
  <si>
    <t>d070aca7</t>
  </si>
  <si>
    <t>269b006b</t>
  </si>
  <si>
    <t>55c166f9</t>
  </si>
  <si>
    <t>f4c3c81f</t>
  </si>
  <si>
    <t>763fa4e6</t>
  </si>
  <si>
    <t>3e3116af</t>
  </si>
  <si>
    <t>3d402672</t>
  </si>
  <si>
    <t>15ac6d84</t>
  </si>
  <si>
    <t>d2e3acd8</t>
  </si>
  <si>
    <t>e9a935a1</t>
  </si>
  <si>
    <t>a10ab086</t>
  </si>
  <si>
    <t>108e4ad7</t>
  </si>
  <si>
    <t>ba451ae8</t>
  </si>
  <si>
    <t>5fe7ded3</t>
  </si>
  <si>
    <t>28fa1c30</t>
  </si>
  <si>
    <t>542352b3</t>
  </si>
  <si>
    <t>6696ecef</t>
  </si>
  <si>
    <t>43cfc43f</t>
  </si>
  <si>
    <t>8d9cc659</t>
  </si>
  <si>
    <t>9409367f</t>
  </si>
  <si>
    <t>a59a1825</t>
  </si>
  <si>
    <t>12ce2cf4</t>
  </si>
  <si>
    <t>c798069a</t>
  </si>
  <si>
    <t>4d3f0f6d</t>
  </si>
  <si>
    <t>1fa2c700</t>
  </si>
  <si>
    <t>23ee11d3</t>
  </si>
  <si>
    <t>f88b06a0</t>
  </si>
  <si>
    <t>010c39f1</t>
  </si>
  <si>
    <t>c8218b90</t>
  </si>
  <si>
    <t>9e2f1deb</t>
  </si>
  <si>
    <t>bec7020c</t>
  </si>
  <si>
    <t>9e4de790</t>
  </si>
  <si>
    <t>34699dfd</t>
  </si>
  <si>
    <t>a532c944</t>
  </si>
  <si>
    <t>d81174a5</t>
  </si>
  <si>
    <t>bd11c1a0</t>
  </si>
  <si>
    <t>760fd9cb</t>
  </si>
  <si>
    <t>66aba7ea</t>
  </si>
  <si>
    <t>8d5a6383</t>
  </si>
  <si>
    <t>c1a92c15</t>
  </si>
  <si>
    <t>073e34ca</t>
  </si>
  <si>
    <t>bf4a2aac</t>
  </si>
  <si>
    <t>fb4859cc</t>
  </si>
  <si>
    <t>2184d805</t>
  </si>
  <si>
    <t>5ceaad74</t>
  </si>
  <si>
    <t>3ac56233</t>
  </si>
  <si>
    <t>6ce65d56</t>
  </si>
  <si>
    <t>918193d2</t>
  </si>
  <si>
    <t>e6061ec0</t>
  </si>
  <si>
    <t>a2c0a68e</t>
  </si>
  <si>
    <t>c0b5434b</t>
  </si>
  <si>
    <t>447841a1</t>
  </si>
  <si>
    <t>9c17ac39</t>
  </si>
  <si>
    <t>524cbc07</t>
  </si>
  <si>
    <t>d552ac47</t>
  </si>
  <si>
    <t>1db48049</t>
  </si>
  <si>
    <t>c6fe5b54</t>
  </si>
  <si>
    <t>6bb7f49a</t>
  </si>
  <si>
    <t>15bc051a</t>
  </si>
  <si>
    <t>acdac358</t>
  </si>
  <si>
    <t>90cdcc40</t>
  </si>
  <si>
    <t>a55102e2</t>
  </si>
  <si>
    <t>699bb18e</t>
  </si>
  <si>
    <t>dd6dcbf9</t>
  </si>
  <si>
    <t>e7e44c95</t>
  </si>
  <si>
    <t>ebedd0b7</t>
  </si>
  <si>
    <t>081080d2</t>
  </si>
  <si>
    <t>0fdd0211</t>
  </si>
  <si>
    <t>f88ad674</t>
  </si>
  <si>
    <t>0f46325d</t>
  </si>
  <si>
    <t>5edb299b</t>
  </si>
  <si>
    <t>275b5608</t>
  </si>
  <si>
    <t>49752419</t>
  </si>
  <si>
    <t>1b868571</t>
  </si>
  <si>
    <t>5911af10</t>
  </si>
  <si>
    <t>0a5a2480</t>
  </si>
  <si>
    <t>49fb4745</t>
  </si>
  <si>
    <t>ff60464a</t>
  </si>
  <si>
    <t>bef5de38</t>
  </si>
  <si>
    <t>a44c8ca9</t>
  </si>
  <si>
    <t>2a41aeae</t>
  </si>
  <si>
    <t>5a06a350</t>
  </si>
  <si>
    <t>55f964cd</t>
  </si>
  <si>
    <t>4fc1b920</t>
  </si>
  <si>
    <t>5d03ca54</t>
  </si>
  <si>
    <t>14ff236f</t>
  </si>
  <si>
    <t>b19189c2</t>
  </si>
  <si>
    <t>973d8164</t>
  </si>
  <si>
    <t>a4d1aff8</t>
  </si>
  <si>
    <t>e9688893</t>
  </si>
  <si>
    <t>e7e7565f</t>
  </si>
  <si>
    <t>330d56f3</t>
  </si>
  <si>
    <t>a40ccabc</t>
  </si>
  <si>
    <t>91c2338a</t>
  </si>
  <si>
    <t>bcb95171</t>
  </si>
  <si>
    <t>d0f50a49</t>
  </si>
  <si>
    <t>be2fe505</t>
  </si>
  <si>
    <t>2fc96265</t>
  </si>
  <si>
    <t>5f9fc030</t>
  </si>
  <si>
    <t>b1f85d30</t>
  </si>
  <si>
    <t>50929837</t>
  </si>
  <si>
    <t>e12952ad</t>
  </si>
  <si>
    <t>7c315092</t>
  </si>
  <si>
    <t>beccdecb</t>
  </si>
  <si>
    <t>9dc168f3</t>
  </si>
  <si>
    <t>98686e6d</t>
  </si>
  <si>
    <t>5fe44a22</t>
  </si>
  <si>
    <t>666228c0</t>
  </si>
  <si>
    <t>3d4744d1</t>
  </si>
  <si>
    <t>a02d1fa8</t>
  </si>
  <si>
    <t>45f8bb52</t>
  </si>
  <si>
    <t>24f2992a</t>
  </si>
  <si>
    <t>e2ba8b04</t>
  </si>
  <si>
    <t>49781d38</t>
  </si>
  <si>
    <t>7ca7412d</t>
  </si>
  <si>
    <t>25aef0dc</t>
  </si>
  <si>
    <t>2492fe4c</t>
  </si>
  <si>
    <t>e44fac19</t>
  </si>
  <si>
    <t>3baaa0fc</t>
  </si>
  <si>
    <t>fa326fde</t>
  </si>
  <si>
    <t>a919ab71</t>
  </si>
  <si>
    <t>a060cc72</t>
  </si>
  <si>
    <t>a08008d9</t>
  </si>
  <si>
    <t>4d8053dc</t>
  </si>
  <si>
    <t>9deae075</t>
  </si>
  <si>
    <t>f1314e9b</t>
  </si>
  <si>
    <t>a708a46e</t>
  </si>
  <si>
    <t>e4512f62</t>
  </si>
  <si>
    <t>58babd32</t>
  </si>
  <si>
    <t>58f0f51e</t>
  </si>
  <si>
    <t>d1e87efb</t>
  </si>
  <si>
    <t>b9137303</t>
  </si>
  <si>
    <t>8fe7beb3</t>
  </si>
  <si>
    <t>7f946ecb</t>
  </si>
  <si>
    <t>2200b6da</t>
  </si>
  <si>
    <t>349617f1</t>
  </si>
  <si>
    <t>a6d9735f</t>
  </si>
  <si>
    <t>edecceb3</t>
  </si>
  <si>
    <t>09172c41</t>
  </si>
  <si>
    <t>30ca239d</t>
  </si>
  <si>
    <t>0f912aab</t>
  </si>
  <si>
    <t>eb2747f5</t>
  </si>
  <si>
    <t>43f4b2f6</t>
  </si>
  <si>
    <t>3957543f</t>
  </si>
  <si>
    <t>aa8dd9f0</t>
  </si>
  <si>
    <t>dd27904f</t>
  </si>
  <si>
    <t>35cb0a30</t>
  </si>
  <si>
    <t>cfa5e5cc</t>
  </si>
  <si>
    <t>923c30f4</t>
  </si>
  <si>
    <t>0daf6c1c</t>
  </si>
  <si>
    <t>fd017c96</t>
  </si>
  <si>
    <t>8cd0286a</t>
  </si>
  <si>
    <t>7b843ac3</t>
  </si>
  <si>
    <t>63bda8f0</t>
  </si>
  <si>
    <t>b2a49ccc</t>
  </si>
  <si>
    <t>f00c0ff5</t>
  </si>
  <si>
    <t>03e2b8ce</t>
  </si>
  <si>
    <t>a9f64be7</t>
  </si>
  <si>
    <t>1b3107e7</t>
  </si>
  <si>
    <t>699ad05d</t>
  </si>
  <si>
    <t>79b5623b</t>
  </si>
  <si>
    <t>db31e3f8</t>
  </si>
  <si>
    <t>a93d91bf</t>
  </si>
  <si>
    <t>e5fb83ab</t>
  </si>
  <si>
    <t>abb85757</t>
  </si>
  <si>
    <t>03e41aae</t>
  </si>
  <si>
    <t>085a434a</t>
  </si>
  <si>
    <t>63588ef5</t>
  </si>
  <si>
    <t>8282fd04</t>
  </si>
  <si>
    <t>3068b698</t>
  </si>
  <si>
    <t>971a454d</t>
  </si>
  <si>
    <t>f4c15288</t>
  </si>
  <si>
    <t>159d567d</t>
  </si>
  <si>
    <t>d6f30136</t>
  </si>
  <si>
    <t>057f747e</t>
  </si>
  <si>
    <t>e420d6a9</t>
  </si>
  <si>
    <t>a2f2a104</t>
  </si>
  <si>
    <t>fbd124cf</t>
  </si>
  <si>
    <t>7b3d0de8</t>
  </si>
  <si>
    <t>73be1089</t>
  </si>
  <si>
    <t>82c76ea5</t>
  </si>
  <si>
    <t>ae276613</t>
  </si>
  <si>
    <t>6f5eb0c4</t>
  </si>
  <si>
    <t>dfd51b17</t>
  </si>
  <si>
    <t>333a09fb</t>
  </si>
  <si>
    <t>fb5846a5</t>
  </si>
  <si>
    <t>5a12b8f0</t>
  </si>
  <si>
    <t>96191318</t>
  </si>
  <si>
    <t>05222d0f</t>
  </si>
  <si>
    <t>2b3c5003</t>
  </si>
  <si>
    <t>11d9e895</t>
  </si>
  <si>
    <t>c477e20c</t>
  </si>
  <si>
    <t>4ab0f9da</t>
  </si>
  <si>
    <t>d457c0db</t>
  </si>
  <si>
    <t>ec91bffb</t>
  </si>
  <si>
    <t>3d3ad911</t>
  </si>
  <si>
    <t>d5e25325</t>
  </si>
  <si>
    <t>652c6932</t>
  </si>
  <si>
    <t>991565f4</t>
  </si>
  <si>
    <t>95ffb638</t>
  </si>
  <si>
    <t>9bf2e775</t>
  </si>
  <si>
    <t>e7607f0c</t>
  </si>
  <si>
    <t>326d90ff</t>
  </si>
  <si>
    <t>38fedbc2</t>
  </si>
  <si>
    <t>a16b27e4</t>
  </si>
  <si>
    <t>9af13720</t>
  </si>
  <si>
    <t>fd0fec37</t>
  </si>
  <si>
    <t>ffd4b39a</t>
  </si>
  <si>
    <t>fc2be9b9</t>
  </si>
  <si>
    <t>54e9c269</t>
  </si>
  <si>
    <t>433dd279</t>
  </si>
  <si>
    <t>81d367bc</t>
  </si>
  <si>
    <t>01d91884</t>
  </si>
  <si>
    <t>3aa56196</t>
  </si>
  <si>
    <t>1157128a</t>
  </si>
  <si>
    <t>857d2cb5</t>
  </si>
  <si>
    <t>2db08346</t>
  </si>
  <si>
    <t>40a69234</t>
  </si>
  <si>
    <t>783da5b7</t>
  </si>
  <si>
    <t>3161beb2</t>
  </si>
  <si>
    <t>5454bd03</t>
  </si>
  <si>
    <t>79bf18cb</t>
  </si>
  <si>
    <t>81cc095e</t>
  </si>
  <si>
    <t>452b5783</t>
  </si>
  <si>
    <t>4622f4f7</t>
  </si>
  <si>
    <t>3dfe7f8b</t>
  </si>
  <si>
    <t>6f273cc4</t>
  </si>
  <si>
    <t>744b7567</t>
  </si>
  <si>
    <t>7a63c589</t>
  </si>
  <si>
    <t>57097fac</t>
  </si>
  <si>
    <t>cdf95d0a</t>
  </si>
  <si>
    <t>d3b6a8e3</t>
  </si>
  <si>
    <t>9404025f</t>
  </si>
  <si>
    <t>8d6ab26e</t>
  </si>
  <si>
    <t>d9bbc6e4</t>
  </si>
  <si>
    <t>c9a7d7ca</t>
  </si>
  <si>
    <t>0d8c2d42</t>
  </si>
  <si>
    <t>1bbb9f81</t>
  </si>
  <si>
    <t>2497f919</t>
  </si>
  <si>
    <t>7416ec27</t>
  </si>
  <si>
    <t>b2dd8b2b</t>
  </si>
  <si>
    <t>41d67828</t>
  </si>
  <si>
    <t>3ee8bab8</t>
  </si>
  <si>
    <t>69ee82d6</t>
  </si>
  <si>
    <t>7ed54d3c</t>
  </si>
  <si>
    <t>7265bcb7</t>
  </si>
  <si>
    <t>fbf8c7f4</t>
  </si>
  <si>
    <t>b3936765</t>
  </si>
  <si>
    <t>45fbd641</t>
  </si>
  <si>
    <t>9a29fdd8</t>
  </si>
  <si>
    <t>dafbba06</t>
  </si>
  <si>
    <t>1ea7445e</t>
  </si>
  <si>
    <t>acc8ddb2</t>
  </si>
  <si>
    <t>50be5525</t>
  </si>
  <si>
    <t>7a3cdca3</t>
  </si>
  <si>
    <t>ee0b0e19</t>
  </si>
  <si>
    <t>6f1569a3</t>
  </si>
  <si>
    <t>d80f820a</t>
  </si>
  <si>
    <t>86110833</t>
  </si>
  <si>
    <t>be4e01f6</t>
  </si>
  <si>
    <t>6ad8ab76</t>
  </si>
  <si>
    <t>7ec42d40</t>
  </si>
  <si>
    <t>6df4fb71</t>
  </si>
  <si>
    <t>9a045650</t>
  </si>
  <si>
    <t>cfde6ba4</t>
  </si>
  <si>
    <t>c6faff30</t>
  </si>
  <si>
    <t>4fa6ebff</t>
  </si>
  <si>
    <t>ee77fa0e</t>
  </si>
  <si>
    <t>403219bf</t>
  </si>
  <si>
    <t>e0d99876</t>
  </si>
  <si>
    <t>3ffa282d</t>
  </si>
  <si>
    <t>df682cb5</t>
  </si>
  <si>
    <t>98fb2f0d</t>
  </si>
  <si>
    <t>797329be</t>
  </si>
  <si>
    <t>aa3d0322</t>
  </si>
  <si>
    <t>70d33f63</t>
  </si>
  <si>
    <t>5b4d9c35</t>
  </si>
  <si>
    <t>84ab48f5</t>
  </si>
  <si>
    <t>21834735</t>
  </si>
  <si>
    <t>d5852622</t>
  </si>
  <si>
    <t>c6df0609</t>
  </si>
  <si>
    <t>0320c79d</t>
  </si>
  <si>
    <t>6d7de0c6</t>
  </si>
  <si>
    <t>32cc0937</t>
  </si>
  <si>
    <t>44572cc8</t>
  </si>
  <si>
    <t>d4a1c9ba</t>
  </si>
  <si>
    <t>fb1549ca</t>
  </si>
  <si>
    <t>7eeb7f20</t>
  </si>
  <si>
    <t>8beccc50</t>
  </si>
  <si>
    <t>90c6d0ad</t>
  </si>
  <si>
    <t>c335eabe</t>
  </si>
  <si>
    <t>67068202</t>
  </si>
  <si>
    <t>899c79c2</t>
  </si>
  <si>
    <t>1fca86d4</t>
  </si>
  <si>
    <t>68734d17</t>
  </si>
  <si>
    <t>1efe232a</t>
  </si>
  <si>
    <t>207f7615</t>
  </si>
  <si>
    <t>22d1a727</t>
  </si>
  <si>
    <t>741dd58a</t>
  </si>
  <si>
    <t>ec36187c</t>
  </si>
  <si>
    <t>e6146150</t>
  </si>
  <si>
    <t>363765dc</t>
  </si>
  <si>
    <t>bee4a101</t>
  </si>
  <si>
    <t>197a11a4</t>
  </si>
  <si>
    <t>21b46ffd</t>
  </si>
  <si>
    <t>a80b20bf</t>
  </si>
  <si>
    <t>87b18d2c</t>
  </si>
  <si>
    <t>f2c30442</t>
  </si>
  <si>
    <t>b7ad02f0</t>
  </si>
  <si>
    <t>cb0cf2d6</t>
  </si>
  <si>
    <t>b91cb8a6</t>
  </si>
  <si>
    <t>8d4f516e</t>
  </si>
  <si>
    <t>bd2699d6</t>
  </si>
  <si>
    <t>55f52ff6</t>
  </si>
  <si>
    <t>4eb8c0b6</t>
  </si>
  <si>
    <t>7efdc0f5</t>
  </si>
  <si>
    <t>14cba4f4</t>
  </si>
  <si>
    <t>a5fabaca</t>
  </si>
  <si>
    <t>505844a6</t>
  </si>
  <si>
    <t>d2253a2e</t>
  </si>
  <si>
    <t>d729c3ae</t>
  </si>
  <si>
    <t>970a5173</t>
  </si>
  <si>
    <t>2eba88f9</t>
  </si>
  <si>
    <t>05a18d8a</t>
  </si>
  <si>
    <t>68edeafb</t>
  </si>
  <si>
    <t>cd4c3a64</t>
  </si>
  <si>
    <t>62b22154</t>
  </si>
  <si>
    <t>e8d1f9a6</t>
  </si>
  <si>
    <t>885bd11c</t>
  </si>
  <si>
    <t>a23602d7</t>
  </si>
  <si>
    <t>d0e045ee</t>
  </si>
  <si>
    <t>521ae3b6</t>
  </si>
  <si>
    <t>f8bf32ab</t>
  </si>
  <si>
    <t>409e4b8e</t>
  </si>
  <si>
    <t>aad1ce7b</t>
  </si>
  <si>
    <t>dfb87ba9</t>
  </si>
  <si>
    <t>13848927</t>
  </si>
  <si>
    <t>01e3ad90</t>
  </si>
  <si>
    <t>74c607d2</t>
  </si>
  <si>
    <t>c6465972</t>
  </si>
  <si>
    <t>46183ce5</t>
  </si>
  <si>
    <t>c604a713</t>
  </si>
  <si>
    <t>ca8ea1b0</t>
  </si>
  <si>
    <t>c905b79c</t>
  </si>
  <si>
    <t>5a7283dd</t>
  </si>
  <si>
    <t>eca1566f</t>
  </si>
  <si>
    <t>6a0ea653</t>
  </si>
  <si>
    <t>c0cefd25</t>
  </si>
  <si>
    <t>ee2e9ffd</t>
  </si>
  <si>
    <t>55abba83</t>
  </si>
  <si>
    <t>5648cf08</t>
  </si>
  <si>
    <t>5fcbb3ad</t>
  </si>
  <si>
    <t>13bbe1c8</t>
  </si>
  <si>
    <t>a8ecb7dc</t>
  </si>
  <si>
    <t>f89f4b99</t>
  </si>
  <si>
    <t>cb08c626</t>
  </si>
  <si>
    <t>38e06f87</t>
  </si>
  <si>
    <t>ed4580ad</t>
  </si>
  <si>
    <t>4de04651</t>
  </si>
  <si>
    <t>1d0360a7</t>
  </si>
  <si>
    <t>a2813a37</t>
  </si>
  <si>
    <t>c3eb471b</t>
  </si>
  <si>
    <t>dfaf0714</t>
  </si>
  <si>
    <t>2243d658</t>
  </si>
  <si>
    <t>9c07fd03</t>
  </si>
  <si>
    <t>20039cf7</t>
  </si>
  <si>
    <t>1adde3d1</t>
  </si>
  <si>
    <t>38ea7fa5</t>
  </si>
  <si>
    <t>64ead495</t>
  </si>
  <si>
    <t>95ab37e2</t>
  </si>
  <si>
    <t>0b6abc96</t>
  </si>
  <si>
    <t>0a6480f1</t>
  </si>
  <si>
    <t>100d14ba</t>
  </si>
  <si>
    <t>581fd5eb</t>
  </si>
  <si>
    <t>a8ddd8c2</t>
  </si>
  <si>
    <t>05b36e07</t>
  </si>
  <si>
    <t>c6019670</t>
  </si>
  <si>
    <t>b681997d</t>
  </si>
  <si>
    <t>d66bb1af</t>
  </si>
  <si>
    <t>1b935b96</t>
  </si>
  <si>
    <t>762fc49d</t>
  </si>
  <si>
    <t>7e892ec8</t>
  </si>
  <si>
    <t>b362459c</t>
  </si>
  <si>
    <t>745012de</t>
  </si>
  <si>
    <t>e4533c2c</t>
  </si>
  <si>
    <t>f40f4bae</t>
  </si>
  <si>
    <t>60a72ebc</t>
  </si>
  <si>
    <t>7316563b</t>
  </si>
  <si>
    <t>c9ecf1c7</t>
  </si>
  <si>
    <t>c71a5b2c</t>
  </si>
  <si>
    <t>94020b71</t>
  </si>
  <si>
    <t>22c4f5e7</t>
  </si>
  <si>
    <t>3f0ad902</t>
  </si>
  <si>
    <t>a91f8a62</t>
  </si>
  <si>
    <t>16688914</t>
  </si>
  <si>
    <t>abd44ef1</t>
  </si>
  <si>
    <t>e1727764</t>
  </si>
  <si>
    <t>d2765689</t>
  </si>
  <si>
    <t>b05e78ed</t>
  </si>
  <si>
    <t>8d5a1ab5</t>
  </si>
  <si>
    <t>bb15bbc8</t>
  </si>
  <si>
    <t>9180031e</t>
  </si>
  <si>
    <t>892980a8</t>
  </si>
  <si>
    <t>d1a9cf08</t>
  </si>
  <si>
    <t>86ed7c2d</t>
  </si>
  <si>
    <t>101a9ecc</t>
  </si>
  <si>
    <t>8354bc3d</t>
  </si>
  <si>
    <t>c74135d3</t>
  </si>
  <si>
    <t>0001fd34</t>
  </si>
  <si>
    <t>0aabb6d2</t>
  </si>
  <si>
    <t>26fe3630</t>
  </si>
  <si>
    <t>7fce197e</t>
  </si>
  <si>
    <t>0c03ad46</t>
  </si>
  <si>
    <t>ef522f7d</t>
  </si>
  <si>
    <t>d869e80b</t>
  </si>
  <si>
    <t>0e6e1f5c</t>
  </si>
  <si>
    <t>1144b357</t>
  </si>
  <si>
    <t>dbecb350</t>
  </si>
  <si>
    <t>1ca7f573</t>
  </si>
  <si>
    <t>83182162</t>
  </si>
  <si>
    <t>5d34e08d</t>
  </si>
  <si>
    <t>236bbee4</t>
  </si>
  <si>
    <t>0d82b542</t>
  </si>
  <si>
    <t>0b88284a</t>
  </si>
  <si>
    <t>86f0edeb</t>
  </si>
  <si>
    <t>8bdc3d23</t>
  </si>
  <si>
    <t>567d0732</t>
  </si>
  <si>
    <t>de4ec195</t>
  </si>
  <si>
    <t>39f97575</t>
  </si>
  <si>
    <t>011bc7d0</t>
  </si>
  <si>
    <t>717832aa</t>
  </si>
  <si>
    <t>486b132f</t>
  </si>
  <si>
    <t>8f82aca8</t>
  </si>
  <si>
    <t>c676868a</t>
  </si>
  <si>
    <t>116b3f39</t>
  </si>
  <si>
    <t>ea7b03cd</t>
  </si>
  <si>
    <t>ed9c1d73</t>
  </si>
  <si>
    <t>d5beda67</t>
  </si>
  <si>
    <t>833eff88</t>
  </si>
  <si>
    <t>474f9c85</t>
  </si>
  <si>
    <t>d1322966</t>
  </si>
  <si>
    <t>ddae2474</t>
  </si>
  <si>
    <t>cc080309</t>
  </si>
  <si>
    <t>0f3be98b</t>
  </si>
  <si>
    <t>049782ff</t>
  </si>
  <si>
    <t>ba993d58</t>
  </si>
  <si>
    <t>7739a436</t>
  </si>
  <si>
    <t>47435d88</t>
  </si>
  <si>
    <t>f87b23a0</t>
  </si>
  <si>
    <t>231d17b1</t>
  </si>
  <si>
    <t>9063a98e</t>
  </si>
  <si>
    <t>1458b027</t>
  </si>
  <si>
    <t>516fd3ba</t>
  </si>
  <si>
    <t>8f30dada</t>
  </si>
  <si>
    <t>61ce96c4</t>
  </si>
  <si>
    <t>3e4274d6</t>
  </si>
  <si>
    <t>8da479b8</t>
  </si>
  <si>
    <t>8c2cb79b</t>
  </si>
  <si>
    <t>1d17e5cc</t>
  </si>
  <si>
    <t>b1a750ee</t>
  </si>
  <si>
    <t>d96b79b2</t>
  </si>
  <si>
    <t>cc5aa455</t>
  </si>
  <si>
    <t>ec264b67</t>
  </si>
  <si>
    <t>5839923b</t>
  </si>
  <si>
    <t>617a978f</t>
  </si>
  <si>
    <t>509cf504</t>
  </si>
  <si>
    <t>5158e3b3</t>
  </si>
  <si>
    <t>e118af1e</t>
  </si>
  <si>
    <t>9e1a67cf</t>
  </si>
  <si>
    <t>aec20e30</t>
  </si>
  <si>
    <t>0ee871f8</t>
  </si>
  <si>
    <t>84db2a0d</t>
  </si>
  <si>
    <t>c0153350</t>
  </si>
  <si>
    <t>2a583b98</t>
  </si>
  <si>
    <t>d105d95f</t>
  </si>
  <si>
    <t>a9db3a24</t>
  </si>
  <si>
    <t>8bd260a2</t>
  </si>
  <si>
    <t>7e20d000</t>
  </si>
  <si>
    <t>12aa3b9c</t>
  </si>
  <si>
    <t>73e4b2f0</t>
  </si>
  <si>
    <t>0343617d</t>
  </si>
  <si>
    <t>1ee2ef94</t>
  </si>
  <si>
    <t>2b838099</t>
  </si>
  <si>
    <t>0aca24b5</t>
  </si>
  <si>
    <t>b76e362a</t>
  </si>
  <si>
    <t>f89c5088</t>
  </si>
  <si>
    <t>56efc935</t>
  </si>
  <si>
    <t>112cd7b6</t>
  </si>
  <si>
    <t>eef39724</t>
  </si>
  <si>
    <t>7421cda8</t>
  </si>
  <si>
    <t>a2c8e213</t>
  </si>
  <si>
    <t>41c88ce1</t>
  </si>
  <si>
    <t>f94e4588</t>
  </si>
  <si>
    <t>4924b11f</t>
  </si>
  <si>
    <t>6d0381d5</t>
  </si>
  <si>
    <t>9f65b788</t>
  </si>
  <si>
    <t>0c1907f3</t>
  </si>
  <si>
    <t>872fbe43</t>
  </si>
  <si>
    <t>39c711a8</t>
  </si>
  <si>
    <t>06a98053</t>
  </si>
  <si>
    <t>7fdbeed1</t>
  </si>
  <si>
    <t>7d3f799c</t>
  </si>
  <si>
    <t>383b184e</t>
  </si>
  <si>
    <t>faca2430</t>
  </si>
  <si>
    <t>0abfd1d9</t>
  </si>
  <si>
    <t>726ea377</t>
  </si>
  <si>
    <t>b6550954</t>
  </si>
  <si>
    <t>e29207b9</t>
  </si>
  <si>
    <t>747d7ed1</t>
  </si>
  <si>
    <t>b2495461</t>
  </si>
  <si>
    <t>a2e3e176</t>
  </si>
  <si>
    <t>59da6c68</t>
  </si>
  <si>
    <t>6efb5925</t>
  </si>
  <si>
    <t>bb3669eb</t>
  </si>
  <si>
    <t>eae9f224</t>
  </si>
  <si>
    <t>b4375141</t>
  </si>
  <si>
    <t>a6ec11d1</t>
  </si>
  <si>
    <t>b38e30bc</t>
  </si>
  <si>
    <t>5f415cc1</t>
  </si>
  <si>
    <t>94d847e8</t>
  </si>
  <si>
    <t>8d6783d7</t>
  </si>
  <si>
    <t>40f490f1</t>
  </si>
  <si>
    <t>61894fd1</t>
  </si>
  <si>
    <t>ba9a9bdb</t>
  </si>
  <si>
    <t>afc339c8</t>
  </si>
  <si>
    <t>4f568d58</t>
  </si>
  <si>
    <t>1b13ff82</t>
  </si>
  <si>
    <t>c09d3757</t>
  </si>
  <si>
    <t>f21b2d3f</t>
  </si>
  <si>
    <t>cd9296c7</t>
  </si>
  <si>
    <t>8e7e63a2</t>
  </si>
  <si>
    <t>84ec13ab</t>
  </si>
  <si>
    <t>dbe218f6</t>
  </si>
  <si>
    <t>c49be400</t>
  </si>
  <si>
    <t>89d51fdf</t>
  </si>
  <si>
    <t>c0ab805f</t>
  </si>
  <si>
    <t>d8814647</t>
  </si>
  <si>
    <t>d849a905</t>
  </si>
  <si>
    <t>12acf063</t>
  </si>
  <si>
    <t>5dbdbd4f</t>
  </si>
  <si>
    <t>914d3407</t>
  </si>
  <si>
    <t>0d64fe6f</t>
  </si>
  <si>
    <t>1958db7e</t>
  </si>
  <si>
    <t>dce415e3</t>
  </si>
  <si>
    <t>2bc1a523</t>
  </si>
  <si>
    <t>93f391a5</t>
  </si>
  <si>
    <t>50b03142</t>
  </si>
  <si>
    <t>ba1a6e12</t>
  </si>
  <si>
    <t>d27ba26e</t>
  </si>
  <si>
    <t>a118c29a</t>
  </si>
  <si>
    <t>c04ef36e</t>
  </si>
  <si>
    <t>966b6ffd</t>
  </si>
  <si>
    <t>d00fe01e</t>
  </si>
  <si>
    <t>a72222d2</t>
  </si>
  <si>
    <t>50464770</t>
  </si>
  <si>
    <t>2256c0f9</t>
  </si>
  <si>
    <t>dadbeb2d</t>
  </si>
  <si>
    <t>f7ba7de4</t>
  </si>
  <si>
    <t>ab061f41</t>
  </si>
  <si>
    <t>15988e0c</t>
  </si>
  <si>
    <t>391c2417</t>
  </si>
  <si>
    <t>f97a429c</t>
  </si>
  <si>
    <t>ac68a30c</t>
  </si>
  <si>
    <t>0efc2333</t>
  </si>
  <si>
    <t>c9c58252</t>
  </si>
  <si>
    <t>55162164</t>
  </si>
  <si>
    <t>8943fb5f</t>
  </si>
  <si>
    <t>e08855ec</t>
  </si>
  <si>
    <t>e79df754</t>
  </si>
  <si>
    <t>930a6549</t>
  </si>
  <si>
    <t>294a6f1d</t>
  </si>
  <si>
    <t>797889b5</t>
  </si>
  <si>
    <t>295be6c0</t>
  </si>
  <si>
    <t>6502020e</t>
  </si>
  <si>
    <t>e9119531</t>
  </si>
  <si>
    <t>56360757</t>
  </si>
  <si>
    <t>0717bd0b</t>
  </si>
  <si>
    <t>b99a6114</t>
  </si>
  <si>
    <t>5ca9e8e7</t>
  </si>
  <si>
    <t>36bcd959</t>
  </si>
  <si>
    <t>c2e2ac9a</t>
  </si>
  <si>
    <t>b0b9ff09</t>
  </si>
  <si>
    <t>7d47c4cf</t>
  </si>
  <si>
    <t>161a86ec</t>
  </si>
  <si>
    <t>2a13b950</t>
  </si>
  <si>
    <t>e4e1ed11</t>
  </si>
  <si>
    <t>39d1e94b</t>
  </si>
  <si>
    <t>64c88cea</t>
  </si>
  <si>
    <t>6c351015</t>
  </si>
  <si>
    <t>895eb5c9</t>
  </si>
  <si>
    <t>9a523de6</t>
  </si>
  <si>
    <t>c8212576</t>
  </si>
  <si>
    <t>bff843a0</t>
  </si>
  <si>
    <t>0545693f</t>
  </si>
  <si>
    <t>dfdf3b02</t>
  </si>
  <si>
    <t>b597a46a</t>
  </si>
  <si>
    <t>678a67b9</t>
  </si>
  <si>
    <t>2854771d</t>
  </si>
  <si>
    <t>c607b0aa</t>
  </si>
  <si>
    <t>4d6dc5d5</t>
  </si>
  <si>
    <t>55ee8548</t>
  </si>
  <si>
    <t>350c268a</t>
  </si>
  <si>
    <t>88295f6d</t>
  </si>
  <si>
    <t>d9ba438f</t>
  </si>
  <si>
    <t>54d98fd3</t>
  </si>
  <si>
    <t>b6130bcd</t>
  </si>
  <si>
    <t>1a6cae1d</t>
  </si>
  <si>
    <t>4f8e7567</t>
  </si>
  <si>
    <t>db83a102</t>
  </si>
  <si>
    <t>2e355e04</t>
  </si>
  <si>
    <t>e3892923</t>
  </si>
  <si>
    <t>8884cbc0</t>
  </si>
  <si>
    <t>0980c53b</t>
  </si>
  <si>
    <t>a3dc96c8</t>
  </si>
  <si>
    <t>f69b6ef2</t>
  </si>
  <si>
    <t>672c4fbf</t>
  </si>
  <si>
    <t>debf41a4</t>
  </si>
  <si>
    <t>9153c292</t>
  </si>
  <si>
    <t>f08637ae</t>
  </si>
  <si>
    <t>2939d27c</t>
  </si>
  <si>
    <t>e5dce272</t>
  </si>
  <si>
    <t>6b765ccf</t>
  </si>
  <si>
    <t>199c18d7</t>
  </si>
  <si>
    <t>925ceb55</t>
  </si>
  <si>
    <t>7ea3571d</t>
  </si>
  <si>
    <t>3c453383</t>
  </si>
  <si>
    <t>7725da91</t>
  </si>
  <si>
    <t>92ed6f69</t>
  </si>
  <si>
    <t>38489725</t>
  </si>
  <si>
    <t>adddae5a</t>
  </si>
  <si>
    <t>6f6479a3</t>
  </si>
  <si>
    <t>ca082b0c</t>
  </si>
  <si>
    <t>5c1f55b3</t>
  </si>
  <si>
    <t>3484ad35</t>
  </si>
  <si>
    <t>b02bfe3d</t>
  </si>
  <si>
    <t>c55e3bc6</t>
  </si>
  <si>
    <t>37b8017d</t>
  </si>
  <si>
    <t>5459afbb</t>
  </si>
  <si>
    <t>56c43f6d</t>
  </si>
  <si>
    <t>a5beab3a</t>
  </si>
  <si>
    <t>4ef78c20</t>
  </si>
  <si>
    <t>bd0e88e4</t>
  </si>
  <si>
    <t>e6621f56</t>
  </si>
  <si>
    <t>7aa68d0d</t>
  </si>
  <si>
    <t>358fcd87</t>
  </si>
  <si>
    <t>b17bd496</t>
  </si>
  <si>
    <t>d77711cf</t>
  </si>
  <si>
    <t>4c45269d</t>
  </si>
  <si>
    <t>40a37b27</t>
  </si>
  <si>
    <t>628747ca</t>
  </si>
  <si>
    <t>2e788b96</t>
  </si>
  <si>
    <t>56d486fe</t>
  </si>
  <si>
    <t>1c9e0153</t>
  </si>
  <si>
    <t>d51172f1</t>
  </si>
  <si>
    <t>fe776000</t>
  </si>
  <si>
    <t>47c022b4</t>
  </si>
  <si>
    <t>fb467c02</t>
  </si>
  <si>
    <t>129ed80f</t>
  </si>
  <si>
    <t>f885903f</t>
  </si>
  <si>
    <t>60fe7e63</t>
  </si>
  <si>
    <t>50beecb7</t>
  </si>
  <si>
    <t>60c39b1f</t>
  </si>
  <si>
    <t>88f86d81</t>
  </si>
  <si>
    <t>6c1afdfa</t>
  </si>
  <si>
    <t>d29beabc</t>
  </si>
  <si>
    <t>8ced892b</t>
  </si>
  <si>
    <t>7aea5bda</t>
  </si>
  <si>
    <t>adb4e6ba</t>
  </si>
  <si>
    <t>788bef4a</t>
  </si>
  <si>
    <t>199839d6</t>
  </si>
  <si>
    <t>bd7cf3a0</t>
  </si>
  <si>
    <t>adac3a51</t>
  </si>
  <si>
    <t>357608a2</t>
  </si>
  <si>
    <t>80e1e069</t>
  </si>
  <si>
    <t>899d2d7a</t>
  </si>
  <si>
    <t>2f38e38a</t>
  </si>
  <si>
    <t>5b41096a</t>
  </si>
  <si>
    <t>59006415</t>
  </si>
  <si>
    <t>738e98a8</t>
  </si>
  <si>
    <t>76e6fc6d</t>
  </si>
  <si>
    <t>3f2b7046</t>
  </si>
  <si>
    <t>083a9715</t>
  </si>
  <si>
    <t>d258b614</t>
  </si>
  <si>
    <t>df22001e</t>
  </si>
  <si>
    <t>115cb395</t>
  </si>
  <si>
    <t>cba51fe0</t>
  </si>
  <si>
    <t>4f28e05e</t>
  </si>
  <si>
    <t>50d99ba7</t>
  </si>
  <si>
    <t>69b0f81d</t>
  </si>
  <si>
    <t>73d24078</t>
  </si>
  <si>
    <t>c064a1a1</t>
  </si>
  <si>
    <t>a2e4c631</t>
  </si>
  <si>
    <t>94cec2e1</t>
  </si>
  <si>
    <t>44cec1f3</t>
  </si>
  <si>
    <t>951d4ee9</t>
  </si>
  <si>
    <t>a940937b</t>
  </si>
  <si>
    <t>7c599d0d</t>
  </si>
  <si>
    <t>c1d3c9da</t>
  </si>
  <si>
    <t>dd9b4145</t>
  </si>
  <si>
    <t>2ca75b24</t>
  </si>
  <si>
    <t>b8e293bd</t>
  </si>
  <si>
    <t>280da0f4</t>
  </si>
  <si>
    <t>90f9d1f9</t>
  </si>
  <si>
    <t>2bcbb2aa</t>
  </si>
  <si>
    <t>0640ce6e</t>
  </si>
  <si>
    <t>38270c14</t>
  </si>
  <si>
    <t>868835ce</t>
  </si>
  <si>
    <t>c04cc3ab</t>
  </si>
  <si>
    <t>d7525b3d</t>
  </si>
  <si>
    <t>7a0e9897</t>
  </si>
  <si>
    <t>9d2573c2</t>
  </si>
  <si>
    <t>8aae68ee</t>
  </si>
  <si>
    <t>b3aa6aca</t>
  </si>
  <si>
    <t>4087a248</t>
  </si>
  <si>
    <t>b26a46d3</t>
  </si>
  <si>
    <t>dacfe1da</t>
  </si>
  <si>
    <t>2d3a146a</t>
  </si>
  <si>
    <t>43914641</t>
  </si>
  <si>
    <t>dc857041</t>
  </si>
  <si>
    <t>cb4852d1</t>
  </si>
  <si>
    <t>6b394f5b</t>
  </si>
  <si>
    <t>63b4f2b6</t>
  </si>
  <si>
    <t>336179f4</t>
  </si>
  <si>
    <t>3a0921b7</t>
  </si>
  <si>
    <t>8bc169de</t>
  </si>
  <si>
    <t>5465628c</t>
  </si>
  <si>
    <t>70f07edb</t>
  </si>
  <si>
    <t>859bf83e</t>
  </si>
  <si>
    <t>29686142</t>
  </si>
  <si>
    <t>bd5ca5de</t>
  </si>
  <si>
    <t>bece459b</t>
  </si>
  <si>
    <t>6f43a38f</t>
  </si>
  <si>
    <t>039117f5</t>
  </si>
  <si>
    <t>8fe82cd2</t>
  </si>
  <si>
    <t>ab201c32</t>
  </si>
  <si>
    <t>bc6d7e8e</t>
  </si>
  <si>
    <t>1af95d32</t>
  </si>
  <si>
    <t>d2d91aa5</t>
  </si>
  <si>
    <t>6ee8c4f0</t>
  </si>
  <si>
    <t>12630229</t>
  </si>
  <si>
    <t>2d65e60a</t>
  </si>
  <si>
    <t>049fdf07</t>
  </si>
  <si>
    <t>20efc97b</t>
  </si>
  <si>
    <t>1a0d71a6</t>
  </si>
  <si>
    <t>3b5231c9</t>
  </si>
  <si>
    <t>4a2da4f6</t>
  </si>
  <si>
    <t>d44c784d</t>
  </si>
  <si>
    <t>7b86b170</t>
  </si>
  <si>
    <t>1a253598</t>
  </si>
  <si>
    <t>7b791f23</t>
  </si>
  <si>
    <t>442b6384</t>
  </si>
  <si>
    <t>2a45efb3</t>
  </si>
  <si>
    <t>fdda5fed</t>
  </si>
  <si>
    <t>7f92ebd4</t>
  </si>
  <si>
    <t>24533e6d</t>
  </si>
  <si>
    <t>9fadb50e</t>
  </si>
  <si>
    <t>1bf1002a</t>
  </si>
  <si>
    <t>8718af91</t>
  </si>
  <si>
    <t>4814e97b</t>
  </si>
  <si>
    <t>638f9b17</t>
  </si>
  <si>
    <t>628f793c</t>
  </si>
  <si>
    <t>e24e2f25</t>
  </si>
  <si>
    <t>dcfd3a31</t>
  </si>
  <si>
    <t>165c0776</t>
  </si>
  <si>
    <t>c9cd296d</t>
  </si>
  <si>
    <t>75a0bafc</t>
  </si>
  <si>
    <t>5c37b322</t>
  </si>
  <si>
    <t>ddaf557f</t>
  </si>
  <si>
    <t>36f0fad1</t>
  </si>
  <si>
    <t>056d95d4</t>
  </si>
  <si>
    <t>1cde54fe</t>
  </si>
  <si>
    <t>b8067781</t>
  </si>
  <si>
    <t>7f158554</t>
  </si>
  <si>
    <t>d55b54b7</t>
  </si>
  <si>
    <t>239e34a7</t>
  </si>
  <si>
    <t>cac873ec</t>
  </si>
  <si>
    <t>4623362b</t>
  </si>
  <si>
    <t>fb537262</t>
  </si>
  <si>
    <t>fcbc1e34</t>
  </si>
  <si>
    <t>111ccac4</t>
  </si>
  <si>
    <t>b3870c37</t>
  </si>
  <si>
    <t>966c9561</t>
  </si>
  <si>
    <t>deec4275</t>
  </si>
  <si>
    <t>d9db6d82</t>
  </si>
  <si>
    <t>8ab8fd9b</t>
  </si>
  <si>
    <t>06fbc3a2</t>
  </si>
  <si>
    <t>cb7901d1</t>
  </si>
  <si>
    <t>28f12218</t>
  </si>
  <si>
    <t>5b25bc04</t>
  </si>
  <si>
    <t>f8c787ff</t>
  </si>
  <si>
    <t>3e29dbae</t>
  </si>
  <si>
    <t>e96051cc</t>
  </si>
  <si>
    <t>49d9e8d1</t>
  </si>
  <si>
    <t>584d2753</t>
  </si>
  <si>
    <t>7ef5ddc0</t>
  </si>
  <si>
    <t>5b0f2685</t>
  </si>
  <si>
    <t>b6f41c25</t>
  </si>
  <si>
    <t>83f9a0e4</t>
  </si>
  <si>
    <t>1495fcbb</t>
  </si>
  <si>
    <t>98610269</t>
  </si>
  <si>
    <t>603c872a</t>
  </si>
  <si>
    <t>8cf03657</t>
  </si>
  <si>
    <t>2a0f9128</t>
  </si>
  <si>
    <t>f8df73ab</t>
  </si>
  <si>
    <t>e15a5c40</t>
  </si>
  <si>
    <t>4e75202f</t>
  </si>
  <si>
    <t>628d9b23</t>
  </si>
  <si>
    <t>242f2992</t>
  </si>
  <si>
    <t>1086462e</t>
  </si>
  <si>
    <t>6038eca6</t>
  </si>
  <si>
    <t>3a1a752f</t>
  </si>
  <si>
    <t>f4f05ff5</t>
  </si>
  <si>
    <t>c0a84948</t>
  </si>
  <si>
    <t>4a6021d4</t>
  </si>
  <si>
    <t>cab144de</t>
  </si>
  <si>
    <t>098efc17</t>
  </si>
  <si>
    <t>fd72bfcf</t>
  </si>
  <si>
    <t>49188c67</t>
  </si>
  <si>
    <t>3c02323a</t>
  </si>
  <si>
    <t>8c89bfec</t>
  </si>
  <si>
    <t>98434b9a</t>
  </si>
  <si>
    <t>c1e26f94</t>
  </si>
  <si>
    <t>682d5629</t>
  </si>
  <si>
    <t>42021b67</t>
  </si>
  <si>
    <t>48cc4d3d</t>
  </si>
  <si>
    <t>891b88f4</t>
  </si>
  <si>
    <t>da54d5ea</t>
  </si>
  <si>
    <t>fc7ae55a</t>
  </si>
  <si>
    <t>581d82f5</t>
  </si>
  <si>
    <t>69232e0d</t>
  </si>
  <si>
    <t>7115df28</t>
  </si>
  <si>
    <t>4c14605b</t>
  </si>
  <si>
    <t>86e521ac</t>
  </si>
  <si>
    <t>fd20970d</t>
  </si>
  <si>
    <t>5076a7e3</t>
  </si>
  <si>
    <t>0cff3b2d</t>
  </si>
  <si>
    <t>368fdf7e</t>
  </si>
  <si>
    <t>9649dbf1</t>
  </si>
  <si>
    <t>54765de7</t>
  </si>
  <si>
    <t>7223a8d1</t>
  </si>
  <si>
    <t>9140b1d7</t>
  </si>
  <si>
    <t>31a6af2b</t>
  </si>
  <si>
    <t>c2e1d38c</t>
  </si>
  <si>
    <t>65c01ed8</t>
  </si>
  <si>
    <t>24a11e1b</t>
  </si>
  <si>
    <t>d16c2d78</t>
  </si>
  <si>
    <t>4fd981b7</t>
  </si>
  <si>
    <t>772d8ffd</t>
  </si>
  <si>
    <t>5e3a95d4</t>
  </si>
  <si>
    <t>1ab05876</t>
  </si>
  <si>
    <t>9152f45d</t>
  </si>
  <si>
    <t>4bbbb3eb</t>
  </si>
  <si>
    <t>cc545b63</t>
  </si>
  <si>
    <t>113bd00d</t>
  </si>
  <si>
    <t>63ebdeec</t>
  </si>
  <si>
    <t>833231d9</t>
  </si>
  <si>
    <t>e196fb1f</t>
  </si>
  <si>
    <t>07642c6c</t>
  </si>
  <si>
    <t>abbd5fae</t>
  </si>
  <si>
    <t>7465efff</t>
  </si>
  <si>
    <t>4ea7a22e</t>
  </si>
  <si>
    <t>d90ca12a</t>
  </si>
  <si>
    <t>05bc9cdb</t>
  </si>
  <si>
    <t>492d4b26</t>
  </si>
  <si>
    <t>7c6cec7a</t>
  </si>
  <si>
    <t>f0cc6b08</t>
  </si>
  <si>
    <t>88abe316</t>
  </si>
  <si>
    <t>274f4986</t>
  </si>
  <si>
    <t>d7515255</t>
  </si>
  <si>
    <t>4ef0c63b</t>
  </si>
  <si>
    <t>40275f75</t>
  </si>
  <si>
    <t>00553fe5</t>
  </si>
  <si>
    <t>08688d59</t>
  </si>
  <si>
    <t>e8fb2da1</t>
  </si>
  <si>
    <t>6965e14f</t>
  </si>
  <si>
    <t>929b4674</t>
  </si>
  <si>
    <t>038afa85</t>
  </si>
  <si>
    <t>f2dfb2fc</t>
  </si>
  <si>
    <t>8dcc2e80</t>
  </si>
  <si>
    <t>21987e0e</t>
  </si>
  <si>
    <t>428f10d7</t>
  </si>
  <si>
    <t>2926c8e9</t>
  </si>
  <si>
    <t>dc5ea190</t>
  </si>
  <si>
    <t>b83d76ee</t>
  </si>
  <si>
    <t>c0f1b2c4</t>
  </si>
  <si>
    <t>e95199d4</t>
  </si>
  <si>
    <t>d39a5df4</t>
  </si>
  <si>
    <t>f52216f0</t>
  </si>
  <si>
    <t>ad44b328</t>
  </si>
  <si>
    <t>83bc0cc0</t>
  </si>
  <si>
    <t>462d134c</t>
  </si>
  <si>
    <t>e5cd236e</t>
  </si>
  <si>
    <t>021034ed</t>
  </si>
  <si>
    <t>d4859e61</t>
  </si>
  <si>
    <t>6aed5cfb</t>
  </si>
  <si>
    <t>807c226f</t>
  </si>
  <si>
    <t>8a0f396e</t>
  </si>
  <si>
    <t>6a26ee72</t>
  </si>
  <si>
    <t>2525beae</t>
  </si>
  <si>
    <t>0b9681eb</t>
  </si>
  <si>
    <t>22e53dcf</t>
  </si>
  <si>
    <t>5cf56ecf</t>
  </si>
  <si>
    <t>8d7197cb</t>
  </si>
  <si>
    <t>bbe3d05f</t>
  </si>
  <si>
    <t>a6405e75</t>
  </si>
  <si>
    <t>2400cf33</t>
  </si>
  <si>
    <t>2292a344</t>
  </si>
  <si>
    <t>726061fb</t>
  </si>
  <si>
    <t>a96332bd</t>
  </si>
  <si>
    <t>c3846c82</t>
  </si>
  <si>
    <t>efc0daf4</t>
  </si>
  <si>
    <t>7ee4c4bd</t>
  </si>
  <si>
    <t>5778a05e</t>
  </si>
  <si>
    <t>b4d33ec4</t>
  </si>
  <si>
    <t>0270838d</t>
  </si>
  <si>
    <t>30abc278</t>
  </si>
  <si>
    <t>6e49c1b5</t>
  </si>
  <si>
    <t>9c1558b3</t>
  </si>
  <si>
    <t>48e69eb2</t>
  </si>
  <si>
    <t>7edd809a</t>
  </si>
  <si>
    <t>8a8235ae</t>
  </si>
  <si>
    <t>4c3378a3</t>
  </si>
  <si>
    <t>b01ad810</t>
  </si>
  <si>
    <t>b07dfc54</t>
  </si>
  <si>
    <t>9cb3e197</t>
  </si>
  <si>
    <t>0895a5f1</t>
  </si>
  <si>
    <t>48cd1f26</t>
  </si>
  <si>
    <t>41b292a0</t>
  </si>
  <si>
    <t>fde6d2e4</t>
  </si>
  <si>
    <t>450f4a63</t>
  </si>
  <si>
    <t>0ab39507</t>
  </si>
  <si>
    <t>6ef815c8</t>
  </si>
  <si>
    <t>316f5491</t>
  </si>
  <si>
    <t>f64d3609</t>
  </si>
  <si>
    <t>1fa613a5</t>
  </si>
  <si>
    <t>3cc59124</t>
  </si>
  <si>
    <t>35fe9bcf</t>
  </si>
  <si>
    <t>1be55a3e</t>
  </si>
  <si>
    <t>d9f12217</t>
  </si>
  <si>
    <t>76d51325</t>
  </si>
  <si>
    <t>598b02da</t>
  </si>
  <si>
    <t>011b17d4</t>
  </si>
  <si>
    <t>767101ee</t>
  </si>
  <si>
    <t>c1a76a9d</t>
  </si>
  <si>
    <t>00725a15</t>
  </si>
  <si>
    <t>a8dd30c7</t>
  </si>
  <si>
    <t>9a3bd5cb</t>
  </si>
  <si>
    <t>bf442d25</t>
  </si>
  <si>
    <t>f897582a</t>
  </si>
  <si>
    <t>5c75f9cb</t>
  </si>
  <si>
    <t>eb0cbf27</t>
  </si>
  <si>
    <t>fa6cc36f</t>
  </si>
  <si>
    <t>4d2090e4</t>
  </si>
  <si>
    <t>cfea1e30</t>
  </si>
  <si>
    <t>ad41d324</t>
  </si>
  <si>
    <t>581d7ec3</t>
  </si>
  <si>
    <t>96ac3f76</t>
  </si>
  <si>
    <t>1cef3e94</t>
  </si>
  <si>
    <t>61147a88</t>
  </si>
  <si>
    <t>bd35a5cf</t>
  </si>
  <si>
    <t>85a85613</t>
  </si>
  <si>
    <t>4544d19c</t>
  </si>
  <si>
    <t>09414dc3</t>
  </si>
  <si>
    <t>b31e5f00</t>
  </si>
  <si>
    <t>d92cea66</t>
  </si>
  <si>
    <t>ee14cbd4</t>
  </si>
  <si>
    <t>858b16fa</t>
  </si>
  <si>
    <t>80caf363</t>
  </si>
  <si>
    <t>4cb6955e</t>
  </si>
  <si>
    <t>437a2716</t>
  </si>
  <si>
    <t>9030649a</t>
  </si>
  <si>
    <t>80a79818</t>
  </si>
  <si>
    <t>20c5279c</t>
  </si>
  <si>
    <t>ef2151b7</t>
  </si>
  <si>
    <t>99ce055b</t>
  </si>
  <si>
    <t>4f1668ce</t>
  </si>
  <si>
    <t>e122f4a7</t>
  </si>
  <si>
    <t>e74690a9</t>
  </si>
  <si>
    <t>b8783e0d</t>
  </si>
  <si>
    <t>02f6e1ea</t>
  </si>
  <si>
    <t>0ca6326f</t>
  </si>
  <si>
    <t>77f4db13</t>
  </si>
  <si>
    <t>d255d920</t>
  </si>
  <si>
    <t>0588ccae</t>
  </si>
  <si>
    <t>923699f2</t>
  </si>
  <si>
    <t>b5cdc588</t>
  </si>
  <si>
    <t>35065fb4</t>
  </si>
  <si>
    <t>8c84fd5a</t>
  </si>
  <si>
    <t>aa770c4a</t>
  </si>
  <si>
    <t>fba8deac</t>
  </si>
  <si>
    <t>eb566770</t>
  </si>
  <si>
    <t>71b3e559</t>
  </si>
  <si>
    <t>5f6cda5e</t>
  </si>
  <si>
    <t>f1ea8393</t>
  </si>
  <si>
    <t>45af0731</t>
  </si>
  <si>
    <t>c134a97c</t>
  </si>
  <si>
    <t>5913ea79</t>
  </si>
  <si>
    <t>09a5827d</t>
  </si>
  <si>
    <t>46776f2c</t>
  </si>
  <si>
    <t>0d70dc94</t>
  </si>
  <si>
    <t>8d00d622</t>
  </si>
  <si>
    <t>67346221</t>
  </si>
  <si>
    <t>a3f561ad</t>
  </si>
  <si>
    <t>cd6eb398</t>
  </si>
  <si>
    <t>1c70041b</t>
  </si>
  <si>
    <t>cb9501ff</t>
  </si>
  <si>
    <t>0e3af893</t>
  </si>
  <si>
    <t>82dcd379</t>
  </si>
  <si>
    <t>fb914ad9</t>
  </si>
  <si>
    <t>08d9f28f</t>
  </si>
  <si>
    <t>bd609b46</t>
  </si>
  <si>
    <t>5c16cd92</t>
  </si>
  <si>
    <t>7fc00e5c</t>
  </si>
  <si>
    <t>cb3b84e2</t>
  </si>
  <si>
    <t>ae1c4e07</t>
  </si>
  <si>
    <t>08bc1d85</t>
  </si>
  <si>
    <t>859fe410</t>
  </si>
  <si>
    <t>79d7a615</t>
  </si>
  <si>
    <t>05dde63a</t>
  </si>
  <si>
    <t>b23c26e8</t>
  </si>
  <si>
    <t>ac6bbffc</t>
  </si>
  <si>
    <t>7ed7308d</t>
  </si>
  <si>
    <t>96121854</t>
  </si>
  <si>
    <t>01d7cec1</t>
  </si>
  <si>
    <t>6c5fdae8</t>
  </si>
  <si>
    <t>fbde6169</t>
  </si>
  <si>
    <t>a3b84014</t>
  </si>
  <si>
    <t>d9307c4a</t>
  </si>
  <si>
    <t>c9f24695</t>
  </si>
  <si>
    <t>5b966c51</t>
  </si>
  <si>
    <t>c9863d58</t>
  </si>
  <si>
    <t>962142eb</t>
  </si>
  <si>
    <t>f20e6f3d</t>
  </si>
  <si>
    <t>7d3cb19f</t>
  </si>
  <si>
    <t>eae86e3b</t>
  </si>
  <si>
    <t>1fddfb58</t>
  </si>
  <si>
    <t>1cc082e6</t>
  </si>
  <si>
    <t>a2ccbc1b</t>
  </si>
  <si>
    <t>9cab744d</t>
  </si>
  <si>
    <t>28334f20</t>
  </si>
  <si>
    <t>87699c4e</t>
  </si>
  <si>
    <t>8f4e8cb8</t>
  </si>
  <si>
    <t>5e56a282</t>
  </si>
  <si>
    <t>da5bade7</t>
  </si>
  <si>
    <t>ea7f2bec</t>
  </si>
  <si>
    <t>b5924c6d</t>
  </si>
  <si>
    <t>930aaab7</t>
  </si>
  <si>
    <t>7b29cbec</t>
  </si>
  <si>
    <t>939712c3</t>
  </si>
  <si>
    <t>5fe7998e</t>
  </si>
  <si>
    <t>598db093</t>
  </si>
  <si>
    <t>a5cb185c</t>
  </si>
  <si>
    <t>888528c1</t>
  </si>
  <si>
    <t>46544629</t>
  </si>
  <si>
    <t>40e2b9ca</t>
  </si>
  <si>
    <t>dabb599b</t>
  </si>
  <si>
    <t>d7d586de</t>
  </si>
  <si>
    <t>608f4b07</t>
  </si>
  <si>
    <t>59c46a0d</t>
  </si>
  <si>
    <t>56a2ca9b</t>
  </si>
  <si>
    <t>9cf4c625</t>
  </si>
  <si>
    <t>98cde04a</t>
  </si>
  <si>
    <t>7f77ff70</t>
  </si>
  <si>
    <t>3f625960</t>
  </si>
  <si>
    <t>93ef25f7</t>
  </si>
  <si>
    <t>ff1e7796</t>
  </si>
  <si>
    <t>431614bc</t>
  </si>
  <si>
    <t>64e5b303</t>
  </si>
  <si>
    <t>49480a74</t>
  </si>
  <si>
    <t>f99d321b</t>
  </si>
  <si>
    <t>3481432e</t>
  </si>
  <si>
    <t>7d6dd6c0</t>
  </si>
  <si>
    <t>5edf3907</t>
  </si>
  <si>
    <t>896e7bb5</t>
  </si>
  <si>
    <t>88f685a2</t>
  </si>
  <si>
    <t>32629010</t>
  </si>
  <si>
    <t>8efecb21</t>
  </si>
  <si>
    <t>db869b16</t>
  </si>
  <si>
    <t>83c0259f</t>
  </si>
  <si>
    <t>b23ae251</t>
  </si>
  <si>
    <t>b4875f84</t>
  </si>
  <si>
    <t>05f51d5d</t>
  </si>
  <si>
    <t>fe37b159</t>
  </si>
  <si>
    <t>f92d3e56</t>
  </si>
  <si>
    <t>aab94529</t>
  </si>
  <si>
    <t>134bd19d</t>
  </si>
  <si>
    <t>bbdea6ae</t>
  </si>
  <si>
    <t>b8dc7830</t>
  </si>
  <si>
    <t>ebb12d9d</t>
  </si>
  <si>
    <t>a328bf9c</t>
  </si>
  <si>
    <t>3bd89d86</t>
  </si>
  <si>
    <t>7101c0dd</t>
  </si>
  <si>
    <t>9f505675</t>
  </si>
  <si>
    <t>70d32750</t>
  </si>
  <si>
    <t>f4b7b207</t>
  </si>
  <si>
    <t>c0367dae</t>
  </si>
  <si>
    <t>186069ce</t>
  </si>
  <si>
    <t>3a70c68d</t>
  </si>
  <si>
    <t>a48e4ced</t>
  </si>
  <si>
    <t>349965f4</t>
  </si>
  <si>
    <t>8c658b4c</t>
  </si>
  <si>
    <t>8b652352</t>
  </si>
  <si>
    <t>e4581aef</t>
  </si>
  <si>
    <t>ffb86cee</t>
  </si>
  <si>
    <t>9fbd4d65</t>
  </si>
  <si>
    <t>4b526148</t>
  </si>
  <si>
    <t>a3a96f93</t>
  </si>
  <si>
    <t>c54dfa77</t>
  </si>
  <si>
    <t>2a242345</t>
  </si>
  <si>
    <t>b1a09860</t>
  </si>
  <si>
    <t>90fd4352</t>
  </si>
  <si>
    <t>586b2775</t>
  </si>
  <si>
    <t>1ddcd925</t>
  </si>
  <si>
    <t>e73a3906</t>
  </si>
  <si>
    <t>ba0df0b1</t>
  </si>
  <si>
    <t>e32e2903</t>
  </si>
  <si>
    <t>bb81e412</t>
  </si>
  <si>
    <t>9807070c</t>
  </si>
  <si>
    <t>99686ced</t>
  </si>
  <si>
    <t>d6ddb442</t>
  </si>
  <si>
    <t>58c6f359</t>
  </si>
  <si>
    <t>4f7d1480</t>
  </si>
  <si>
    <t>311870d3</t>
  </si>
  <si>
    <t>25e9931b</t>
  </si>
  <si>
    <t>d7ece027</t>
  </si>
  <si>
    <t>b23e5222</t>
  </si>
  <si>
    <t>7ae55ed8</t>
  </si>
  <si>
    <t>b12df269</t>
  </si>
  <si>
    <t>cc42972e</t>
  </si>
  <si>
    <t>2b6bd70e</t>
  </si>
  <si>
    <t>684cfaa4</t>
  </si>
  <si>
    <t>4ffcdd35</t>
  </si>
  <si>
    <t>bce0a6d4</t>
  </si>
  <si>
    <t>b4750600</t>
  </si>
  <si>
    <t>3b4f5236</t>
  </si>
  <si>
    <t>64feb6e1</t>
  </si>
  <si>
    <t>9a785d79</t>
  </si>
  <si>
    <t>37834f2a</t>
  </si>
  <si>
    <t>3bcb7baf</t>
  </si>
  <si>
    <t>b640b9c7</t>
  </si>
  <si>
    <t>6af6b80f</t>
  </si>
  <si>
    <t>c02d5132</t>
  </si>
  <si>
    <t>f42666ec</t>
  </si>
  <si>
    <t>7ceeb6bf</t>
  </si>
  <si>
    <t>7ce8ec61</t>
  </si>
  <si>
    <t>8d62a863</t>
  </si>
  <si>
    <t>8db8fe46</t>
  </si>
  <si>
    <t>1c3d37bc</t>
  </si>
  <si>
    <t>57eb46ea</t>
  </si>
  <si>
    <t>8be073a6</t>
  </si>
  <si>
    <t>b316e8cf</t>
  </si>
  <si>
    <t>e00760c9</t>
  </si>
  <si>
    <t>26681e2b</t>
  </si>
  <si>
    <t>e152a03a</t>
  </si>
  <si>
    <t>ffd2d153</t>
  </si>
  <si>
    <t>5a384d52</t>
  </si>
  <si>
    <t>e0018bf7</t>
  </si>
  <si>
    <t>4f6ef2ff</t>
  </si>
  <si>
    <t>363f82ae</t>
  </si>
  <si>
    <t>dc1f821d</t>
  </si>
  <si>
    <t>8bb0c1c3</t>
  </si>
  <si>
    <t>69109319</t>
  </si>
  <si>
    <t>678c6f2d</t>
  </si>
  <si>
    <t>3f8026ef</t>
  </si>
  <si>
    <t>34efa179</t>
  </si>
  <si>
    <t>d16bb760</t>
  </si>
  <si>
    <t>db718fea</t>
  </si>
  <si>
    <t>ddb96127</t>
  </si>
  <si>
    <t>e581c86f</t>
  </si>
  <si>
    <t>ea2b7ee7</t>
  </si>
  <si>
    <t>42aa6f7a</t>
  </si>
  <si>
    <t>79bafbd3</t>
  </si>
  <si>
    <t>0e208cae</t>
  </si>
  <si>
    <t>f18d8f5f</t>
  </si>
  <si>
    <t>c019223e</t>
  </si>
  <si>
    <t>05c52b06</t>
  </si>
  <si>
    <t>db61995a</t>
  </si>
  <si>
    <t>8ceb5580</t>
  </si>
  <si>
    <t>0216a7b1</t>
  </si>
  <si>
    <t>2c9c4be0</t>
  </si>
  <si>
    <t>76617346</t>
  </si>
  <si>
    <t>96cd8ae4</t>
  </si>
  <si>
    <t>01b4f199</t>
  </si>
  <si>
    <t>f0658289</t>
  </si>
  <si>
    <t>a28c988e</t>
  </si>
  <si>
    <t>7b9c7173</t>
  </si>
  <si>
    <t>be2be58d</t>
  </si>
  <si>
    <t>60f42ac2</t>
  </si>
  <si>
    <t>7b19bc5d</t>
  </si>
  <si>
    <t>179f8ee6</t>
  </si>
  <si>
    <t>36a1cb8e</t>
  </si>
  <si>
    <t>26d11dc6</t>
  </si>
  <si>
    <t>3939a121</t>
  </si>
  <si>
    <t>e34f7155</t>
  </si>
  <si>
    <t>367905a0</t>
  </si>
  <si>
    <t>764bd3b6</t>
  </si>
  <si>
    <t>684a2852</t>
  </si>
  <si>
    <t>5f8b7585</t>
  </si>
  <si>
    <t>be96545d</t>
  </si>
  <si>
    <t>90011fdc</t>
  </si>
  <si>
    <t>3e853ec5</t>
  </si>
  <si>
    <t>4f49c58e</t>
  </si>
  <si>
    <t>f4afc6f8</t>
  </si>
  <si>
    <t>885667f3</t>
  </si>
  <si>
    <t>3f04f811</t>
  </si>
  <si>
    <t>b52eb515</t>
  </si>
  <si>
    <t>7dab8796</t>
  </si>
  <si>
    <t>ac3bd323</t>
  </si>
  <si>
    <t>491d480b</t>
  </si>
  <si>
    <t>95483eca</t>
  </si>
  <si>
    <t>5e7c09d3</t>
  </si>
  <si>
    <t>eeff385e</t>
  </si>
  <si>
    <t>2ddfacd2</t>
  </si>
  <si>
    <t>b070e2be</t>
  </si>
  <si>
    <t>9b0648ff</t>
  </si>
  <si>
    <t>c36945c8</t>
  </si>
  <si>
    <t>0e17cc47</t>
  </si>
  <si>
    <t>e00665b5</t>
  </si>
  <si>
    <t>cdb6f66a</t>
  </si>
  <si>
    <t>b41247fb</t>
  </si>
  <si>
    <t>68b5b539</t>
  </si>
  <si>
    <t>d51b3733</t>
  </si>
  <si>
    <t>8e97eb5b</t>
  </si>
  <si>
    <t>9bd5497d</t>
  </si>
  <si>
    <t>6a0ccbf4</t>
  </si>
  <si>
    <t>2cd9888e</t>
  </si>
  <si>
    <t>c689f160</t>
  </si>
  <si>
    <t>845d318d</t>
  </si>
  <si>
    <t>7eb58c66</t>
  </si>
  <si>
    <t>5896b4a9</t>
  </si>
  <si>
    <t>d583be0f</t>
  </si>
  <si>
    <t>cd8c3762</t>
  </si>
  <si>
    <t>f46ac8d7</t>
  </si>
  <si>
    <t>98d30f27</t>
  </si>
  <si>
    <t>9b50dcd0</t>
  </si>
  <si>
    <t>540bd501</t>
  </si>
  <si>
    <t>5b7885f4</t>
  </si>
  <si>
    <t>a22fcc68</t>
  </si>
  <si>
    <t>2c70127c</t>
  </si>
  <si>
    <t>13b72994</t>
  </si>
  <si>
    <t>ed90ac72</t>
  </si>
  <si>
    <t>be14f16a</t>
  </si>
  <si>
    <t>7c9c34de</t>
  </si>
  <si>
    <t>937cac6a</t>
  </si>
  <si>
    <t>0d7c2d3b</t>
  </si>
  <si>
    <t>449fb156</t>
  </si>
  <si>
    <t>c238c4f2</t>
  </si>
  <si>
    <t>fe222a43</t>
  </si>
  <si>
    <t>ea5ba3f7</t>
  </si>
  <si>
    <t>ceb4a28a</t>
  </si>
  <si>
    <t>93ade897</t>
  </si>
  <si>
    <t>1d8c49db</t>
  </si>
  <si>
    <t>4f6b7040</t>
  </si>
  <si>
    <t>f3113e28</t>
  </si>
  <si>
    <t>013e077e</t>
  </si>
  <si>
    <t>81778420</t>
  </si>
  <si>
    <t>672bdb93</t>
  </si>
  <si>
    <t>3798c5f4</t>
  </si>
  <si>
    <t>4dee2d99</t>
  </si>
  <si>
    <t>14105acd</t>
  </si>
  <si>
    <t>0380deab</t>
  </si>
  <si>
    <t>75d89b86</t>
  </si>
  <si>
    <t>a1919165</t>
  </si>
  <si>
    <t>61cc9ad3</t>
  </si>
  <si>
    <t>cf0e5d9f</t>
  </si>
  <si>
    <t>e80397df</t>
  </si>
  <si>
    <t>089ce95c</t>
  </si>
  <si>
    <t>1ae5c2e6</t>
  </si>
  <si>
    <t>35063adc</t>
  </si>
  <si>
    <t>c8a65d6e</t>
  </si>
  <si>
    <t>f91e4c27</t>
  </si>
  <si>
    <t>6f85fe88</t>
  </si>
  <si>
    <t>cfdc602c</t>
  </si>
  <si>
    <t>fd30a3e5</t>
  </si>
  <si>
    <t>ceeaed41</t>
  </si>
  <si>
    <t>9fead2ae</t>
  </si>
  <si>
    <t>3dd3c2f4</t>
  </si>
  <si>
    <t>78d28289</t>
  </si>
  <si>
    <t>61771930</t>
  </si>
  <si>
    <t>09025ecc</t>
  </si>
  <si>
    <t>51dac029</t>
  </si>
  <si>
    <t>88992343</t>
  </si>
  <si>
    <t>03ab8e87</t>
  </si>
  <si>
    <t>0c519568</t>
  </si>
  <si>
    <t>82c81558</t>
  </si>
  <si>
    <t>eccecb41</t>
  </si>
  <si>
    <t>cdd65410</t>
  </si>
  <si>
    <t>b7ca401a</t>
  </si>
  <si>
    <t>f6d266d7</t>
  </si>
  <si>
    <t>88fc39b4</t>
  </si>
  <si>
    <t>3e2a1105</t>
  </si>
  <si>
    <t>40133150</t>
  </si>
  <si>
    <t>a913ba84</t>
  </si>
  <si>
    <t>d33616f0</t>
  </si>
  <si>
    <t>20eb2016</t>
  </si>
  <si>
    <t>acff1961</t>
  </si>
  <si>
    <t>c5fd4f7e</t>
  </si>
  <si>
    <t>0c16a82d</t>
  </si>
  <si>
    <t>db26922c</t>
  </si>
  <si>
    <t>5b2f3afe</t>
  </si>
  <si>
    <t>396ac9d4</t>
  </si>
  <si>
    <t>455640b7</t>
  </si>
  <si>
    <t>0a20011b</t>
  </si>
  <si>
    <t>03fb5550</t>
  </si>
  <si>
    <t>a66f953a</t>
  </si>
  <si>
    <t>ee16710b</t>
  </si>
  <si>
    <t>882133a6</t>
  </si>
  <si>
    <t>7cbcc37f</t>
  </si>
  <si>
    <t>07eaa702</t>
  </si>
  <si>
    <t>08ecce69</t>
  </si>
  <si>
    <t>8ac3a062</t>
  </si>
  <si>
    <t>097df497</t>
  </si>
  <si>
    <t>c1738a89</t>
  </si>
  <si>
    <t>699bf9d6</t>
  </si>
  <si>
    <t>5cecb0b0</t>
  </si>
  <si>
    <t>8e9f204a</t>
  </si>
  <si>
    <t>6358fe7e</t>
  </si>
  <si>
    <t>43364a5c</t>
  </si>
  <si>
    <t>2c1ee38f</t>
  </si>
  <si>
    <t>08f7da4c</t>
  </si>
  <si>
    <t>53d14847</t>
  </si>
  <si>
    <t>09b3a8f3</t>
  </si>
  <si>
    <t>a58354c3</t>
  </si>
  <si>
    <t>c00d64fc</t>
  </si>
  <si>
    <t>274519a9</t>
  </si>
  <si>
    <t>3fe0e3d9</t>
  </si>
  <si>
    <t>59c9a1d3</t>
  </si>
  <si>
    <t>33aaf9b5</t>
  </si>
  <si>
    <t>a472c517</t>
  </si>
  <si>
    <t>ea1e1dfb</t>
  </si>
  <si>
    <t>016233ea</t>
  </si>
  <si>
    <t>1ac14775</t>
  </si>
  <si>
    <t>1b8f71ef</t>
  </si>
  <si>
    <t>57499b51</t>
  </si>
  <si>
    <t>569e140a</t>
  </si>
  <si>
    <t>0e1e1725</t>
  </si>
  <si>
    <t>afbb1d29</t>
  </si>
  <si>
    <t>e9476035</t>
  </si>
  <si>
    <t>4e52042a</t>
  </si>
  <si>
    <t>a9b5d866</t>
  </si>
  <si>
    <t>d4b0294b</t>
  </si>
  <si>
    <t>3ff347e2</t>
  </si>
  <si>
    <t>4e5fbcc7</t>
  </si>
  <si>
    <t>0406b854</t>
  </si>
  <si>
    <t>dfa8f65c</t>
  </si>
  <si>
    <t>a0711727</t>
  </si>
  <si>
    <t>4f6b54aa</t>
  </si>
  <si>
    <t>5b8b1dca</t>
  </si>
  <si>
    <t>ec118c61</t>
  </si>
  <si>
    <t>a8a16442</t>
  </si>
  <si>
    <t>722e3bbc</t>
  </si>
  <si>
    <t>5557a7e0</t>
  </si>
  <si>
    <t>a4126fc9</t>
  </si>
  <si>
    <t>34252477</t>
  </si>
  <si>
    <t>3c599d39</t>
  </si>
  <si>
    <t>9e09e066</t>
  </si>
  <si>
    <t>a1578cc1</t>
  </si>
  <si>
    <t>35de78ee</t>
  </si>
  <si>
    <t>4a74fd30</t>
  </si>
  <si>
    <t>fc1fe687</t>
  </si>
  <si>
    <t>f700b254</t>
  </si>
  <si>
    <t>3c818630</t>
  </si>
  <si>
    <t>25f00c6e</t>
  </si>
  <si>
    <t>2f593f55</t>
  </si>
  <si>
    <t>1dd60780</t>
  </si>
  <si>
    <t>00c7ac03</t>
  </si>
  <si>
    <t>2529f781</t>
  </si>
  <si>
    <t>63624acd</t>
  </si>
  <si>
    <t>da52451e</t>
  </si>
  <si>
    <t>7cecbcc9</t>
  </si>
  <si>
    <t>2fd6bad9</t>
  </si>
  <si>
    <t>9f33ac5f</t>
  </si>
  <si>
    <t>facb8a68</t>
  </si>
  <si>
    <t>76252a9e</t>
  </si>
  <si>
    <t>88cfb5c8</t>
  </si>
  <si>
    <t>45e79ae7</t>
  </si>
  <si>
    <t>777576ac</t>
  </si>
  <si>
    <t>b7bd8ca8</t>
  </si>
  <si>
    <t>76f77cca</t>
  </si>
  <si>
    <t>17e244b4</t>
  </si>
  <si>
    <t>24a3a7ae</t>
  </si>
  <si>
    <t>5a74f358</t>
  </si>
  <si>
    <t>f646b44b</t>
  </si>
  <si>
    <t>122bce63</t>
  </si>
  <si>
    <t>2a4480be</t>
  </si>
  <si>
    <t>b0f26aa2</t>
  </si>
  <si>
    <t>300cb345</t>
  </si>
  <si>
    <t>00f3e9b5</t>
  </si>
  <si>
    <t>203bf7a8</t>
  </si>
  <si>
    <t>2fcd66ea</t>
  </si>
  <si>
    <t>dbc7c5a9</t>
  </si>
  <si>
    <t>aeb3646d</t>
  </si>
  <si>
    <t>c49c5961</t>
  </si>
  <si>
    <t>71e0949d</t>
  </si>
  <si>
    <t>340dce88</t>
  </si>
  <si>
    <t>834f953b</t>
  </si>
  <si>
    <t>8f4645b2</t>
  </si>
  <si>
    <t>5c6feb51</t>
  </si>
  <si>
    <t>a5f45173</t>
  </si>
  <si>
    <t>4df6b933</t>
  </si>
  <si>
    <t>ef29a9f3</t>
  </si>
  <si>
    <t>aec4b6cd</t>
  </si>
  <si>
    <t>66041963</t>
  </si>
  <si>
    <t>14adf90f</t>
  </si>
  <si>
    <t>ca1a5760</t>
  </si>
  <si>
    <t>4ae93711</t>
  </si>
  <si>
    <t>b08dc162</t>
  </si>
  <si>
    <t>583f9be2</t>
  </si>
  <si>
    <t>cff3bc13</t>
  </si>
  <si>
    <t>d7e85abb</t>
  </si>
  <si>
    <t>9d3bd6b4</t>
  </si>
  <si>
    <t>05fbc0ee</t>
  </si>
  <si>
    <t>3e21d412</t>
  </si>
  <si>
    <t>2bcd1ca2</t>
  </si>
  <si>
    <t>2dec145d</t>
  </si>
  <si>
    <t>9b1886f0</t>
  </si>
  <si>
    <t>b1b68c83</t>
  </si>
  <si>
    <t>bbe7b463</t>
  </si>
  <si>
    <t>6ff565f7</t>
  </si>
  <si>
    <t>3324e3fd</t>
  </si>
  <si>
    <t>350a26f9</t>
  </si>
  <si>
    <t>1b04a6ad</t>
  </si>
  <si>
    <t>eb780776</t>
  </si>
  <si>
    <t>67035adb</t>
  </si>
  <si>
    <t>541edf83</t>
  </si>
  <si>
    <t>f33f4e4b</t>
  </si>
  <si>
    <t>4ba7c0ac</t>
  </si>
  <si>
    <t>823da304</t>
  </si>
  <si>
    <t>25d021c3</t>
  </si>
  <si>
    <t>1df78856</t>
  </si>
  <si>
    <t>c83d485e</t>
  </si>
  <si>
    <t>f8af55d9</t>
  </si>
  <si>
    <t>0b47813b</t>
  </si>
  <si>
    <t>436db4ed</t>
  </si>
  <si>
    <t>7588c1ba</t>
  </si>
  <si>
    <t>e92936e1</t>
  </si>
  <si>
    <t>601ae669</t>
  </si>
  <si>
    <t>6831b891</t>
  </si>
  <si>
    <t>e1245e04</t>
  </si>
  <si>
    <t>47bfe812</t>
  </si>
  <si>
    <t>1231a42f</t>
  </si>
  <si>
    <t>0f8490c4</t>
  </si>
  <si>
    <t>d5fd7bf2</t>
  </si>
  <si>
    <t>cabe7632</t>
  </si>
  <si>
    <t>31e898fa</t>
  </si>
  <si>
    <t>f52c8805</t>
  </si>
  <si>
    <t>a215e37d</t>
  </si>
  <si>
    <t>2bad1eb0</t>
  </si>
  <si>
    <t>b29be453</t>
  </si>
  <si>
    <t>7f7227c7</t>
  </si>
  <si>
    <t>d3b307f2</t>
  </si>
  <si>
    <t>afce513f</t>
  </si>
  <si>
    <t>ebd3af05</t>
  </si>
  <si>
    <t>2ddcc53b</t>
  </si>
  <si>
    <t>bd3f5109</t>
  </si>
  <si>
    <t>39eca676</t>
  </si>
  <si>
    <t>458dc502</t>
  </si>
  <si>
    <t>24fa01d6</t>
  </si>
  <si>
    <t>88cfeda1</t>
  </si>
  <si>
    <t>b5e38bf1</t>
  </si>
  <si>
    <t>d466f510</t>
  </si>
  <si>
    <t>4c10d780</t>
  </si>
  <si>
    <t>f6481b40</t>
  </si>
  <si>
    <t>22c17347</t>
  </si>
  <si>
    <t>2c81bcc2</t>
  </si>
  <si>
    <t>169f7682</t>
  </si>
  <si>
    <t>ca1d6828</t>
  </si>
  <si>
    <t>c2901ad0</t>
  </si>
  <si>
    <t>d256a5ff</t>
  </si>
  <si>
    <t>9f636573</t>
  </si>
  <si>
    <t>9ec5e7b2</t>
  </si>
  <si>
    <t>85bbe0cc</t>
  </si>
  <si>
    <t>107236ee</t>
  </si>
  <si>
    <t>2bc66d12</t>
  </si>
  <si>
    <t>45b9238d</t>
  </si>
  <si>
    <t>e69147b8</t>
  </si>
  <si>
    <t>3a50b80c</t>
  </si>
  <si>
    <t>5ece5c9b</t>
  </si>
  <si>
    <t>7ca5fa94</t>
  </si>
  <si>
    <t>3a11f10f</t>
  </si>
  <si>
    <t>504216be</t>
  </si>
  <si>
    <t>21e449c4</t>
  </si>
  <si>
    <t>9cdba85d</t>
  </si>
  <si>
    <t>6843ff59</t>
  </si>
  <si>
    <t>586d055d</t>
  </si>
  <si>
    <t>3b6ba4bb</t>
  </si>
  <si>
    <t>f616459d</t>
  </si>
  <si>
    <t>0921a3dc</t>
  </si>
  <si>
    <t>4346cab3</t>
  </si>
  <si>
    <t>153b9630</t>
  </si>
  <si>
    <t>6e0a80f4</t>
  </si>
  <si>
    <t>734ba9d9</t>
  </si>
  <si>
    <t>0fd3ded9</t>
  </si>
  <si>
    <t>79a3e0b4</t>
  </si>
  <si>
    <t>7a5de039</t>
  </si>
  <si>
    <t>2533ac18</t>
  </si>
  <si>
    <t>8c1da97f</t>
  </si>
  <si>
    <t>268d9aa7</t>
  </si>
  <si>
    <t>cb38a06e</t>
  </si>
  <si>
    <t>a865d6df</t>
  </si>
  <si>
    <t>bc626b44</t>
  </si>
  <si>
    <t>93f7f7f1</t>
  </si>
  <si>
    <t>29Dec0324</t>
  </si>
  <si>
    <t>aabd98ab</t>
  </si>
  <si>
    <t>2500541b</t>
  </si>
  <si>
    <t>80a8a4ac</t>
  </si>
  <si>
    <t>14a29ba3</t>
  </si>
  <si>
    <t>683bf08a</t>
  </si>
  <si>
    <t>69dab94f</t>
  </si>
  <si>
    <t>af652b63</t>
  </si>
  <si>
    <t>e7b2a996</t>
  </si>
  <si>
    <t>9243be49</t>
  </si>
  <si>
    <t>ad8c8562</t>
  </si>
  <si>
    <t>8a7d0255</t>
  </si>
  <si>
    <t>18a50e33</t>
  </si>
  <si>
    <t>bff0291f</t>
  </si>
  <si>
    <t>c1e1d389</t>
  </si>
  <si>
    <t>e17ed48e</t>
  </si>
  <si>
    <t>a12c89eb</t>
  </si>
  <si>
    <t>5bdc625c</t>
  </si>
  <si>
    <t>3463d99c</t>
  </si>
  <si>
    <t>6fc77fba</t>
  </si>
  <si>
    <t>7b8a6ee1</t>
  </si>
  <si>
    <t>cfe3f81e</t>
  </si>
  <si>
    <t>2bd9a004</t>
  </si>
  <si>
    <t>d9431ce0</t>
  </si>
  <si>
    <t>0a928e58</t>
  </si>
  <si>
    <t>0345453c</t>
  </si>
  <si>
    <t>7df67415</t>
  </si>
  <si>
    <t>ae35185f</t>
  </si>
  <si>
    <t>a8726fd8</t>
  </si>
  <si>
    <t>82a72e78</t>
  </si>
  <si>
    <t>a27ce0e7</t>
  </si>
  <si>
    <t>d7a97d46</t>
  </si>
  <si>
    <t>e1a74b6d</t>
  </si>
  <si>
    <t>a35d8155</t>
  </si>
  <si>
    <t>8286f4fc</t>
  </si>
  <si>
    <t>053b4baa</t>
  </si>
  <si>
    <t>c5095f79</t>
  </si>
  <si>
    <t>b661bb0b</t>
  </si>
  <si>
    <t>902938fc</t>
  </si>
  <si>
    <t>5f4fe1ac</t>
  </si>
  <si>
    <t>fa8cce20</t>
  </si>
  <si>
    <t>9f96bb21</t>
  </si>
  <si>
    <t>245e5e90</t>
  </si>
  <si>
    <t>fdfbf110</t>
  </si>
  <si>
    <t>c37ce83a</t>
  </si>
  <si>
    <t>8d4a791c</t>
  </si>
  <si>
    <t>5c909d90</t>
  </si>
  <si>
    <t>5482ce87</t>
  </si>
  <si>
    <t>5ea24016</t>
  </si>
  <si>
    <t>1ddaf202</t>
  </si>
  <si>
    <t>ae34de07</t>
  </si>
  <si>
    <t>a027665b</t>
  </si>
  <si>
    <t>221bbb46</t>
  </si>
  <si>
    <t>fabece3f</t>
  </si>
  <si>
    <t>2b805c9a</t>
  </si>
  <si>
    <t>8de850d1</t>
  </si>
  <si>
    <t>c655d147</t>
  </si>
  <si>
    <t>685416cf</t>
  </si>
  <si>
    <t>11dab5a6</t>
  </si>
  <si>
    <t>7263777e</t>
  </si>
  <si>
    <t>64c0b671</t>
  </si>
  <si>
    <t>a6783b22</t>
  </si>
  <si>
    <t>f7d21729</t>
  </si>
  <si>
    <t>34c518e1</t>
  </si>
  <si>
    <t>6f4753a5</t>
  </si>
  <si>
    <t>abf63fb2</t>
  </si>
  <si>
    <t>afe16928</t>
  </si>
  <si>
    <t>557cdc68</t>
  </si>
  <si>
    <t>70f0940b</t>
  </si>
  <si>
    <t>892bdb1a</t>
  </si>
  <si>
    <t>07178b3b</t>
  </si>
  <si>
    <t>d97919fb</t>
  </si>
  <si>
    <t>22959558</t>
  </si>
  <si>
    <t>d76f64ef</t>
  </si>
  <si>
    <t>eb696268</t>
  </si>
  <si>
    <t>30dd0674</t>
  </si>
  <si>
    <t>747b2516</t>
  </si>
  <si>
    <t>c6b9a1b0</t>
  </si>
  <si>
    <t>e7db26c3</t>
  </si>
  <si>
    <t>91484ad2</t>
  </si>
  <si>
    <t>5225cad4</t>
  </si>
  <si>
    <t>4b7c72fe</t>
  </si>
  <si>
    <t>9710ac53</t>
  </si>
  <si>
    <t>a7d71ab5</t>
  </si>
  <si>
    <t>5fa9094f</t>
  </si>
  <si>
    <t>175177c1</t>
  </si>
  <si>
    <t>c36481af</t>
  </si>
  <si>
    <t>c827d12c</t>
  </si>
  <si>
    <t>3f4224f3</t>
  </si>
  <si>
    <t>e0d20a55</t>
  </si>
  <si>
    <t>d05406fb</t>
  </si>
  <si>
    <t>e3584473</t>
  </si>
  <si>
    <t>505050cc</t>
  </si>
  <si>
    <t>fd306559</t>
  </si>
  <si>
    <t>eab92288</t>
  </si>
  <si>
    <t>359a5fc1</t>
  </si>
  <si>
    <t>e05719f5</t>
  </si>
  <si>
    <t>c68c66b3</t>
  </si>
  <si>
    <t>974a0f07</t>
  </si>
  <si>
    <t>67430551</t>
  </si>
  <si>
    <t>fa622f0e</t>
  </si>
  <si>
    <t>c123b8e3</t>
  </si>
  <si>
    <t>65da4827</t>
  </si>
  <si>
    <t>128e31c5</t>
  </si>
  <si>
    <t>c9ae30c0</t>
  </si>
  <si>
    <t>e0984836</t>
  </si>
  <si>
    <t>89afedc7</t>
  </si>
  <si>
    <t>a649c35d</t>
  </si>
  <si>
    <t>ce290f78</t>
  </si>
  <si>
    <t>7370711e</t>
  </si>
  <si>
    <t>4bba7eea</t>
  </si>
  <si>
    <t>3a211676</t>
  </si>
  <si>
    <t>4b943b65</t>
  </si>
  <si>
    <t>a32bd564</t>
  </si>
  <si>
    <t>f45b4f52</t>
  </si>
  <si>
    <t>f0e5343b</t>
  </si>
  <si>
    <t>651a49e5</t>
  </si>
  <si>
    <t>dbcc379b</t>
  </si>
  <si>
    <t>acbeade9</t>
  </si>
  <si>
    <t>96d7d586</t>
  </si>
  <si>
    <t>21f8b20d</t>
  </si>
  <si>
    <t>e4b28613</t>
  </si>
  <si>
    <t>0fcb6eb3</t>
  </si>
  <si>
    <t>13c36d50</t>
  </si>
  <si>
    <t>2c174e9b</t>
  </si>
  <si>
    <t>61a0a26c</t>
  </si>
  <si>
    <t>7a53ef1f</t>
  </si>
  <si>
    <t>19bf0ed2</t>
  </si>
  <si>
    <t>01d543d3</t>
  </si>
  <si>
    <t>32fb295f</t>
  </si>
  <si>
    <t>e4213893</t>
  </si>
  <si>
    <t>1d105116</t>
  </si>
  <si>
    <t>7acee2f1</t>
  </si>
  <si>
    <t>fe2536f1</t>
  </si>
  <si>
    <t>98267135</t>
  </si>
  <si>
    <t>d2b8d187</t>
  </si>
  <si>
    <t>9c959d2a</t>
  </si>
  <si>
    <t>88797feb</t>
  </si>
  <si>
    <t>94b39195</t>
  </si>
  <si>
    <t>54241d2f</t>
  </si>
  <si>
    <t>b8bba1fe</t>
  </si>
  <si>
    <t>ff95e5e0</t>
  </si>
  <si>
    <t>ae4496ce</t>
  </si>
  <si>
    <t>d8ce324a</t>
  </si>
  <si>
    <t>a1d3a147</t>
  </si>
  <si>
    <t>49752fc8</t>
  </si>
  <si>
    <t>2b10d935</t>
  </si>
  <si>
    <t>3d357621</t>
  </si>
  <si>
    <t>80a016cc</t>
  </si>
  <si>
    <t>bb70d13c</t>
  </si>
  <si>
    <t>23c4dc49</t>
  </si>
  <si>
    <t>a60c6c04</t>
  </si>
  <si>
    <t>0d5aeec8</t>
  </si>
  <si>
    <t>ba6431f0</t>
  </si>
  <si>
    <t>d233828e</t>
  </si>
  <si>
    <t>afde14c4</t>
  </si>
  <si>
    <t>0357d895</t>
  </si>
  <si>
    <t>ee8a61ee</t>
  </si>
  <si>
    <t>eded2a53</t>
  </si>
  <si>
    <t>d62f9c62</t>
  </si>
  <si>
    <t>fbd37e83</t>
  </si>
  <si>
    <t>f75b383b</t>
  </si>
  <si>
    <t>04a3abac</t>
  </si>
  <si>
    <t>0d5a82d1</t>
  </si>
  <si>
    <t>56c2e6a0</t>
  </si>
  <si>
    <t>8487bdd9</t>
  </si>
  <si>
    <t>8a132589</t>
  </si>
  <si>
    <t>c9022355</t>
  </si>
  <si>
    <t>0a3587fc</t>
  </si>
  <si>
    <t>3a76d87b</t>
  </si>
  <si>
    <t>5bd85235</t>
  </si>
  <si>
    <t>c743fd76</t>
  </si>
  <si>
    <t>ab03d3ec</t>
  </si>
  <si>
    <t>bd7b72cd</t>
  </si>
  <si>
    <t>6b3d63ad</t>
  </si>
  <si>
    <t>10a188a2</t>
  </si>
  <si>
    <t>6b06d267</t>
  </si>
  <si>
    <t>cb9cff71</t>
  </si>
  <si>
    <t>5e3e0f13</t>
  </si>
  <si>
    <t>6c6942bb</t>
  </si>
  <si>
    <t>2597be08</t>
  </si>
  <si>
    <t>bf446451</t>
  </si>
  <si>
    <t>aed03a51</t>
  </si>
  <si>
    <t>0099c07d</t>
  </si>
  <si>
    <t>1a8d6075</t>
  </si>
  <si>
    <t>8efceb90</t>
  </si>
  <si>
    <t>32852628</t>
  </si>
  <si>
    <t>b8e7c4b7</t>
  </si>
  <si>
    <t>4cf7b888</t>
  </si>
  <si>
    <t>23de2421</t>
  </si>
  <si>
    <t>fe6081ee</t>
  </si>
  <si>
    <t>12c59b5b</t>
  </si>
  <si>
    <t>a2911315</t>
  </si>
  <si>
    <t>6f173821</t>
  </si>
  <si>
    <t>3a0cdf31</t>
  </si>
  <si>
    <t>1f024716</t>
  </si>
  <si>
    <t>7d36ab05</t>
  </si>
  <si>
    <t>ab8927a9</t>
  </si>
  <si>
    <t>9ef35540</t>
  </si>
  <si>
    <t>d895533e</t>
  </si>
  <si>
    <t>3a5c16b2</t>
  </si>
  <si>
    <t>4bba92ee</t>
  </si>
  <si>
    <t>2acac43a</t>
  </si>
  <si>
    <t>a7a6c292</t>
  </si>
  <si>
    <t>cee9dc77</t>
  </si>
  <si>
    <t>b36196a8</t>
  </si>
  <si>
    <t>0c5e279c</t>
  </si>
  <si>
    <t>76c7d538</t>
  </si>
  <si>
    <t>ae48eb73</t>
  </si>
  <si>
    <t>f11c4c8e</t>
  </si>
  <si>
    <t>605a38a8</t>
  </si>
  <si>
    <t>04d8027b</t>
  </si>
  <si>
    <t>96db0078</t>
  </si>
  <si>
    <t>271ade23</t>
  </si>
  <si>
    <t>6c97d3a1</t>
  </si>
  <si>
    <t>9521abea</t>
  </si>
  <si>
    <t>98470125</t>
  </si>
  <si>
    <t>f93353da</t>
  </si>
  <si>
    <t>a0b5c945</t>
  </si>
  <si>
    <t>35a969b7</t>
  </si>
  <si>
    <t>b9ec9a22</t>
  </si>
  <si>
    <t>400a8ccd</t>
  </si>
  <si>
    <t>c613e630</t>
  </si>
  <si>
    <t>d5bb2e2b</t>
  </si>
  <si>
    <t>912e0f84</t>
  </si>
  <si>
    <t>adf95a01</t>
  </si>
  <si>
    <t>3a73d059</t>
  </si>
  <si>
    <t>c811b765</t>
  </si>
  <si>
    <t>f20bfe0b</t>
  </si>
  <si>
    <t>42777bc0</t>
  </si>
  <si>
    <t>e7a28075</t>
  </si>
  <si>
    <t>f23e4cd0</t>
  </si>
  <si>
    <t>5fe68b20</t>
  </si>
  <si>
    <t>f6909d32</t>
  </si>
  <si>
    <t>b6424b0d</t>
  </si>
  <si>
    <t>81b95fd8</t>
  </si>
  <si>
    <t>744730b5</t>
  </si>
  <si>
    <t>f9107fad</t>
  </si>
  <si>
    <t>c43512a1</t>
  </si>
  <si>
    <t>27f513b4</t>
  </si>
  <si>
    <t>bf3c83e2</t>
  </si>
  <si>
    <t>bfe80959</t>
  </si>
  <si>
    <t>7d71b1a9</t>
  </si>
  <si>
    <t>7dbcc9a5</t>
  </si>
  <si>
    <t>63543be6</t>
  </si>
  <si>
    <t>bf1c554e</t>
  </si>
  <si>
    <t>0c6754cc</t>
  </si>
  <si>
    <t>a53bda4b</t>
  </si>
  <si>
    <t>3efa6ad7</t>
  </si>
  <si>
    <t>e06bef05</t>
  </si>
  <si>
    <t>4dec39d5</t>
  </si>
  <si>
    <t>5d7c66d8</t>
  </si>
  <si>
    <t>dacd6c0c</t>
  </si>
  <si>
    <t>2895ed81</t>
  </si>
  <si>
    <t>07efaf5f</t>
  </si>
  <si>
    <t>c284cda9</t>
  </si>
  <si>
    <t>001a3366</t>
  </si>
  <si>
    <t>651ec853</t>
  </si>
  <si>
    <t>407d8877</t>
  </si>
  <si>
    <t>9081bbac</t>
  </si>
  <si>
    <t>1a0d3aae</t>
  </si>
  <si>
    <t>d480b5c8</t>
  </si>
  <si>
    <t>9a576427</t>
  </si>
  <si>
    <t>3d392c79</t>
  </si>
  <si>
    <t>befe95ec</t>
  </si>
  <si>
    <t>a96f99fe</t>
  </si>
  <si>
    <t>02e9eeee</t>
  </si>
  <si>
    <t>e3990c78</t>
  </si>
  <si>
    <t>cbb4c55c</t>
  </si>
  <si>
    <t>b44099e3</t>
  </si>
  <si>
    <t>c7d022c4</t>
  </si>
  <si>
    <t>040c0eab</t>
  </si>
  <si>
    <t>af19280b</t>
  </si>
  <si>
    <t>042b4059</t>
  </si>
  <si>
    <t>f0dfda6d</t>
  </si>
  <si>
    <t>ef6c033d</t>
  </si>
  <si>
    <t>806f3914</t>
  </si>
  <si>
    <t>6d69be52</t>
  </si>
  <si>
    <t>66af2cb6</t>
  </si>
  <si>
    <t>119068c3</t>
  </si>
  <si>
    <t>d90f41ad</t>
  </si>
  <si>
    <t>8937f288</t>
  </si>
  <si>
    <t>302c41ca</t>
  </si>
  <si>
    <t>60491f07</t>
  </si>
  <si>
    <t>8dd95e6f</t>
  </si>
  <si>
    <t>05b7d2e6</t>
  </si>
  <si>
    <t>961db9bb</t>
  </si>
  <si>
    <t>4dcaad1c</t>
  </si>
  <si>
    <t>6d4dc929</t>
  </si>
  <si>
    <t>8709659f</t>
  </si>
  <si>
    <t>fe102dca</t>
  </si>
  <si>
    <t>8c48440e</t>
  </si>
  <si>
    <t>c7defdf4</t>
  </si>
  <si>
    <t>16bda186</t>
  </si>
  <si>
    <t>f974a08a</t>
  </si>
  <si>
    <t>ed9b8e0f</t>
  </si>
  <si>
    <t>61648428</t>
  </si>
  <si>
    <t>5b2494d9</t>
  </si>
  <si>
    <t>a498bb8f</t>
  </si>
  <si>
    <t>bd858a7f</t>
  </si>
  <si>
    <t>1a5e6b6b</t>
  </si>
  <si>
    <t>a1152e2f</t>
  </si>
  <si>
    <t>b626f79b</t>
  </si>
  <si>
    <t>462c3795</t>
  </si>
  <si>
    <t>80e206e5</t>
  </si>
  <si>
    <t>18cb07a0</t>
  </si>
  <si>
    <t>464700af</t>
  </si>
  <si>
    <t>9c4d2280</t>
  </si>
  <si>
    <t>c3d815fb</t>
  </si>
  <si>
    <t>f0b1289d</t>
  </si>
  <si>
    <t>5522ca5b</t>
  </si>
  <si>
    <t>e930dfb7</t>
  </si>
  <si>
    <t>803ca507</t>
  </si>
  <si>
    <t>32843686</t>
  </si>
  <si>
    <t>301e0a30</t>
  </si>
  <si>
    <t>b5d6ec6a</t>
  </si>
  <si>
    <t>5a48d163</t>
  </si>
  <si>
    <t>1129bf32</t>
  </si>
  <si>
    <t>23911792</t>
  </si>
  <si>
    <t>58f48fe1</t>
  </si>
  <si>
    <t>7f904a80</t>
  </si>
  <si>
    <t>b585d2fa</t>
  </si>
  <si>
    <t>57238063</t>
  </si>
  <si>
    <t>6550b08d</t>
  </si>
  <si>
    <t>1e9a023e</t>
  </si>
  <si>
    <t>b113601c</t>
  </si>
  <si>
    <t>1f149b61</t>
  </si>
  <si>
    <t>a8ddc50a</t>
  </si>
  <si>
    <t>8153e9da</t>
  </si>
  <si>
    <t>9d054e86</t>
  </si>
  <si>
    <t>9c51c43f</t>
  </si>
  <si>
    <t>a9df71b0</t>
  </si>
  <si>
    <t>3c86ba49</t>
  </si>
  <si>
    <t>8f0e7765</t>
  </si>
  <si>
    <t>0de08821</t>
  </si>
  <si>
    <t>fff5482b</t>
  </si>
  <si>
    <t>53dcdcfe</t>
  </si>
  <si>
    <t>33bb79b7</t>
  </si>
  <si>
    <t>af84f471</t>
  </si>
  <si>
    <t>de4f089d</t>
  </si>
  <si>
    <t>40667fb8</t>
  </si>
  <si>
    <t>20888760</t>
  </si>
  <si>
    <t>b0a218ab</t>
  </si>
  <si>
    <t>45976595</t>
  </si>
  <si>
    <t>bce51b1c</t>
  </si>
  <si>
    <t>c4d8e385</t>
  </si>
  <si>
    <t>59765dd9</t>
  </si>
  <si>
    <t>38cc74b0</t>
  </si>
  <si>
    <t>cc2fbd44</t>
  </si>
  <si>
    <t>c9220b8f</t>
  </si>
  <si>
    <t>82196811</t>
  </si>
  <si>
    <t>a1ee756b</t>
  </si>
  <si>
    <t>5867454e</t>
  </si>
  <si>
    <t>a5fc9825</t>
  </si>
  <si>
    <t>70234aac</t>
  </si>
  <si>
    <t>23a500db</t>
  </si>
  <si>
    <t>2c08c8a9</t>
  </si>
  <si>
    <t>9502b73e</t>
  </si>
  <si>
    <t>be7d37f1</t>
  </si>
  <si>
    <t>6c5d17d1</t>
  </si>
  <si>
    <t>0fa6dd1e</t>
  </si>
  <si>
    <t>22c35175</t>
  </si>
  <si>
    <t>9e4ec846</t>
  </si>
  <si>
    <t>9133d969</t>
  </si>
  <si>
    <t>345baf24</t>
  </si>
  <si>
    <t>3c267b50</t>
  </si>
  <si>
    <t>6a7bbd29</t>
  </si>
  <si>
    <t>7568fa1b</t>
  </si>
  <si>
    <t>dea5de91</t>
  </si>
  <si>
    <t>2b6cf369</t>
  </si>
  <si>
    <t>fba04fc4</t>
  </si>
  <si>
    <t>de22425b</t>
  </si>
  <si>
    <t>a48efbd3</t>
  </si>
  <si>
    <t>bf4bdb81</t>
  </si>
  <si>
    <t>bbb0c0c4</t>
  </si>
  <si>
    <t>a35ab778</t>
  </si>
  <si>
    <t>4a0e83d4</t>
  </si>
  <si>
    <t>0d5b18be</t>
  </si>
  <si>
    <t>4c2900c7</t>
  </si>
  <si>
    <t>863c00d2</t>
  </si>
  <si>
    <t>40f90f45</t>
  </si>
  <si>
    <t>f7c982ef</t>
  </si>
  <si>
    <t>34bd5d0e</t>
  </si>
  <si>
    <t>84b69f12</t>
  </si>
  <si>
    <t>fc51c179</t>
  </si>
  <si>
    <t>9f27f3b4</t>
  </si>
  <si>
    <t>e39ec6de</t>
  </si>
  <si>
    <t>17456a66</t>
  </si>
  <si>
    <t>bf36dbb1</t>
  </si>
  <si>
    <t>3a4fc62b</t>
  </si>
  <si>
    <t>e95ba772</t>
  </si>
  <si>
    <t>d39a4832</t>
  </si>
  <si>
    <t>6c4901db</t>
  </si>
  <si>
    <t>d3771497</t>
  </si>
  <si>
    <t>d98e373d</t>
  </si>
  <si>
    <t>fa574f8e</t>
  </si>
  <si>
    <t>a41ccc21</t>
  </si>
  <si>
    <t>83bb9bba</t>
  </si>
  <si>
    <t>22b05fa2</t>
  </si>
  <si>
    <t>af683070</t>
  </si>
  <si>
    <t>5ec9bda2</t>
  </si>
  <si>
    <t>83e1dbae</t>
  </si>
  <si>
    <t>f5bf1316</t>
  </si>
  <si>
    <t>3f2a94d8</t>
  </si>
  <si>
    <t>9d5d595e</t>
  </si>
  <si>
    <t>c774449c</t>
  </si>
  <si>
    <t>d0e12f3a</t>
  </si>
  <si>
    <t>7eacacfb</t>
  </si>
  <si>
    <t>11ad5a4a</t>
  </si>
  <si>
    <t>bc0cc702</t>
  </si>
  <si>
    <t>2eded986</t>
  </si>
  <si>
    <t>2d65e155</t>
  </si>
  <si>
    <t>d5c211b4</t>
  </si>
  <si>
    <t>e78fc3c9</t>
  </si>
  <si>
    <t>6729976d</t>
  </si>
  <si>
    <t>a1678e6d</t>
  </si>
  <si>
    <t>ead44bd8</t>
  </si>
  <si>
    <t>4429cb9f</t>
  </si>
  <si>
    <t>5a6956be</t>
  </si>
  <si>
    <t>e4a41b8a</t>
  </si>
  <si>
    <t>64a2acbe</t>
  </si>
  <si>
    <t>335ae1df</t>
  </si>
  <si>
    <t>dde5efd9</t>
  </si>
  <si>
    <t>d8d76d75</t>
  </si>
  <si>
    <t>758c7e66</t>
  </si>
  <si>
    <t>691f5194</t>
  </si>
  <si>
    <t>7444d325</t>
  </si>
  <si>
    <t>78034a12</t>
  </si>
  <si>
    <t>a78a1587</t>
  </si>
  <si>
    <t>964d5bc3</t>
  </si>
  <si>
    <t>f83527d7</t>
  </si>
  <si>
    <t>f2a23619</t>
  </si>
  <si>
    <t>c07d5648</t>
  </si>
  <si>
    <t>6c8ae733</t>
  </si>
  <si>
    <t>e3c01564</t>
  </si>
  <si>
    <t>644b542c</t>
  </si>
  <si>
    <t>1bafa5e5</t>
  </si>
  <si>
    <t>98b7ab36</t>
  </si>
  <si>
    <t>a4d34664</t>
  </si>
  <si>
    <t>d091004d</t>
  </si>
  <si>
    <t>9e33b3da</t>
  </si>
  <si>
    <t>27fc91df</t>
  </si>
  <si>
    <t>99afb8e8</t>
  </si>
  <si>
    <t>9ffc1fc4</t>
  </si>
  <si>
    <t>6b513ee2</t>
  </si>
  <si>
    <t>9dd37edf</t>
  </si>
  <si>
    <t>16765249</t>
  </si>
  <si>
    <t>ba5a4e50</t>
  </si>
  <si>
    <t>06047d4a</t>
  </si>
  <si>
    <t>6c4543e2</t>
  </si>
  <si>
    <t>2ecb4d88</t>
  </si>
  <si>
    <t>a08f9dd2</t>
  </si>
  <si>
    <t>c1bf985f</t>
  </si>
  <si>
    <t>c59952d0</t>
  </si>
  <si>
    <t>8442ba81</t>
  </si>
  <si>
    <t>fe0ff6a8</t>
  </si>
  <si>
    <t>60fc38f5</t>
  </si>
  <si>
    <t>c5083f85</t>
  </si>
  <si>
    <t>db7f46a5</t>
  </si>
  <si>
    <t>d596424c</t>
  </si>
  <si>
    <t>05a61d24</t>
  </si>
  <si>
    <t>bac32e2d</t>
  </si>
  <si>
    <t>3a9d5a27</t>
  </si>
  <si>
    <t>fe99d839</t>
  </si>
  <si>
    <t>cef885e2</t>
  </si>
  <si>
    <t>0c6178b9</t>
  </si>
  <si>
    <t>ff5b2ce2</t>
  </si>
  <si>
    <t>fbba11ee</t>
  </si>
  <si>
    <t>a86cbbec</t>
  </si>
  <si>
    <t>f6897938</t>
  </si>
  <si>
    <t>ce326530</t>
  </si>
  <si>
    <t>1559db4f</t>
  </si>
  <si>
    <t>61f235b3</t>
  </si>
  <si>
    <t>0fc06e69</t>
  </si>
  <si>
    <t>9de1e6ed</t>
  </si>
  <si>
    <t>22ff77cb</t>
  </si>
  <si>
    <t>41ae6d80</t>
  </si>
  <si>
    <t>37093ad1</t>
  </si>
  <si>
    <t>4d007568</t>
  </si>
  <si>
    <t>39eaa81c</t>
  </si>
  <si>
    <t>259640b0</t>
  </si>
  <si>
    <t>66374d2e</t>
  </si>
  <si>
    <t>683f5f62</t>
  </si>
  <si>
    <t>766fdf14</t>
  </si>
  <si>
    <t>e4d9bcd9</t>
  </si>
  <si>
    <t>21f23fdb</t>
  </si>
  <si>
    <t>8056082a</t>
  </si>
  <si>
    <t>d694fb8e</t>
  </si>
  <si>
    <t>02ca28af</t>
  </si>
  <si>
    <t>94b7eba6</t>
  </si>
  <si>
    <t>ae246dcd</t>
  </si>
  <si>
    <t>56bef437</t>
  </si>
  <si>
    <t>00261c72</t>
  </si>
  <si>
    <t>8e4e39ba</t>
  </si>
  <si>
    <t>9394602b</t>
  </si>
  <si>
    <t>e9afe8f7</t>
  </si>
  <si>
    <t>80acec91</t>
  </si>
  <si>
    <t>8e64f5a0</t>
  </si>
  <si>
    <t>78cb850a</t>
  </si>
  <si>
    <t>501bb5a0</t>
  </si>
  <si>
    <t>82cc3df4</t>
  </si>
  <si>
    <t>41732cda</t>
  </si>
  <si>
    <t>69455c23</t>
  </si>
  <si>
    <t>a6a5dc22</t>
  </si>
  <si>
    <t>c1154f7b</t>
  </si>
  <si>
    <t>3e22296b</t>
  </si>
  <si>
    <t>3975f243</t>
  </si>
  <si>
    <t>a7b3c3c6</t>
  </si>
  <si>
    <t>18474f40</t>
  </si>
  <si>
    <t>2bc91859</t>
  </si>
  <si>
    <t>8ee89fdb</t>
  </si>
  <si>
    <t>673e814d</t>
  </si>
  <si>
    <t>41f92af3</t>
  </si>
  <si>
    <t>d9fc43f5</t>
  </si>
  <si>
    <t>7b978d3b</t>
  </si>
  <si>
    <t>a6908f86</t>
  </si>
  <si>
    <t>48ae95c9</t>
  </si>
  <si>
    <t>3cd04215</t>
  </si>
  <si>
    <t>f19003a8</t>
  </si>
  <si>
    <t>6444ec4e</t>
  </si>
  <si>
    <t>8b668d0f</t>
  </si>
  <si>
    <t>a61e671b</t>
  </si>
  <si>
    <t>6fd7ae9e</t>
  </si>
  <si>
    <t>df620bd8</t>
  </si>
  <si>
    <t>37096fb6</t>
  </si>
  <si>
    <t>5911624b</t>
  </si>
  <si>
    <t>0336bc51</t>
  </si>
  <si>
    <t>62ad70bc</t>
  </si>
  <si>
    <t>ffcccbf8</t>
  </si>
  <si>
    <t>bd68e94c</t>
  </si>
  <si>
    <t>6589c66d</t>
  </si>
  <si>
    <t>9a3da78d</t>
  </si>
  <si>
    <t>cf6c4d90</t>
  </si>
  <si>
    <t>81353b83</t>
  </si>
  <si>
    <t>fb40a272</t>
  </si>
  <si>
    <t>428dd86a</t>
  </si>
  <si>
    <t>97fcd8ef</t>
  </si>
  <si>
    <t>5fbca9f2</t>
  </si>
  <si>
    <t>330569ea</t>
  </si>
  <si>
    <t>92aaaec2</t>
  </si>
  <si>
    <t>ab9dfff3</t>
  </si>
  <si>
    <t>4c061a87</t>
  </si>
  <si>
    <t>266bf0c5</t>
  </si>
  <si>
    <t>0b957cb4</t>
  </si>
  <si>
    <t>b00e6b07</t>
  </si>
  <si>
    <t>c60bd4e4</t>
  </si>
  <si>
    <t>829984a2</t>
  </si>
  <si>
    <t>5cc0d5ed</t>
  </si>
  <si>
    <t>ca2a20d5</t>
  </si>
  <si>
    <t>26b13f78</t>
  </si>
  <si>
    <t>ca57784c</t>
  </si>
  <si>
    <t>651c3344</t>
  </si>
  <si>
    <t>e2929343</t>
  </si>
  <si>
    <t>e8d1e434</t>
  </si>
  <si>
    <t>d27fddae</t>
  </si>
  <si>
    <t>9e0ab2d6</t>
  </si>
  <si>
    <t>2258bb2b</t>
  </si>
  <si>
    <t>302b78ff</t>
  </si>
  <si>
    <t>87113c8e</t>
  </si>
  <si>
    <t>2dcdb92b</t>
  </si>
  <si>
    <t>54b5c53f</t>
  </si>
  <si>
    <t>18b67b2c</t>
  </si>
  <si>
    <t>0aeea4ca</t>
  </si>
  <si>
    <t>63a5dd08</t>
  </si>
  <si>
    <t>283a21ce</t>
  </si>
  <si>
    <t>06f88cc7</t>
  </si>
  <si>
    <t>f9dfc442</t>
  </si>
  <si>
    <t>0f79632b</t>
  </si>
  <si>
    <t>0981ea74</t>
  </si>
  <si>
    <t>1229725f</t>
  </si>
  <si>
    <t>a91d6e69</t>
  </si>
  <si>
    <t>d8325068</t>
  </si>
  <si>
    <t>06660b3c</t>
  </si>
  <si>
    <t>d0c31783</t>
  </si>
  <si>
    <t>1e95dc02</t>
  </si>
  <si>
    <t>29fe4de1</t>
  </si>
  <si>
    <t>695c2f60</t>
  </si>
  <si>
    <t>cbbdf268</t>
  </si>
  <si>
    <t>7be55fba</t>
  </si>
  <si>
    <t>557e994c</t>
  </si>
  <si>
    <t>317ad9fa</t>
  </si>
  <si>
    <t>2d2a4cd2</t>
  </si>
  <si>
    <t>8753da1d</t>
  </si>
  <si>
    <t>32e56c2c</t>
  </si>
  <si>
    <t>48e87e7a</t>
  </si>
  <si>
    <t>626d0b59</t>
  </si>
  <si>
    <t>42418c76</t>
  </si>
  <si>
    <t>b158b36f</t>
  </si>
  <si>
    <t>0407b6ca</t>
  </si>
  <si>
    <t>32b1a576</t>
  </si>
  <si>
    <t>24ca00d1</t>
  </si>
  <si>
    <t>30a3e53a</t>
  </si>
  <si>
    <t>ed3fd0f5</t>
  </si>
  <si>
    <t>ad927c5c</t>
  </si>
  <si>
    <t>5d9e39d4</t>
  </si>
  <si>
    <t>4a5b465b</t>
  </si>
  <si>
    <t>0a17e837</t>
  </si>
  <si>
    <t>3eb0dcfe</t>
  </si>
  <si>
    <t>44500c13</t>
  </si>
  <si>
    <t>54b8022d</t>
  </si>
  <si>
    <t>c65052b2</t>
  </si>
  <si>
    <t>745c4246</t>
  </si>
  <si>
    <t>97a5c4d1</t>
  </si>
  <si>
    <t>5fbbb47a</t>
  </si>
  <si>
    <t>d6633176</t>
  </si>
  <si>
    <t>1cd10477</t>
  </si>
  <si>
    <t>059715bd</t>
  </si>
  <si>
    <t>014c9d65</t>
  </si>
  <si>
    <t>a5177b99</t>
  </si>
  <si>
    <t>2418254f</t>
  </si>
  <si>
    <t>b7102f78</t>
  </si>
  <si>
    <t>8b579fb6</t>
  </si>
  <si>
    <t>7dc66417</t>
  </si>
  <si>
    <t>8e6b2e77</t>
  </si>
  <si>
    <t>e002bc3d</t>
  </si>
  <si>
    <t>ab1cdc72</t>
  </si>
  <si>
    <t>54a10a4b</t>
  </si>
  <si>
    <t>75d2e12c</t>
  </si>
  <si>
    <t>d64e7dcd</t>
  </si>
  <si>
    <t>23bcac79</t>
  </si>
  <si>
    <t>87487ab3</t>
  </si>
  <si>
    <t>b624f2f3</t>
  </si>
  <si>
    <t>ba5970c7</t>
  </si>
  <si>
    <t>c5645e6d</t>
  </si>
  <si>
    <t>5b94b8c4</t>
  </si>
  <si>
    <t>b5bec235</t>
  </si>
  <si>
    <t>5291c41b</t>
  </si>
  <si>
    <t>61a26459</t>
  </si>
  <si>
    <t>fd25c7be</t>
  </si>
  <si>
    <t>483ad2a8</t>
  </si>
  <si>
    <t>242e171e</t>
  </si>
  <si>
    <t>57d130f8</t>
  </si>
  <si>
    <t>830fd67a</t>
  </si>
  <si>
    <t>0b960b22</t>
  </si>
  <si>
    <t>bc512641</t>
  </si>
  <si>
    <t>fa554870</t>
  </si>
  <si>
    <t>d2c1df98</t>
  </si>
  <si>
    <t>ee4fb2e6</t>
  </si>
  <si>
    <t>8d9274bd</t>
  </si>
  <si>
    <t>e0be82f2</t>
  </si>
  <si>
    <t>019578b0</t>
  </si>
  <si>
    <t>28b8344b</t>
  </si>
  <si>
    <t>29a7558c</t>
  </si>
  <si>
    <t>8006228d</t>
  </si>
  <si>
    <t>46aed3cc</t>
  </si>
  <si>
    <t>4adfc5f2</t>
  </si>
  <si>
    <t>34262efe</t>
  </si>
  <si>
    <t>373353ba</t>
  </si>
  <si>
    <t>e181a97e</t>
  </si>
  <si>
    <t>1877e85e</t>
  </si>
  <si>
    <t>82b03d0a</t>
  </si>
  <si>
    <t>1c6e23e6</t>
  </si>
  <si>
    <t>cb896536</t>
  </si>
  <si>
    <t>90fc06fa</t>
  </si>
  <si>
    <t>53f4de78</t>
  </si>
  <si>
    <t>bdfe58b9</t>
  </si>
  <si>
    <t>1748dfa4</t>
  </si>
  <si>
    <t>1134eb81</t>
  </si>
  <si>
    <t>5bfebc4e</t>
  </si>
  <si>
    <t>3cfa1268</t>
  </si>
  <si>
    <t>750fe284</t>
  </si>
  <si>
    <t>d839bfcc</t>
  </si>
  <si>
    <t>a8ccaa62</t>
  </si>
  <si>
    <t>76bdc6e5</t>
  </si>
  <si>
    <t>15be0eeb</t>
  </si>
  <si>
    <t>df0a3933</t>
  </si>
  <si>
    <t>81575c38</t>
  </si>
  <si>
    <t>f2a1fcab</t>
  </si>
  <si>
    <t>8e89b050</t>
  </si>
  <si>
    <t>b1a9fee1</t>
  </si>
  <si>
    <t>2a53edae</t>
  </si>
  <si>
    <t>d863233f</t>
  </si>
  <si>
    <t>89e0b78c</t>
  </si>
  <si>
    <t>f5b40b2b</t>
  </si>
  <si>
    <t>1b8f830f</t>
  </si>
  <si>
    <t>7f7dd1a2</t>
  </si>
  <si>
    <t>1e75265c</t>
  </si>
  <si>
    <t>94c2fbb9</t>
  </si>
  <si>
    <t>44875a45</t>
  </si>
  <si>
    <t>896f49ed</t>
  </si>
  <si>
    <t>66dc6992</t>
  </si>
  <si>
    <t>70960a2e</t>
  </si>
  <si>
    <t>e8e7d093</t>
  </si>
  <si>
    <t>ba3bf341</t>
  </si>
  <si>
    <t>1bcf7201</t>
  </si>
  <si>
    <t>c99d8355</t>
  </si>
  <si>
    <t>611955d6</t>
  </si>
  <si>
    <t>7af1a159</t>
  </si>
  <si>
    <t>d62b21a8</t>
  </si>
  <si>
    <t>582045c0</t>
  </si>
  <si>
    <t>70eb7e2e</t>
  </si>
  <si>
    <t>ffb00d89</t>
  </si>
  <si>
    <t>d7dbdb87</t>
  </si>
  <si>
    <t>ae386f5f</t>
  </si>
  <si>
    <t>b6ff9667</t>
  </si>
  <si>
    <t>f713fd57</t>
  </si>
  <si>
    <t>590b786c</t>
  </si>
  <si>
    <t>cb7af9d7</t>
  </si>
  <si>
    <t>847a8a8c</t>
  </si>
  <si>
    <t>9b692f1d</t>
  </si>
  <si>
    <t>442159a2</t>
  </si>
  <si>
    <t>9914ced4</t>
  </si>
  <si>
    <t>ff44cac5</t>
  </si>
  <si>
    <t>d84f80e6</t>
  </si>
  <si>
    <t>bb06d5c9</t>
  </si>
  <si>
    <t>db70e2a1</t>
  </si>
  <si>
    <t>cb42286b</t>
  </si>
  <si>
    <t>d96f38c1</t>
  </si>
  <si>
    <t>ed383384</t>
  </si>
  <si>
    <t>15948e0d</t>
  </si>
  <si>
    <t>d43b2b1b</t>
  </si>
  <si>
    <t>b9eac905</t>
  </si>
  <si>
    <t>8f1e160a</t>
  </si>
  <si>
    <t>acf291fd</t>
  </si>
  <si>
    <t>25591b4d</t>
  </si>
  <si>
    <t>1f61deb7</t>
  </si>
  <si>
    <t>83506c98</t>
  </si>
  <si>
    <t>8588cab5</t>
  </si>
  <si>
    <t>dbb8c475</t>
  </si>
  <si>
    <t>623a25e2</t>
  </si>
  <si>
    <t>ab54e6b0</t>
  </si>
  <si>
    <t>4c52aaba</t>
  </si>
  <si>
    <t>ec2e38ea</t>
  </si>
  <si>
    <t>acb21dd6</t>
  </si>
  <si>
    <t>50986b0e</t>
  </si>
  <si>
    <t>29fbc54f</t>
  </si>
  <si>
    <t>c40d5b4b</t>
  </si>
  <si>
    <t>e5983bb1</t>
  </si>
  <si>
    <t>dffc1e3b</t>
  </si>
  <si>
    <t>eaf544b9</t>
  </si>
  <si>
    <t>ee44e6c5</t>
  </si>
  <si>
    <t>7f70f465</t>
  </si>
  <si>
    <t>084a46a9</t>
  </si>
  <si>
    <t>4ef07dfa</t>
  </si>
  <si>
    <t>7f2d5098</t>
  </si>
  <si>
    <t>7b92d991</t>
  </si>
  <si>
    <t>e92aae57</t>
  </si>
  <si>
    <t>37bff627</t>
  </si>
  <si>
    <t>56725cb0</t>
  </si>
  <si>
    <t>690524c1</t>
  </si>
  <si>
    <t>2bc93223</t>
  </si>
  <si>
    <t>378abc87</t>
  </si>
  <si>
    <t>e85c63e6</t>
  </si>
  <si>
    <t>691c80ea</t>
  </si>
  <si>
    <t>e94346a5</t>
  </si>
  <si>
    <t>385be958</t>
  </si>
  <si>
    <t>d9bdde31</t>
  </si>
  <si>
    <t>792f90c4</t>
  </si>
  <si>
    <t>7fbd4d8c</t>
  </si>
  <si>
    <t>44841202</t>
  </si>
  <si>
    <t>4232fd4d</t>
  </si>
  <si>
    <t>2b6ca6b4</t>
  </si>
  <si>
    <t>2b297dd9</t>
  </si>
  <si>
    <t>b575cc73</t>
  </si>
  <si>
    <t>bd89e2d7</t>
  </si>
  <si>
    <t>fc9f1744</t>
  </si>
  <si>
    <t>8844a3c0</t>
  </si>
  <si>
    <t>ac8c4cee</t>
  </si>
  <si>
    <t>58f709df</t>
  </si>
  <si>
    <t>4d9a377c</t>
  </si>
  <si>
    <t>a48e0551</t>
  </si>
  <si>
    <t>14d74fb2</t>
  </si>
  <si>
    <t>ee454b45</t>
  </si>
  <si>
    <t>dcce692b</t>
  </si>
  <si>
    <t>63ea87f8</t>
  </si>
  <si>
    <t>ce98d088</t>
  </si>
  <si>
    <t>b4a06b73</t>
  </si>
  <si>
    <t>ae1f4cd1</t>
  </si>
  <si>
    <t>09a6bcca</t>
  </si>
  <si>
    <t>68842d5c</t>
  </si>
  <si>
    <t>9de64b74</t>
  </si>
  <si>
    <t>37ad1605</t>
  </si>
  <si>
    <t>07e1e27a</t>
  </si>
  <si>
    <t>ba5e5699</t>
  </si>
  <si>
    <t>2543c37f</t>
  </si>
  <si>
    <t>87210587</t>
  </si>
  <si>
    <t>27fdc14a</t>
  </si>
  <si>
    <t>41ee10e6</t>
  </si>
  <si>
    <t>ccdbe619</t>
  </si>
  <si>
    <t>c679fa58</t>
  </si>
  <si>
    <t>e35de7fb</t>
  </si>
  <si>
    <t>1d8d8d1f</t>
  </si>
  <si>
    <t>0f998ab6</t>
  </si>
  <si>
    <t>80628a15</t>
  </si>
  <si>
    <t>4046a521</t>
  </si>
  <si>
    <t>5f29c195</t>
  </si>
  <si>
    <t>2b1ffc59</t>
  </si>
  <si>
    <t>e8b50493</t>
  </si>
  <si>
    <t>d15d6ad3</t>
  </si>
  <si>
    <t>138a44eb</t>
  </si>
  <si>
    <t>65bb09ab</t>
  </si>
  <si>
    <t>1a68b83d</t>
  </si>
  <si>
    <t>3af2224c</t>
  </si>
  <si>
    <t>467b9a30</t>
  </si>
  <si>
    <t>b5f909a8</t>
  </si>
  <si>
    <t>2995ba69</t>
  </si>
  <si>
    <t>1d7aeade</t>
  </si>
  <si>
    <t>3acc0a30</t>
  </si>
  <si>
    <t>8183f7a0</t>
  </si>
  <si>
    <t>f3255781</t>
  </si>
  <si>
    <t>d8874bc1</t>
  </si>
  <si>
    <t>7920338d</t>
  </si>
  <si>
    <t>29d90af4</t>
  </si>
  <si>
    <t>628eede3</t>
  </si>
  <si>
    <t>2cc93048</t>
  </si>
  <si>
    <t>479cb714</t>
  </si>
  <si>
    <t>292b3933</t>
  </si>
  <si>
    <t>a67d5ea6</t>
  </si>
  <si>
    <t>97d09c25</t>
  </si>
  <si>
    <t>f2c866f6</t>
  </si>
  <si>
    <t>84572d97</t>
  </si>
  <si>
    <t>b5a68e50</t>
  </si>
  <si>
    <t>996b3014</t>
  </si>
  <si>
    <t>442cdf4e</t>
  </si>
  <si>
    <t>34cf7cfc</t>
  </si>
  <si>
    <t>6e6c10dd</t>
  </si>
  <si>
    <t>05d9ee48</t>
  </si>
  <si>
    <t>a7c1b30b</t>
  </si>
  <si>
    <t>8c24f1f2</t>
  </si>
  <si>
    <t>bf363b5e</t>
  </si>
  <si>
    <t>7cd09649</t>
  </si>
  <si>
    <t>68a07010</t>
  </si>
  <si>
    <t>b4978c8e</t>
  </si>
  <si>
    <t>15ab8d93</t>
  </si>
  <si>
    <t>c5f0eb78</t>
  </si>
  <si>
    <t>0eb51913</t>
  </si>
  <si>
    <t>58eca52d</t>
  </si>
  <si>
    <t>9cf8d13b</t>
  </si>
  <si>
    <t>f3b79bd7</t>
  </si>
  <si>
    <t>384aac69</t>
  </si>
  <si>
    <t>4dc5dd2e</t>
  </si>
  <si>
    <t>bedf9d4c</t>
  </si>
  <si>
    <t>c0ef3253</t>
  </si>
  <si>
    <t>2acb4f1f</t>
  </si>
  <si>
    <t>25acd931</t>
  </si>
  <si>
    <t>a5587454</t>
  </si>
  <si>
    <t>2ac6021f</t>
  </si>
  <si>
    <t>c557d954</t>
  </si>
  <si>
    <t>851a886d</t>
  </si>
  <si>
    <t>4c7cc029</t>
  </si>
  <si>
    <t>4955342a</t>
  </si>
  <si>
    <t>ad2b05ed</t>
  </si>
  <si>
    <t>39d7a7ff</t>
  </si>
  <si>
    <t>4013572b</t>
  </si>
  <si>
    <t>bb711139</t>
  </si>
  <si>
    <t>dd78110e</t>
  </si>
  <si>
    <t>0b6cb755</t>
  </si>
  <si>
    <t>63bab830</t>
  </si>
  <si>
    <t>84e4dd72</t>
  </si>
  <si>
    <t>d4f3737d</t>
  </si>
  <si>
    <t>190d8d11</t>
  </si>
  <si>
    <t>3bde80ef</t>
  </si>
  <si>
    <t>b55b1e2b</t>
  </si>
  <si>
    <t>1f6da7d7</t>
  </si>
  <si>
    <t>0cb66b85</t>
  </si>
  <si>
    <t>3f6c7fa4</t>
  </si>
  <si>
    <t>cae350c3</t>
  </si>
  <si>
    <t>842875c9</t>
  </si>
  <si>
    <t>f9564d58</t>
  </si>
  <si>
    <t>2eb59f1d</t>
  </si>
  <si>
    <t>e324f19c</t>
  </si>
  <si>
    <t>1221c939</t>
  </si>
  <si>
    <t>c6a80be6</t>
  </si>
  <si>
    <t>e9d021fb</t>
  </si>
  <si>
    <t>7cb55cf0</t>
  </si>
  <si>
    <t>80ae5d4e</t>
  </si>
  <si>
    <t>98c30f20</t>
  </si>
  <si>
    <t>be9425fc</t>
  </si>
  <si>
    <t>bfc99bfd</t>
  </si>
  <si>
    <t>ca3b504b</t>
  </si>
  <si>
    <t>bd4958d2</t>
  </si>
  <si>
    <t>5a269b48</t>
  </si>
  <si>
    <t>06f0032c</t>
  </si>
  <si>
    <t>8698b8c5</t>
  </si>
  <si>
    <t>2ed41d29</t>
  </si>
  <si>
    <t>59bc8025</t>
  </si>
  <si>
    <t>c3c8d6b8</t>
  </si>
  <si>
    <t>fa9bb016</t>
  </si>
  <si>
    <t>fa193ac5</t>
  </si>
  <si>
    <t>32d88d07</t>
  </si>
  <si>
    <t>a898fde1</t>
  </si>
  <si>
    <t>f1d50de9</t>
  </si>
  <si>
    <t>13359498</t>
  </si>
  <si>
    <t>66a93954</t>
  </si>
  <si>
    <t>13a4ee3b</t>
  </si>
  <si>
    <t>d8baa212</t>
  </si>
  <si>
    <t>01b356f8</t>
  </si>
  <si>
    <t>9efb036c</t>
  </si>
  <si>
    <t>dbc0d4e1</t>
  </si>
  <si>
    <t>a9795581</t>
  </si>
  <si>
    <t>ef11fc8f</t>
  </si>
  <si>
    <t>26d380ac</t>
  </si>
  <si>
    <t>6c95a264</t>
  </si>
  <si>
    <t>a63a8762</t>
  </si>
  <si>
    <t>ab23e521</t>
  </si>
  <si>
    <t>e90eeef7</t>
  </si>
  <si>
    <t>23d1709e</t>
  </si>
  <si>
    <t>6928c244</t>
  </si>
  <si>
    <t>418e3dba</t>
  </si>
  <si>
    <t>bd949f45</t>
  </si>
  <si>
    <t>a5028f13</t>
  </si>
  <si>
    <t>5034383d</t>
  </si>
  <si>
    <t>85ee4418</t>
  </si>
  <si>
    <t>a9be9b44</t>
  </si>
  <si>
    <t>0cc76c05</t>
  </si>
  <si>
    <t>84f7d805</t>
  </si>
  <si>
    <t>9577b210</t>
  </si>
  <si>
    <t>c99694a5</t>
  </si>
  <si>
    <t>bc08f51c</t>
  </si>
  <si>
    <t>1e8be36f</t>
  </si>
  <si>
    <t>a4662629</t>
  </si>
  <si>
    <t>d2839a80</t>
  </si>
  <si>
    <t>465f4000</t>
  </si>
  <si>
    <t>91a9f463</t>
  </si>
  <si>
    <t>79a6a3cc</t>
  </si>
  <si>
    <t>d3876a12</t>
  </si>
  <si>
    <t>93a3ee83</t>
  </si>
  <si>
    <t>e1ad29ba</t>
  </si>
  <si>
    <t>f4cc1692</t>
  </si>
  <si>
    <t>a2b524d0</t>
  </si>
  <si>
    <t>83af220f</t>
  </si>
  <si>
    <t>363e9bf3</t>
  </si>
  <si>
    <t>e3e4e15a</t>
  </si>
  <si>
    <t>1501395b</t>
  </si>
  <si>
    <t>7346757a</t>
  </si>
  <si>
    <t>df37368f</t>
  </si>
  <si>
    <t>4e7d3c36</t>
  </si>
  <si>
    <t>d3ca9033</t>
  </si>
  <si>
    <t>d1e473b3</t>
  </si>
  <si>
    <t>53270ec3</t>
  </si>
  <si>
    <t>98e1fdc2</t>
  </si>
  <si>
    <t>2190913e</t>
  </si>
  <si>
    <t>9a38ef6c</t>
  </si>
  <si>
    <t>9b971643</t>
  </si>
  <si>
    <t>486d14a2</t>
  </si>
  <si>
    <t>d7957f06</t>
  </si>
  <si>
    <t>56230282</t>
  </si>
  <si>
    <t>06087bf2</t>
  </si>
  <si>
    <t>49484e5f</t>
  </si>
  <si>
    <t>f8c552ba</t>
  </si>
  <si>
    <t>bb688616</t>
  </si>
  <si>
    <t>3850cfee</t>
  </si>
  <si>
    <t>499c4237</t>
  </si>
  <si>
    <t>8bc0f706</t>
  </si>
  <si>
    <t>20473a4c</t>
  </si>
  <si>
    <t>ceb07b5b</t>
  </si>
  <si>
    <t>b64468b3</t>
  </si>
  <si>
    <t>f1533e21</t>
  </si>
  <si>
    <t>974a93b8</t>
  </si>
  <si>
    <t>3dfee12d</t>
  </si>
  <si>
    <t>770839d9</t>
  </si>
  <si>
    <t>f89f0ba4</t>
  </si>
  <si>
    <t>266ab0da</t>
  </si>
  <si>
    <t>2144199d</t>
  </si>
  <si>
    <t>bf51b2cb</t>
  </si>
  <si>
    <t>0b4c8c4c</t>
  </si>
  <si>
    <t>8ee8151b</t>
  </si>
  <si>
    <t>ad0fe51d</t>
  </si>
  <si>
    <t>d2dcaa94</t>
  </si>
  <si>
    <t>8c9aad5f</t>
  </si>
  <si>
    <t>37842889</t>
  </si>
  <si>
    <t>a0391070</t>
  </si>
  <si>
    <t>b4d9dab3</t>
  </si>
  <si>
    <t>35c4deac</t>
  </si>
  <si>
    <t>86f54537</t>
  </si>
  <si>
    <t>84b6704f</t>
  </si>
  <si>
    <t>fc12a3f0</t>
  </si>
  <si>
    <t>87f0d924</t>
  </si>
  <si>
    <t>3f5cea3c</t>
  </si>
  <si>
    <t>411cfe64</t>
  </si>
  <si>
    <t>b5ed8cfa</t>
  </si>
  <si>
    <t>2ca014df</t>
  </si>
  <si>
    <t>2b8b832e</t>
  </si>
  <si>
    <t>f33eed7e</t>
  </si>
  <si>
    <t>1bfc5547</t>
  </si>
  <si>
    <t>8a777098</t>
  </si>
  <si>
    <t>e214892a</t>
  </si>
  <si>
    <t>a7d2a2c7</t>
  </si>
  <si>
    <t>0924fefb</t>
  </si>
  <si>
    <t>86bd7b46</t>
  </si>
  <si>
    <t>649a865c</t>
  </si>
  <si>
    <t>57f4b08c</t>
  </si>
  <si>
    <t>859a6d00</t>
  </si>
  <si>
    <t>42dd379f</t>
  </si>
  <si>
    <t>e00ef670</t>
  </si>
  <si>
    <t>854ccd4f</t>
  </si>
  <si>
    <t>64e96fe1</t>
  </si>
  <si>
    <t>1b32bd26</t>
  </si>
  <si>
    <t>e59682f5</t>
  </si>
  <si>
    <t>07537d89</t>
  </si>
  <si>
    <t>d4d64f7f</t>
  </si>
  <si>
    <t>7e9dd99f</t>
  </si>
  <si>
    <t>8fbeb450</t>
  </si>
  <si>
    <t>bf2c403f</t>
  </si>
  <si>
    <t>d283de64</t>
  </si>
  <si>
    <t>06fd2bcb</t>
  </si>
  <si>
    <t>5984700c</t>
  </si>
  <si>
    <t>3545a5d8</t>
  </si>
  <si>
    <t>2c8823ee</t>
  </si>
  <si>
    <t>461c0298</t>
  </si>
  <si>
    <t>22cd9708</t>
  </si>
  <si>
    <t>9a112345</t>
  </si>
  <si>
    <t>1f852fae</t>
  </si>
  <si>
    <t>8955d470</t>
  </si>
  <si>
    <t>ecd72845</t>
  </si>
  <si>
    <t>714e43db</t>
  </si>
  <si>
    <t>0ece6222</t>
  </si>
  <si>
    <t>5393f291</t>
  </si>
  <si>
    <t>bf5bac77</t>
  </si>
  <si>
    <t>acc63247</t>
  </si>
  <si>
    <t>bec8685c</t>
  </si>
  <si>
    <t>2bbfb679</t>
  </si>
  <si>
    <t>4fa2bea9</t>
  </si>
  <si>
    <t>da27c02d</t>
  </si>
  <si>
    <t>c3ee144e</t>
  </si>
  <si>
    <t>57cb7270</t>
  </si>
  <si>
    <t>de2cff46</t>
  </si>
  <si>
    <t>c96fe03b</t>
  </si>
  <si>
    <t>9281828e</t>
  </si>
  <si>
    <t>31fe955c</t>
  </si>
  <si>
    <t>09975b95</t>
  </si>
  <si>
    <t>ca429379</t>
  </si>
  <si>
    <t>92d3ef89</t>
  </si>
  <si>
    <t>beaa6370</t>
  </si>
  <si>
    <t>fd2a9a2f</t>
  </si>
  <si>
    <t>2aacba67</t>
  </si>
  <si>
    <t>91a863e1</t>
  </si>
  <si>
    <t>48b6a6eb</t>
  </si>
  <si>
    <t>FromLocationID</t>
  </si>
  <si>
    <t>ToLocationID</t>
  </si>
  <si>
    <t>9c5d79d4</t>
  </si>
  <si>
    <t>df552df4</t>
  </si>
  <si>
    <t>b880f143</t>
  </si>
  <si>
    <t>0a296c08</t>
  </si>
  <si>
    <t>6ba8d361</t>
  </si>
  <si>
    <t>1a02b7de</t>
  </si>
  <si>
    <t>113de9fe</t>
  </si>
  <si>
    <t>4ddbe036</t>
  </si>
  <si>
    <t>dc40ab2c</t>
  </si>
  <si>
    <t>ec618b33</t>
  </si>
  <si>
    <t>affccda7</t>
  </si>
  <si>
    <t>d25dbe52</t>
  </si>
  <si>
    <t>0d97783f</t>
  </si>
  <si>
    <t>3507bce1</t>
  </si>
  <si>
    <t>5ad7b8b3</t>
  </si>
  <si>
    <t>dfeb4572</t>
  </si>
  <si>
    <t>594e8f50</t>
  </si>
  <si>
    <t>235943bb</t>
  </si>
  <si>
    <t>e0daa9b0</t>
  </si>
  <si>
    <t>cc9a76df</t>
  </si>
  <si>
    <t>708141cd</t>
  </si>
  <si>
    <t>73ed89c5</t>
  </si>
  <si>
    <t>8334aded</t>
  </si>
  <si>
    <t>73052790</t>
  </si>
  <si>
    <t>ce78e02a</t>
  </si>
  <si>
    <t>6d6479df</t>
  </si>
  <si>
    <t>acae5324</t>
  </si>
  <si>
    <t>2c95ab76</t>
  </si>
  <si>
    <t>cfdb27c8</t>
  </si>
  <si>
    <t>7f640e0d</t>
  </si>
  <si>
    <t>cc7e9c89</t>
  </si>
  <si>
    <t>788620b3</t>
  </si>
  <si>
    <t>5cf68452</t>
  </si>
  <si>
    <t>2454cd62</t>
  </si>
  <si>
    <t>6927df0d</t>
  </si>
  <si>
    <t>0cdb49d0</t>
  </si>
  <si>
    <t>b10267d4</t>
  </si>
  <si>
    <t>2e67166e</t>
  </si>
  <si>
    <t>e153816d</t>
  </si>
  <si>
    <t>f922a2e9</t>
  </si>
  <si>
    <t>8422190c</t>
  </si>
  <si>
    <t>def792d4</t>
  </si>
  <si>
    <t>b6551d93</t>
  </si>
  <si>
    <t>2fdbfcaa</t>
  </si>
  <si>
    <t>626da2f5</t>
  </si>
  <si>
    <t>f741a9ee</t>
  </si>
  <si>
    <t>0b3456b0</t>
  </si>
  <si>
    <t>6a7f7f04</t>
  </si>
  <si>
    <t>a8c7f6c7</t>
  </si>
  <si>
    <t>3acb0c47</t>
  </si>
  <si>
    <t>2793099f</t>
  </si>
  <si>
    <t>0e6f3788</t>
  </si>
  <si>
    <t>9b9da1e9</t>
  </si>
  <si>
    <t>99a26072</t>
  </si>
  <si>
    <t>c2a72cf0</t>
  </si>
  <si>
    <t>a201b3b4</t>
  </si>
  <si>
    <t>f00098bc</t>
  </si>
  <si>
    <t>f32fe210</t>
  </si>
  <si>
    <t>d4944ad3</t>
  </si>
  <si>
    <t>d3385abc</t>
  </si>
  <si>
    <t>7c607278</t>
  </si>
  <si>
    <t>5a2f8ab0</t>
  </si>
  <si>
    <t>6acf8c98</t>
  </si>
  <si>
    <t>385a8020</t>
  </si>
  <si>
    <t>dec44322</t>
  </si>
  <si>
    <t>305c1220</t>
  </si>
  <si>
    <t>98570f08</t>
  </si>
  <si>
    <t>98dcf4e0</t>
  </si>
  <si>
    <t>6082dc40</t>
  </si>
  <si>
    <t>d9c3feef</t>
  </si>
  <si>
    <t>d04f6210</t>
  </si>
  <si>
    <t>0c954528</t>
  </si>
  <si>
    <t>546a3816</t>
  </si>
  <si>
    <t>371737ec</t>
  </si>
  <si>
    <t>99e4de17</t>
  </si>
  <si>
    <t>e2b05262</t>
  </si>
  <si>
    <t>9024c505</t>
  </si>
  <si>
    <t>ae6f7fa6</t>
  </si>
  <si>
    <t>8af4d22f</t>
  </si>
  <si>
    <t>b0b0c9a0</t>
  </si>
  <si>
    <t>c242fb28</t>
  </si>
  <si>
    <t>d7362ee2</t>
  </si>
  <si>
    <t>e3fd6f3e</t>
  </si>
  <si>
    <t>bb768b4b</t>
  </si>
  <si>
    <t>5649360b</t>
  </si>
  <si>
    <t>6f3be301</t>
  </si>
  <si>
    <t>f72b2e4f</t>
  </si>
  <si>
    <t>783e71a1</t>
  </si>
  <si>
    <t>6b329cf3</t>
  </si>
  <si>
    <t>48a503b1</t>
  </si>
  <si>
    <t>f240dff7</t>
  </si>
  <si>
    <t>60bd4403</t>
  </si>
  <si>
    <t>3e03f565</t>
  </si>
  <si>
    <t>b3fc6916</t>
  </si>
  <si>
    <t>ef7d99f9</t>
  </si>
  <si>
    <t>a48529ce</t>
  </si>
  <si>
    <t>6425c195</t>
  </si>
  <si>
    <t>b5acc9a4</t>
  </si>
  <si>
    <t>cf88e387</t>
  </si>
  <si>
    <t>913c61bb</t>
  </si>
  <si>
    <t>48f17d37</t>
  </si>
  <si>
    <t>607babeb</t>
  </si>
  <si>
    <t>7daddc5a</t>
  </si>
  <si>
    <t>66b40f57</t>
  </si>
  <si>
    <t>efc590ee</t>
  </si>
  <si>
    <t>c525184f</t>
  </si>
  <si>
    <t>042b71b5</t>
  </si>
  <si>
    <t>05b8d366</t>
  </si>
  <si>
    <t>e5fb927c</t>
  </si>
  <si>
    <t>8704431b</t>
  </si>
  <si>
    <t>c0fe43a1</t>
  </si>
  <si>
    <t>4e22f5f7</t>
  </si>
  <si>
    <t>ffb34172</t>
  </si>
  <si>
    <t>7a738cf4</t>
  </si>
  <si>
    <t>5e7c632a</t>
  </si>
  <si>
    <t>e904b607</t>
  </si>
  <si>
    <t>1a2fc49d</t>
  </si>
  <si>
    <t>6ccbfe58</t>
  </si>
  <si>
    <t>ec81ecac</t>
  </si>
  <si>
    <t>960f42b6</t>
  </si>
  <si>
    <t>27cfaeb0</t>
  </si>
  <si>
    <t>bbe96c24</t>
  </si>
  <si>
    <t>e7d28990</t>
  </si>
  <si>
    <t>20f44293</t>
  </si>
  <si>
    <t>74679e6e</t>
  </si>
  <si>
    <t>b6903812</t>
  </si>
  <si>
    <t>ec5ed1b8</t>
  </si>
  <si>
    <t>de4d4541</t>
  </si>
  <si>
    <t>1de8d55d</t>
  </si>
  <si>
    <t>22a77da6</t>
  </si>
  <si>
    <t>4dccc607</t>
  </si>
  <si>
    <t>36cc3bc7</t>
  </si>
  <si>
    <t>e79c3c2f</t>
  </si>
  <si>
    <t>b44d70d3</t>
  </si>
  <si>
    <t>23f076ea</t>
  </si>
  <si>
    <t>475c249d</t>
  </si>
  <si>
    <t>dda6ad55</t>
  </si>
  <si>
    <t>aaff41a4</t>
  </si>
  <si>
    <t>47582974</t>
  </si>
  <si>
    <t>6545318e</t>
  </si>
  <si>
    <t>89984b30</t>
  </si>
  <si>
    <t>48660098</t>
  </si>
  <si>
    <t>0d2a0b8e</t>
  </si>
  <si>
    <t>bc926b4f</t>
  </si>
  <si>
    <t>e17fe868</t>
  </si>
  <si>
    <t>6cfc84ff</t>
  </si>
  <si>
    <t>79775e3b</t>
  </si>
  <si>
    <t>41303bce</t>
  </si>
  <si>
    <t>9d572e82</t>
  </si>
  <si>
    <t>cbafa193</t>
  </si>
  <si>
    <t>b898cdd6</t>
  </si>
  <si>
    <t>cad43347</t>
  </si>
  <si>
    <t>7386fad0</t>
  </si>
  <si>
    <t>d20d1256</t>
  </si>
  <si>
    <t>725ee847</t>
  </si>
  <si>
    <t>1689483c</t>
  </si>
  <si>
    <t>f3d4758b</t>
  </si>
  <si>
    <t>3042f617</t>
  </si>
  <si>
    <t>53af173e</t>
  </si>
  <si>
    <t>90493445</t>
  </si>
  <si>
    <t>85a1135d</t>
  </si>
  <si>
    <t>5a73ba5d</t>
  </si>
  <si>
    <t>ca8a8d78</t>
  </si>
  <si>
    <t>8b0a0503</t>
  </si>
  <si>
    <t>7fc15436</t>
  </si>
  <si>
    <t>77d3b9da</t>
  </si>
  <si>
    <t>2985316d</t>
  </si>
  <si>
    <t>971e020a</t>
  </si>
  <si>
    <t>ce52e8e7</t>
  </si>
  <si>
    <t>45ea7a8b</t>
  </si>
  <si>
    <t>4e909d2c</t>
  </si>
  <si>
    <t>5c43c18d</t>
  </si>
  <si>
    <t>5cb6e242</t>
  </si>
  <si>
    <t>4bd65402</t>
  </si>
  <si>
    <t>48bc33b5</t>
  </si>
  <si>
    <t>3db8e260</t>
  </si>
  <si>
    <t>daae499d</t>
  </si>
  <si>
    <t>93511a32</t>
  </si>
  <si>
    <t>3d0ccd92</t>
  </si>
  <si>
    <t>e93efd0f</t>
  </si>
  <si>
    <t>89f04fcf</t>
  </si>
  <si>
    <t>e3bffdca</t>
  </si>
  <si>
    <t>0ac2cf85</t>
  </si>
  <si>
    <t>ac8a0ed3</t>
  </si>
  <si>
    <t>7a97b309</t>
  </si>
  <si>
    <t>b12ec7fe</t>
  </si>
  <si>
    <t>c432cbf5</t>
  </si>
  <si>
    <t>268734f4</t>
  </si>
  <si>
    <t>ad91324e</t>
  </si>
  <si>
    <t>008e58af</t>
  </si>
  <si>
    <t>f805024e</t>
  </si>
  <si>
    <t>748944b8</t>
  </si>
  <si>
    <t>284b0ff1</t>
  </si>
  <si>
    <t>a3934637</t>
  </si>
  <si>
    <t>a4d2db69</t>
  </si>
  <si>
    <t>60c108bb</t>
  </si>
  <si>
    <t>cf814ac0</t>
  </si>
  <si>
    <t>507062d1</t>
  </si>
  <si>
    <t>6498984e</t>
  </si>
  <si>
    <t>c77e2ce2</t>
  </si>
  <si>
    <t>d07daad3</t>
  </si>
  <si>
    <t>42d06b48</t>
  </si>
  <si>
    <t>778e9cf1</t>
  </si>
  <si>
    <t>f830928b</t>
  </si>
  <si>
    <t>4c55dcd4</t>
  </si>
  <si>
    <t>4f08c9e0</t>
  </si>
  <si>
    <t>68f2e2e9</t>
  </si>
  <si>
    <t>2be4508b</t>
  </si>
  <si>
    <t>b17d4939</t>
  </si>
  <si>
    <t>72558c4c</t>
  </si>
  <si>
    <t>64a01956</t>
  </si>
  <si>
    <t>aa735c5f</t>
  </si>
  <si>
    <t>36c94450</t>
  </si>
  <si>
    <t>831dc5b9</t>
  </si>
  <si>
    <t>07d03cc5</t>
  </si>
  <si>
    <t>779c844d</t>
  </si>
  <si>
    <t>88f0374f</t>
  </si>
  <si>
    <t>23837909</t>
  </si>
  <si>
    <t>8827b626</t>
  </si>
  <si>
    <t>cdc8769a</t>
  </si>
  <si>
    <t>622b15c3</t>
  </si>
  <si>
    <t>e8895c5a</t>
  </si>
  <si>
    <t>eebf3c99</t>
  </si>
  <si>
    <t>9eabc100</t>
  </si>
  <si>
    <t>bf267a85</t>
  </si>
  <si>
    <t>d9b1a6f0</t>
  </si>
  <si>
    <t>85a5faac</t>
  </si>
  <si>
    <t>b5edbf4f</t>
  </si>
  <si>
    <t>3acf24a9</t>
  </si>
  <si>
    <t>35d19f28</t>
  </si>
  <si>
    <t>6cebe78f</t>
  </si>
  <si>
    <t>90f44704</t>
  </si>
  <si>
    <t>902f1820</t>
  </si>
  <si>
    <t>0e324d43</t>
  </si>
  <si>
    <t>1a2f7cba</t>
  </si>
  <si>
    <t>6a4d098d</t>
  </si>
  <si>
    <t>64c5d058</t>
  </si>
  <si>
    <t>8f7d469f</t>
  </si>
  <si>
    <t>3f2eea7d</t>
  </si>
  <si>
    <t>6e515fc8</t>
  </si>
  <si>
    <t>7abac7ed</t>
  </si>
  <si>
    <t>72086650</t>
  </si>
  <si>
    <t>fa353dc2</t>
  </si>
  <si>
    <t>b1f03bfc</t>
  </si>
  <si>
    <t>d7460557</t>
  </si>
  <si>
    <t>5e650ee3</t>
  </si>
  <si>
    <t>6cd33c97</t>
  </si>
  <si>
    <t>ed165c45</t>
  </si>
  <si>
    <t>446ae320</t>
  </si>
  <si>
    <t>dc20c086</t>
  </si>
  <si>
    <t>daae0e82</t>
  </si>
  <si>
    <t>180f1368</t>
  </si>
  <si>
    <t>546bb062</t>
  </si>
  <si>
    <t>9b157078</t>
  </si>
  <si>
    <t>d1773f6e</t>
  </si>
  <si>
    <t>dae47648</t>
  </si>
  <si>
    <t>3ce2669c</t>
  </si>
  <si>
    <t>b042b68e</t>
  </si>
  <si>
    <t>f72eaf02</t>
  </si>
  <si>
    <t>6971d2f1</t>
  </si>
  <si>
    <t>80fe25dc</t>
  </si>
  <si>
    <t>ba5b4978</t>
  </si>
  <si>
    <t>ab0615ab</t>
  </si>
  <si>
    <t>b288b85b</t>
  </si>
  <si>
    <t>17d29917</t>
  </si>
  <si>
    <t>a7c3a8a6</t>
  </si>
  <si>
    <t>0c5b7527</t>
  </si>
  <si>
    <t>f8b34637</t>
  </si>
  <si>
    <t>93bac607</t>
  </si>
  <si>
    <t>4e230ae0</t>
  </si>
  <si>
    <t>02a1e7fb</t>
  </si>
  <si>
    <t>ea4f3be7</t>
  </si>
  <si>
    <t>41380550</t>
  </si>
  <si>
    <t>1faf9eda</t>
  </si>
  <si>
    <t>1b715a38</t>
  </si>
  <si>
    <t>abac6cef</t>
  </si>
  <si>
    <t>2a6f87d1</t>
  </si>
  <si>
    <t>86576694</t>
  </si>
  <si>
    <t>65687311</t>
  </si>
  <si>
    <t>f9f4dcaf</t>
  </si>
  <si>
    <t>4731d9c9</t>
  </si>
  <si>
    <t>ec9250b5</t>
  </si>
  <si>
    <t>0e6d3ebb</t>
  </si>
  <si>
    <t>098cd476</t>
  </si>
  <si>
    <t>c5cbd7df</t>
  </si>
  <si>
    <t>65df9cff</t>
  </si>
  <si>
    <t>de4274b0</t>
  </si>
  <si>
    <t>7540564a</t>
  </si>
  <si>
    <t>7486bd5b</t>
  </si>
  <si>
    <t>21db058f</t>
  </si>
  <si>
    <t>0511ea00</t>
  </si>
  <si>
    <t>037864a3</t>
  </si>
  <si>
    <t>d8e1a9eb</t>
  </si>
  <si>
    <t>f900c517</t>
  </si>
  <si>
    <t>19999a24</t>
  </si>
  <si>
    <t>20fe2e8c</t>
  </si>
  <si>
    <t>7c48a873</t>
  </si>
  <si>
    <t>a4b72d44</t>
  </si>
  <si>
    <t>b099fc33</t>
  </si>
  <si>
    <t>a7cb47c5</t>
  </si>
  <si>
    <t>1ed3771d</t>
  </si>
  <si>
    <t>c06a3f01</t>
  </si>
  <si>
    <t>ef1d3a35</t>
  </si>
  <si>
    <t>d62ab9f8</t>
  </si>
  <si>
    <t>6047b861</t>
  </si>
  <si>
    <t>0499f4b6</t>
  </si>
  <si>
    <t>91998a3d</t>
  </si>
  <si>
    <t>9cf155fe</t>
  </si>
  <si>
    <t>89014a1e</t>
  </si>
  <si>
    <t>e64bf7f2</t>
  </si>
  <si>
    <t>101e563a</t>
  </si>
  <si>
    <t>3157f69a</t>
  </si>
  <si>
    <t>c17900bf</t>
  </si>
  <si>
    <t>43387f69</t>
  </si>
  <si>
    <t>e72ac6e3</t>
  </si>
  <si>
    <t>333f629b</t>
  </si>
  <si>
    <t>d88c18d7</t>
  </si>
  <si>
    <t>e4f3d129</t>
  </si>
  <si>
    <t>cc41b087</t>
  </si>
  <si>
    <t>d8c20488</t>
  </si>
  <si>
    <t>a87db1de</t>
  </si>
  <si>
    <t>d67a92b4</t>
  </si>
  <si>
    <t>e24897ed</t>
  </si>
  <si>
    <t>2ad3e243</t>
  </si>
  <si>
    <t>4c98f272</t>
  </si>
  <si>
    <t>4c70cb96</t>
  </si>
  <si>
    <t>d9164d52</t>
  </si>
  <si>
    <t>3091f055</t>
  </si>
  <si>
    <t>79358019</t>
  </si>
  <si>
    <t>884225d3</t>
  </si>
  <si>
    <t>09aba97d</t>
  </si>
  <si>
    <t>6fbe4dd1</t>
  </si>
  <si>
    <t>ebeb7d18</t>
  </si>
  <si>
    <t>238a3bfa</t>
  </si>
  <si>
    <t>606680ad</t>
  </si>
  <si>
    <t>265f0438</t>
  </si>
  <si>
    <t>47d52d6c</t>
  </si>
  <si>
    <t>dd11f234</t>
  </si>
  <si>
    <t>76cd6e33</t>
  </si>
  <si>
    <t>e1faf3ff</t>
  </si>
  <si>
    <t>cc7130ca</t>
  </si>
  <si>
    <t>16776188</t>
  </si>
  <si>
    <t>705532c9</t>
  </si>
  <si>
    <t>b5ac3452</t>
  </si>
  <si>
    <t>fded8ea4</t>
  </si>
  <si>
    <t>98388191</t>
  </si>
  <si>
    <t>f4431419</t>
  </si>
  <si>
    <t>194aadcf</t>
  </si>
  <si>
    <t>bd1eb29d</t>
  </si>
  <si>
    <t>33ff159b</t>
  </si>
  <si>
    <t>502fe255</t>
  </si>
  <si>
    <t>6f16bfb6</t>
  </si>
  <si>
    <t>1726c2f6</t>
  </si>
  <si>
    <t>3030ae91</t>
  </si>
  <si>
    <t>f90805d4</t>
  </si>
  <si>
    <t>9ee14931</t>
  </si>
  <si>
    <t>cbe3bbe0</t>
  </si>
  <si>
    <t>e43f00fd</t>
  </si>
  <si>
    <t>7a23e5c1</t>
  </si>
  <si>
    <t>a5671ed7</t>
  </si>
  <si>
    <t>3962532b</t>
  </si>
  <si>
    <t>0c82ac1c</t>
  </si>
  <si>
    <t>81a53c65</t>
  </si>
  <si>
    <t>d13f789b</t>
  </si>
  <si>
    <t>2a91927f</t>
  </si>
  <si>
    <t>108af323</t>
  </si>
  <si>
    <t>ebfd6e0a</t>
  </si>
  <si>
    <t>dcac6982</t>
  </si>
  <si>
    <t>2acb8e74</t>
  </si>
  <si>
    <t>5b7638cf</t>
  </si>
  <si>
    <t>cd4b4392</t>
  </si>
  <si>
    <t>bd9a43e4</t>
  </si>
  <si>
    <t>521236d9</t>
  </si>
  <si>
    <t>d48822bd</t>
  </si>
  <si>
    <t>40381588</t>
  </si>
  <si>
    <t>7327a06b</t>
  </si>
  <si>
    <t>a1d3f59a</t>
  </si>
  <si>
    <t>07fa6998</t>
  </si>
  <si>
    <t>f53484d9</t>
  </si>
  <si>
    <t>b0fc6a07</t>
  </si>
  <si>
    <t>7200a392</t>
  </si>
  <si>
    <t>99eea790</t>
  </si>
  <si>
    <t>7d6ef9a8</t>
  </si>
  <si>
    <t>a9890fee</t>
  </si>
  <si>
    <t>2350a15d</t>
  </si>
  <si>
    <t>d45ae5aa</t>
  </si>
  <si>
    <t>186d011c</t>
  </si>
  <si>
    <t>8bb56d46</t>
  </si>
  <si>
    <t>c32bbb2e</t>
  </si>
  <si>
    <t>9ac0a0fb</t>
  </si>
  <si>
    <t>3f4c66ac</t>
  </si>
  <si>
    <t>73146ede</t>
  </si>
  <si>
    <t>26e12fc1</t>
  </si>
  <si>
    <t>4cb3333c</t>
  </si>
  <si>
    <t>c5bb5dc1</t>
  </si>
  <si>
    <t>0dd58d41</t>
  </si>
  <si>
    <t>52a9cb09</t>
  </si>
  <si>
    <t>64c53b9b</t>
  </si>
  <si>
    <t>43e7724a</t>
  </si>
  <si>
    <t>05566abd</t>
  </si>
  <si>
    <t>3e88a858</t>
  </si>
  <si>
    <t>feea4dff</t>
  </si>
  <si>
    <t>cf725f29</t>
  </si>
  <si>
    <t>fa510f29</t>
  </si>
  <si>
    <t>49018bd2</t>
  </si>
  <si>
    <t>20385cd5</t>
  </si>
  <si>
    <t>ac520d1c</t>
  </si>
  <si>
    <t>fbcb6dfc</t>
  </si>
  <si>
    <t>9c64c4df</t>
  </si>
  <si>
    <t>084717dc</t>
  </si>
  <si>
    <t>0e59467d</t>
  </si>
  <si>
    <t>ece1c2ed</t>
  </si>
  <si>
    <t>05f65d08</t>
  </si>
  <si>
    <t>52c45d74</t>
  </si>
  <si>
    <t>ccd0202d</t>
  </si>
  <si>
    <t>10e80ef4</t>
  </si>
  <si>
    <t>BAG_op1</t>
  </si>
  <si>
    <t>PickForRoute</t>
  </si>
  <si>
    <t>797af7f5</t>
  </si>
  <si>
    <t>8406cd44</t>
  </si>
  <si>
    <t>373072a4</t>
  </si>
  <si>
    <t>7c964b4b</t>
  </si>
  <si>
    <t>fbfc4254</t>
  </si>
  <si>
    <t>49fc4425</t>
  </si>
  <si>
    <t>8d319354</t>
  </si>
  <si>
    <t>8777b12f</t>
  </si>
  <si>
    <t>2baa1bc1</t>
  </si>
  <si>
    <t>c6088b2c</t>
  </si>
  <si>
    <t>ed3831a9</t>
  </si>
  <si>
    <t>ebf2b01e</t>
  </si>
  <si>
    <t>a085c8ab</t>
  </si>
  <si>
    <t>a9adafe2</t>
  </si>
  <si>
    <t>dd9aacfa</t>
  </si>
  <si>
    <t>ae409048</t>
  </si>
  <si>
    <t>d8b4e257</t>
  </si>
  <si>
    <t>10e924af</t>
  </si>
  <si>
    <t>60a7133b</t>
  </si>
  <si>
    <t>309fbbdd</t>
  </si>
  <si>
    <t>0643d73a</t>
  </si>
  <si>
    <t>45a9ced3</t>
  </si>
  <si>
    <t>a4980964</t>
  </si>
  <si>
    <t>eddb2169</t>
  </si>
  <si>
    <t>8f9b4963</t>
  </si>
  <si>
    <t>b5f547e2</t>
  </si>
  <si>
    <t>67d0bb83</t>
  </si>
  <si>
    <t>3d5f74c6</t>
  </si>
  <si>
    <t>4a262ae6</t>
  </si>
  <si>
    <t>Purchase</t>
  </si>
  <si>
    <t>371eef86</t>
  </si>
  <si>
    <t>8943792a</t>
  </si>
  <si>
    <t>b142429a</t>
  </si>
  <si>
    <t>421a7ee4</t>
  </si>
  <si>
    <t>d9a35b7e</t>
  </si>
  <si>
    <t>c4cf15ef</t>
  </si>
  <si>
    <t>87264f81</t>
  </si>
  <si>
    <t>d83e01ed</t>
  </si>
  <si>
    <t>8bb24888</t>
  </si>
  <si>
    <t>6b40dd7c</t>
  </si>
  <si>
    <t>8409cca4</t>
  </si>
  <si>
    <t>2dbece28</t>
  </si>
  <si>
    <t>7004caab</t>
  </si>
  <si>
    <t>539f168d</t>
  </si>
  <si>
    <t>b1eff841</t>
  </si>
  <si>
    <t>1ab1dc29</t>
  </si>
  <si>
    <t>a82d9de3</t>
  </si>
  <si>
    <t>468d87b5</t>
  </si>
  <si>
    <t>b7328abe</t>
  </si>
  <si>
    <t>50595e2e</t>
  </si>
  <si>
    <t>c07096d0</t>
  </si>
  <si>
    <t>53597d3a</t>
  </si>
  <si>
    <t>a8dbd063</t>
  </si>
  <si>
    <t>2503000216</t>
  </si>
  <si>
    <t>MoveToBackstock</t>
  </si>
  <si>
    <t>41e9f315</t>
  </si>
  <si>
    <t>0794e57a</t>
  </si>
  <si>
    <t>0db14f46</t>
  </si>
  <si>
    <t>e2c21874</t>
  </si>
  <si>
    <t>061c4465</t>
  </si>
  <si>
    <t>b0ecd7ba</t>
  </si>
  <si>
    <t>1d0389fd</t>
  </si>
  <si>
    <t>7973075a</t>
  </si>
  <si>
    <t>89200676</t>
  </si>
  <si>
    <t>bcae1f52</t>
  </si>
  <si>
    <t>731f0842</t>
  </si>
  <si>
    <t>72bfb075</t>
  </si>
  <si>
    <t>502eca58</t>
  </si>
  <si>
    <t>434dd10a</t>
  </si>
  <si>
    <t>853aa4cd</t>
  </si>
  <si>
    <t>d3c35f00</t>
  </si>
  <si>
    <t>7a0e07ef</t>
  </si>
  <si>
    <t>f32eda7a</t>
  </si>
  <si>
    <t>124eb9f1</t>
  </si>
  <si>
    <t>f23dfbb7</t>
  </si>
  <si>
    <t>b2e3d223</t>
  </si>
  <si>
    <t>711efff5</t>
  </si>
  <si>
    <t>97316a72</t>
  </si>
  <si>
    <t>e5417534</t>
  </si>
  <si>
    <t>a0fd0688</t>
  </si>
  <si>
    <t>fd692429</t>
  </si>
  <si>
    <t>91e45f89</t>
  </si>
  <si>
    <t>05aeb56c</t>
  </si>
  <si>
    <t>8c1d1964</t>
  </si>
  <si>
    <t>e92c9a87</t>
  </si>
  <si>
    <t>d3358a6e</t>
  </si>
  <si>
    <t>d49a5cd5</t>
  </si>
  <si>
    <t>21b2aca5</t>
  </si>
  <si>
    <t>42987f9d</t>
  </si>
  <si>
    <t>d6611788</t>
  </si>
  <si>
    <t>ca838646</t>
  </si>
  <si>
    <t>f083a594</t>
  </si>
  <si>
    <t>40cdd559</t>
  </si>
  <si>
    <t>8cd9f408</t>
  </si>
  <si>
    <t>0c9ab85a</t>
  </si>
  <si>
    <t>afa5a1e7</t>
  </si>
  <si>
    <t>4b61849b</t>
  </si>
  <si>
    <t>5948dbb7</t>
  </si>
  <si>
    <t>153fcd35</t>
  </si>
  <si>
    <t>bc7aaf76</t>
  </si>
  <si>
    <t>e00c05ff</t>
  </si>
  <si>
    <t>a6996fc9</t>
  </si>
  <si>
    <t>98f9c159</t>
  </si>
  <si>
    <t>0163e5f9</t>
  </si>
  <si>
    <t>de1a3b89</t>
  </si>
  <si>
    <t>7b81fdf2</t>
  </si>
  <si>
    <t>2af75cbb</t>
  </si>
  <si>
    <t>dac688de</t>
  </si>
  <si>
    <t>bdf9270a</t>
  </si>
  <si>
    <t>b2baf6d6</t>
  </si>
  <si>
    <t>4b46c37c</t>
  </si>
  <si>
    <t>4bf915b7</t>
  </si>
  <si>
    <t>7c323df8</t>
  </si>
  <si>
    <t>76286468</t>
  </si>
  <si>
    <t>933ee267</t>
  </si>
  <si>
    <t>3a1db8ae</t>
  </si>
  <si>
    <t>4c25114e</t>
  </si>
  <si>
    <t>5006843c</t>
  </si>
  <si>
    <t>b2eadf43</t>
  </si>
  <si>
    <t>21de5a52</t>
  </si>
  <si>
    <t>a9368079</t>
  </si>
  <si>
    <t>2954a2b1</t>
  </si>
  <si>
    <t>25f9b93f</t>
  </si>
  <si>
    <t>583481ad</t>
  </si>
  <si>
    <t>89b6dac5</t>
  </si>
  <si>
    <t>9dc877e8</t>
  </si>
  <si>
    <t>ac1c5cd1</t>
  </si>
  <si>
    <t>556642c4</t>
  </si>
  <si>
    <t>2a6fcb8a</t>
  </si>
  <si>
    <t>4a265b5e</t>
  </si>
  <si>
    <t>f36be451</t>
  </si>
  <si>
    <t>6f481248</t>
  </si>
  <si>
    <t>f73b7008</t>
  </si>
  <si>
    <t>797f87ce</t>
  </si>
  <si>
    <t>72de3dd0</t>
  </si>
  <si>
    <t>f7d5fa28</t>
  </si>
  <si>
    <t>b5138606</t>
  </si>
  <si>
    <t>4d039dc9</t>
  </si>
  <si>
    <t>1a83d53a</t>
  </si>
  <si>
    <t>ae795a4a</t>
  </si>
  <si>
    <t>6225aa50</t>
  </si>
  <si>
    <t>7646cfa2</t>
  </si>
  <si>
    <t>0d3caeb9</t>
  </si>
  <si>
    <t>0c073d48</t>
  </si>
  <si>
    <t>fcc7b435</t>
  </si>
  <si>
    <t>ef71c387</t>
  </si>
  <si>
    <t>734bf299</t>
  </si>
  <si>
    <t>16f62eed</t>
  </si>
  <si>
    <t>42a9c415</t>
  </si>
  <si>
    <t>fdf7f301</t>
  </si>
  <si>
    <t>f45de48d</t>
  </si>
  <si>
    <t>9c961854</t>
  </si>
  <si>
    <t>734ff3d1</t>
  </si>
  <si>
    <t>925a30ef</t>
  </si>
  <si>
    <t>1ce7341e</t>
  </si>
  <si>
    <t>a7b4893e</t>
  </si>
  <si>
    <t>0bfbcdf8</t>
  </si>
  <si>
    <t>06f31cab</t>
  </si>
  <si>
    <t>6a3aa8bd</t>
  </si>
  <si>
    <t>d419a271</t>
  </si>
  <si>
    <t>a20743b8</t>
  </si>
  <si>
    <t>96438b54</t>
  </si>
  <si>
    <t>ed3a5920</t>
  </si>
  <si>
    <t>276ed5d9</t>
  </si>
  <si>
    <t>95c3e2cf</t>
  </si>
  <si>
    <t>95c7360c</t>
  </si>
  <si>
    <t>77dbd05d</t>
  </si>
  <si>
    <t>b3935ba3</t>
  </si>
  <si>
    <t>19653d62</t>
  </si>
  <si>
    <t>41556c2c</t>
  </si>
  <si>
    <t>ebe1b35f</t>
  </si>
  <si>
    <t>14f9bebd</t>
  </si>
  <si>
    <t>PickRouteID</t>
  </si>
  <si>
    <t>Status</t>
  </si>
  <si>
    <t>Notes</t>
  </si>
  <si>
    <t>e86d0fca</t>
  </si>
  <si>
    <t>Draft</t>
  </si>
  <si>
    <t>358b37fd</t>
  </si>
  <si>
    <t>ae25c590</t>
  </si>
  <si>
    <t>a2604f2d</t>
  </si>
  <si>
    <t>5094a7d5</t>
  </si>
  <si>
    <t>cdcbef3a</t>
  </si>
  <si>
    <t>bfaedbd0</t>
  </si>
  <si>
    <t>b995f946</t>
  </si>
  <si>
    <t>70bebe1a</t>
  </si>
  <si>
    <t>b6ae7ef9</t>
  </si>
  <si>
    <t>dd5a0ff3</t>
  </si>
  <si>
    <t>34787b54</t>
  </si>
  <si>
    <t>a11418a9</t>
  </si>
  <si>
    <t>9a4abe4d</t>
  </si>
  <si>
    <t>872ee261</t>
  </si>
  <si>
    <t>b09436d0</t>
  </si>
  <si>
    <t>PickRouteLineID</t>
  </si>
  <si>
    <t>6948350b</t>
  </si>
  <si>
    <t>5a004be5</t>
  </si>
  <si>
    <t>2f335618</t>
  </si>
  <si>
    <t>9809f30f</t>
  </si>
  <si>
    <t>fa626d1c</t>
  </si>
  <si>
    <t>f304a17c</t>
  </si>
  <si>
    <t>bee9e79a</t>
  </si>
  <si>
    <t>eea9745e</t>
  </si>
  <si>
    <t>7fedf9d8</t>
  </si>
  <si>
    <t>deabe34e</t>
  </si>
  <si>
    <t>4c3bd1ad</t>
  </si>
  <si>
    <t>PurchaseID</t>
  </si>
  <si>
    <t>Supplier</t>
  </si>
  <si>
    <t>ReceiptTotal</t>
  </si>
  <si>
    <t>CalculatedTotal</t>
  </si>
  <si>
    <t>ReceiptPhoto</t>
  </si>
  <si>
    <t>غداية</t>
  </si>
  <si>
    <t>Purchases_Images/7540564a.ReceiptPhoto.222652.jpg</t>
  </si>
  <si>
    <t>عبادي</t>
  </si>
  <si>
    <t>Purchases_Images/e4f3d129.ReceiptPhoto.225623.jpg</t>
  </si>
  <si>
    <t>نعمي</t>
  </si>
  <si>
    <t>Purchases_Images/d8c20488.ReceiptPhoto.225947.jpg</t>
  </si>
  <si>
    <t>متحدة</t>
  </si>
  <si>
    <t>Purchases_Images/79358019.ReceiptPhoto.230459.jpg</t>
  </si>
  <si>
    <t>Purchases_Images/502fe255.ReceiptPhoto.083824.jpg</t>
  </si>
  <si>
    <t>غدائية</t>
  </si>
  <si>
    <t>Purchases_Images/f90805d4.ReceiptPhoto.084029.jpg</t>
  </si>
  <si>
    <t>المزن</t>
  </si>
  <si>
    <t>Purchases_Images/cbe3bbe0.ReceiptPhoto.085135.jpg</t>
  </si>
  <si>
    <t>مكة</t>
  </si>
  <si>
    <t>Purchases_Images/2350a15d.ReceiptPhoto.145132.jpg</t>
  </si>
  <si>
    <t>Purchases_Images/8bb56d46.ReceiptPhoto.194016.jpg</t>
  </si>
  <si>
    <t>المتحدة</t>
  </si>
  <si>
    <t>Purchases_Images/26e12fc1.ReceiptPhoto.101845.jpg</t>
  </si>
  <si>
    <t>Purchases_Images/0dd58d41.ReceiptPhoto.104816.jpg</t>
  </si>
  <si>
    <t>النعمي</t>
  </si>
  <si>
    <t>Purchases_Images/cf725f29.ReceiptPhoto.150303.jpg</t>
  </si>
  <si>
    <t>42529802</t>
  </si>
  <si>
    <t>Purchases_Images/42529802.ReceiptPhoto.213549.jpg</t>
  </si>
  <si>
    <t>Purchases_Images/7004caab.ReceiptPhoto.145628.jpg</t>
  </si>
  <si>
    <t>Purchases_Images/0794e57a.ReceiptPhoto.190617.jpg</t>
  </si>
  <si>
    <t>Purchases_Images/124eb9f1.ReceiptPhoto.083303.jpg</t>
  </si>
  <si>
    <t>Purchases_Images/a0fd0688.ReceiptPhoto.084532.jpg</t>
  </si>
  <si>
    <t>Purchases_Images/91e45f89.ReceiptPhoto.131941.jpg</t>
  </si>
  <si>
    <t>Purchases_Images/e92c9a87.ReceiptPhoto.175726.jpg</t>
  </si>
  <si>
    <t>مياه</t>
  </si>
  <si>
    <t>Purchases_Images/f083a594.ReceiptPhoto.184239.jpg</t>
  </si>
  <si>
    <t>Purchases_Images/89b6dac5.ReceiptPhoto.100133.jpg</t>
  </si>
  <si>
    <t>Purchases_Images/ac1c5cd1.ReceiptPhoto.102845.jpg</t>
  </si>
  <si>
    <t>Purchases_Images/f7d5fa28.ReceiptPhoto.161649.jpg</t>
  </si>
  <si>
    <t>Purchases_Images/4d039dc9.ReceiptPhoto.161715.jpg</t>
  </si>
  <si>
    <t>Purchases_Images/fdf7f301.ReceiptPhoto.151807.jpg</t>
  </si>
  <si>
    <t>Purchases_Images/734ff3d1.ReceiptPhoto.151905.jpg</t>
  </si>
  <si>
    <t>Purchases_Images/1ce7341e.ReceiptPhoto.151958.jpg</t>
  </si>
  <si>
    <t>Purchases_Images/0bfbcdf8.ReceiptPhoto.152053.jpg</t>
  </si>
  <si>
    <t>Purchases_Images/6a3aa8bd.ReceiptPhoto.152121.jpg</t>
  </si>
  <si>
    <t>Purchases_Images/a20743b8.ReceiptPhoto.152258.jpg</t>
  </si>
  <si>
    <t>الجودة</t>
  </si>
  <si>
    <t>Purchases_Images/ed3a5920.ReceiptPhoto.152345.jpg</t>
  </si>
  <si>
    <t>Purchases_Images/95c7360c.ReceiptPhoto.131111.jpg</t>
  </si>
  <si>
    <t>Purchases_Images/b3935ba3.ReceiptPhoto.152747.jpg</t>
  </si>
  <si>
    <t>Purchases_Images/41556c2c.ReceiptPhoto.152814.jpg</t>
  </si>
  <si>
    <t>Purchases_Images/14f9bebd.ReceiptPhoto.152948.jpg</t>
  </si>
  <si>
    <t>Purchases_Images/74a12150.ReceiptPhoto.173238.jpg</t>
  </si>
  <si>
    <t>Purchases_Images/c0422ab4.ReceiptPhoto.173401.jpg</t>
  </si>
  <si>
    <t>Purchases_Images/fc17b57a.ReceiptPhoto.173617.jpg</t>
  </si>
  <si>
    <t>fe1e1aa7</t>
  </si>
  <si>
    <t>Purchases_Images/fe1e1aa7.ReceiptPhoto.173713.jpg</t>
  </si>
  <si>
    <t>6fd29f74</t>
  </si>
  <si>
    <t>Purchases_Images/6fd29f74.ReceiptPhoto.173808.jpg</t>
  </si>
  <si>
    <t>Purchases_Images/cfbae1fe.ReceiptPhoto.173905.jpg</t>
  </si>
  <si>
    <t>afbcc7d1</t>
  </si>
  <si>
    <t>Purchases_Images/afbcc7d1.ReceiptPhoto.173941.jpg</t>
  </si>
  <si>
    <t>a325dbef</t>
  </si>
  <si>
    <t>Purchases_Images/a325dbef.ReceiptPhoto.174038.jpg</t>
  </si>
  <si>
    <t>Purchases_Images/c6aff753.ReceiptPhoto.090920.jpg</t>
  </si>
  <si>
    <t>جينيفيا</t>
  </si>
  <si>
    <t>Purchases_Images/31ff09fe.ReceiptPhoto.092603.jpg</t>
  </si>
  <si>
    <t>Purchases_Images/e7b42511.ReceiptPhoto.092646.jpg</t>
  </si>
  <si>
    <t>Purchases_Images/8a70271d.ReceiptPhoto.093239.jpg</t>
  </si>
  <si>
    <t>Purchases_Images/a5df8846.ReceiptPhoto.154653.jpg</t>
  </si>
  <si>
    <t>Purchases_Images/8c868700.ReceiptPhoto.160459.jpg</t>
  </si>
  <si>
    <t>Purchases_Images/78bf660c.ReceiptPhoto.151020.jpg</t>
  </si>
  <si>
    <t>Purchases_Images/1e8e1725.ReceiptPhoto.141006.jpg</t>
  </si>
  <si>
    <t>Purchases_Images/205b5873.ReceiptPhoto.143429.jpg</t>
  </si>
  <si>
    <t>Purchases_Images/e6061ec0.ReceiptPhoto.225740.jpg</t>
  </si>
  <si>
    <t>Purchases_Images/699bb18e.ReceiptPhoto.233518.jpg</t>
  </si>
  <si>
    <t>Purchases_Images/081080d2.ReceiptPhoto.233903.jpg</t>
  </si>
  <si>
    <t>Purchases_Images/5edb299b.ReceiptPhoto.234049.jpg</t>
  </si>
  <si>
    <t>Purchases_Images/5911af10.ReceiptPhoto.182510.jpg</t>
  </si>
  <si>
    <t>Purchases_Images/bef5de38.ReceiptPhoto.182618.jpg</t>
  </si>
  <si>
    <t>Purchases_Images/5a06a350.ReceiptPhoto.182721.jpg</t>
  </si>
  <si>
    <t>Purchases_Images/b19189c2.ReceiptPhoto.183246.jpg</t>
  </si>
  <si>
    <t>Purchases_Images/bcb95171.ReceiptPhoto.183329.jpg</t>
  </si>
  <si>
    <t>Purchases_Images/5f9fc030.ReceiptPhoto.183523.jpg</t>
  </si>
  <si>
    <t>Purchases_Images/7c315092.ReceiptPhoto.183732.jpg</t>
  </si>
  <si>
    <t>Purchases_Images/666228c0.ReceiptPhoto.183805.jpg</t>
  </si>
  <si>
    <t>Purchases_Images/a02d1fa8.ReceiptPhoto.201054.jpg</t>
  </si>
  <si>
    <t>Purchases_Images/24f2992a.ReceiptPhoto.204202.jpg</t>
  </si>
  <si>
    <t>Purchases_Images/49781d38.ReceiptPhoto.125107.jpg</t>
  </si>
  <si>
    <t>Purchases_Images/e44fac19.ReceiptPhoto.125232.jpg</t>
  </si>
  <si>
    <t>Purchases_Images/fa326fde.ReceiptPhoto.125611.jpg</t>
  </si>
  <si>
    <t>Purchases_Images/4d8053dc.ReceiptPhoto.125642.jpg</t>
  </si>
  <si>
    <t>Purchases_Images/f1314e9b.ReceiptPhoto.125932.jpg</t>
  </si>
  <si>
    <t>Purchases_Images/58f0f51e.ReceiptPhoto.050124.jpg</t>
  </si>
  <si>
    <t>Purchases_Images/8fe7beb3.ReceiptPhoto.050419.jpg</t>
  </si>
  <si>
    <t>Purchases_Images/2200b6da.ReceiptPhoto.182805.jpg</t>
  </si>
  <si>
    <t>Purchases_Images/edecceb3.ReceiptPhoto.182901.jpg</t>
  </si>
  <si>
    <t>Purchases_Images/30ca239d.ReceiptPhoto.183006.jpg</t>
  </si>
  <si>
    <t>Purchases_Images/43f4b2f6.ReceiptPhoto.163739.jpg</t>
  </si>
  <si>
    <t>Purchases_Images/35cb0a30.ReceiptPhoto.163907.jpg</t>
  </si>
  <si>
    <t>Purchases_Images/fd017c96.ReceiptPhoto.164140.jpg</t>
  </si>
  <si>
    <t>Purchases_Images/f00c0ff5.ReceiptPhoto.164414.jpg</t>
  </si>
  <si>
    <t>Purchases_Images/db31e3f8.ReceiptPhoto.164450.jpg</t>
  </si>
  <si>
    <t>Purchases_Images/e5fb83ab.ReceiptPhoto.165320.jpg</t>
  </si>
  <si>
    <t>Purchases_Images/e420d6a9.ReceiptPhoto.165629.jpg</t>
  </si>
  <si>
    <t>Purchases_Images/fbd124cf.ReceiptPhoto.165711.jpg</t>
  </si>
  <si>
    <t>Purchases_Images/82c76ea5.ReceiptPhoto.165741.jpg</t>
  </si>
  <si>
    <t>Purchases_Images/c71a5b2c.ReceiptPhoto.161029.jpg</t>
  </si>
  <si>
    <t>Purchases_Images/0aabb6d2.ReceiptPhoto.162710.jpg</t>
  </si>
  <si>
    <t>Purchases_Images/1144b357.ReceiptPhoto.163003.jpg</t>
  </si>
  <si>
    <t>Purchases_Images/de4ec195.ReceiptPhoto.163259.jpg</t>
  </si>
  <si>
    <t>Purchases_Images/6502020e.ReceiptPhoto.151038.jpg</t>
  </si>
  <si>
    <t>Purchases_Images/0717bd0b.ReceiptPhoto.151306.jpg</t>
  </si>
  <si>
    <t>Purchases_Images/161a86ec.ReceiptPhoto.151645.jpg</t>
  </si>
  <si>
    <t>Purchases_Images/dd9b4145.ReceiptPhoto.112947.jpg</t>
  </si>
  <si>
    <t>Purchases_Images/90f9d1f9.ReceiptPhoto.113025.jpg</t>
  </si>
  <si>
    <t>Purchases_Images/868835ce.ReceiptPhoto.113058.jpg</t>
  </si>
  <si>
    <t>Purchases_Images/7a0e9897.ReceiptPhoto.113233.jpg</t>
  </si>
  <si>
    <t>Purchases_Images/4087a248.ReceiptPhoto.113330.jpg</t>
  </si>
  <si>
    <t>Purchases_Images/20efc97b.ReceiptPhoto.095923.jpg</t>
  </si>
  <si>
    <t>Purchases_Images/1a253598.ReceiptPhoto.100026.jpg</t>
  </si>
  <si>
    <t>Purchases_Images/41b292a0.ReceiptPhoto.124337.jpg</t>
  </si>
  <si>
    <t>Purchases_Images/316f5491.ReceiptPhoto.124533.jpg</t>
  </si>
  <si>
    <t>Purchases_Images/011b17d4.ReceiptPhoto.125021.jpg</t>
  </si>
  <si>
    <t>Purchases_Images/fa6cc36f.ReceiptPhoto.125121.jpg</t>
  </si>
  <si>
    <t>Purchases_Images/ad41d324.ReceiptPhoto.131422.jpg</t>
  </si>
  <si>
    <t>Purchases_Images/bd35a5cf.ReceiptPhoto.132557.jpg</t>
  </si>
  <si>
    <t>Purchases_Images/fb914ad9.ReceiptPhoto.180300.jpg</t>
  </si>
  <si>
    <t>Purchases_Images/a48e4ced.ReceiptPhoto.001641.jpg</t>
  </si>
  <si>
    <t>Purchases_Images/ffb86cee.ReceiptPhoto.002053.jpg</t>
  </si>
  <si>
    <t>Purchases_Images/bb81e412.ReceiptPhoto.002327.jpg</t>
  </si>
  <si>
    <t>Purchases_Images/4f7d1480.ReceiptPhoto.002408.jpg</t>
  </si>
  <si>
    <t>Purchases_Images/4dee2d99.ReceiptPhoto.122411.jpg</t>
  </si>
  <si>
    <t>Purchases_Images/c8a65d6e.ReceiptPhoto.122604.jpg</t>
  </si>
  <si>
    <t>Purchases_Images/9fead2ae.ReceiptPhoto.122741.jpg</t>
  </si>
  <si>
    <t>Purchases_Images/03ab8e87.ReceiptPhoto.122832.jpg</t>
  </si>
  <si>
    <t>Purchases_Images/a1578cc1.ReceiptPhoto.204821.jpg</t>
  </si>
  <si>
    <t>Purchases_Images/fc1fe687.ReceiptPhoto.205144.jpg</t>
  </si>
  <si>
    <t>Purchases_Images/3c818630.ReceiptPhoto.205205.jpg</t>
  </si>
  <si>
    <t>Purchases_Images/2f593f55.ReceiptPhoto.205404.jpg</t>
  </si>
  <si>
    <t>Purchases_Images/2529f781.ReceiptPhoto.205547.jpg</t>
  </si>
  <si>
    <t>Purchases_Images/cabe7632.ReceiptPhoto.235758.jpg</t>
  </si>
  <si>
    <t>Purchases_Images/9f636573.ReceiptPhoto.210211.jpg</t>
  </si>
  <si>
    <t>اسامة</t>
  </si>
  <si>
    <t>Purchases_Images/683bf08a.ReceiptPhoto.134745.jpg</t>
  </si>
  <si>
    <t>Purchases_Images/c1e1d389.ReceiptPhoto.101403.jpg</t>
  </si>
  <si>
    <t>Purchases_Images/557cdc68.ReceiptPhoto.182334.jpg</t>
  </si>
  <si>
    <t>Purchases_Images/d97919fb.ReceiptPhoto.185629.jpg</t>
  </si>
  <si>
    <t>Purchases_Images/e4b28613.ReceiptPhoto.160130.jpg</t>
  </si>
  <si>
    <t>Purchases_Images/49752fc8.ReceiptPhoto.175711.jpg</t>
  </si>
  <si>
    <t>Purchases_Images/80a016cc.ReceiptPhoto.180107.jpg</t>
  </si>
  <si>
    <t>Purchases_Images/fbd37e83.ReceiptPhoto.180256.jpg</t>
  </si>
  <si>
    <t>Purchases_Images/56c2e6a0.ReceiptPhoto.180341.jpg</t>
  </si>
  <si>
    <t>Purchases_Images/8efceb90.ReceiptPhoto.001629.jpg</t>
  </si>
  <si>
    <t>Purchases_Images/042b4059.ReceiptPhoto.223927.jpg</t>
  </si>
  <si>
    <t>Purchases_Images/60491f07.ReceiptPhoto.224033.jpg</t>
  </si>
  <si>
    <t>Purchases_Images/05b7d2e6.ReceiptPhoto.224130.jpg</t>
  </si>
  <si>
    <t>Purchases_Images/7f904a80.ReceiptPhoto.204819.jpg</t>
  </si>
  <si>
    <t>Purchases_Images/b0a218ab.ReceiptPhoto.232245.jpg</t>
  </si>
  <si>
    <t>Purchases_Images/3f2a94d8.ReceiptPhoto.143036.jpg</t>
  </si>
  <si>
    <t>Purchases_Images/e78fc3c9.ReceiptPhoto.172223.jpg</t>
  </si>
  <si>
    <t>Purchases_Images/ead44bd8.ReceiptPhoto.172706.jpg</t>
  </si>
  <si>
    <t>Purchases_Images/691f5194.ReceiptPhoto.172757.jpg</t>
  </si>
  <si>
    <t>Purchases_Images/37093ad1.ReceiptPhoto.172225.jpg</t>
  </si>
  <si>
    <t>Purchases_Images/94b7eba6.ReceiptPhoto.204451.jpg</t>
  </si>
  <si>
    <t>Purchases_Images/f19003a8.ReceiptPhoto.021047.jpg</t>
  </si>
  <si>
    <t>Purchases_Images/fb40a272.ReceiptPhoto.181525.jpg</t>
  </si>
  <si>
    <t>Purchases_Images/4c061a87.ReceiptPhoto.181703.jpg</t>
  </si>
  <si>
    <t>Purchases_Images/b00e6b07.ReceiptPhoto.181918.jpg</t>
  </si>
  <si>
    <t>Purchases_Images/32e56c2c.ReceiptPhoto.150524.jpg</t>
  </si>
  <si>
    <t>Purchases_Images/626d0b59.ReceiptPhoto.150613.jpg</t>
  </si>
  <si>
    <t>Purchases_Images/0407b6ca.ReceiptPhoto.151723.jpg</t>
  </si>
  <si>
    <t>Purchases_Images/9b692f1d.ReceiptPhoto.213817.jpg</t>
  </si>
  <si>
    <t>Purchases_Images/15948e0d.ReceiptPhoto.215057.jpg</t>
  </si>
  <si>
    <t>Purchases_Images/8588cab5.ReceiptPhoto.220112.jpg</t>
  </si>
  <si>
    <t>Purchases_Images/ab54e6b0.ReceiptPhoto.220158.jpg</t>
  </si>
  <si>
    <t>Purchases_Images/4046a521.ReceiptPhoto.221829.jpg</t>
  </si>
  <si>
    <t>Purchases_Images/138a44eb.ReceiptPhoto.221904.jpg</t>
  </si>
  <si>
    <t>Purchases_Images/467b9a30.ReceiptPhoto.221919.jpg</t>
  </si>
  <si>
    <t>Purchases_Images/8c24f1f2.ReceiptPhoto.125205.jpg</t>
  </si>
  <si>
    <t>Purchases_Images/851a886d.ReceiptPhoto.004808.jpg</t>
  </si>
  <si>
    <t>Purchases_Images/c3c8d6b8.ReceiptPhoto.133134.jpg</t>
  </si>
  <si>
    <t>Purchases_Images/13a4ee3b.ReceiptPhoto.133328.jpg</t>
  </si>
  <si>
    <t>Purchases_Images/1e8be36f.ReceiptPhoto.121327.jpg</t>
  </si>
  <si>
    <t>Purchases_Images/79a6a3cc.ReceiptPhoto.121419.jpg</t>
  </si>
  <si>
    <t>Purchases_Images/93a3ee83.ReceiptPhoto.121458.jpg</t>
  </si>
  <si>
    <t>Purchases_Images/f4cc1692.ReceiptPhoto.121549.jpg</t>
  </si>
  <si>
    <t>Purchases_Images/363e9bf3.ReceiptPhoto.121719.jpg</t>
  </si>
  <si>
    <t>Purchases_Images/f89f0ba4.ReceiptPhoto.153145.jpg</t>
  </si>
  <si>
    <t>Purchases_Images/0924fefb.ReceiptPhoto.234455.jpg</t>
  </si>
  <si>
    <t>Purchases_Images/859a6d00.ReceiptPhoto.234604.jpg</t>
  </si>
  <si>
    <t>Purchases_Images/e00ef670.ReceiptPhoto.234711.jpg</t>
  </si>
  <si>
    <t>LineID</t>
  </si>
  <si>
    <t>ItemID</t>
  </si>
  <si>
    <t>QtyPieces</t>
  </si>
  <si>
    <t>UnitCost</t>
  </si>
  <si>
    <t>BoxesQty</t>
  </si>
  <si>
    <t>ReceivedUnits</t>
  </si>
  <si>
    <t>PackSizeUsed</t>
  </si>
  <si>
    <t>d86c066e</t>
  </si>
  <si>
    <t>89353fbf</t>
  </si>
  <si>
    <t>3d92ce96</t>
  </si>
  <si>
    <t>beb47fe7</t>
  </si>
  <si>
    <t>955c07f9</t>
  </si>
  <si>
    <t>8c20a516</t>
  </si>
  <si>
    <t>b74c94c2</t>
  </si>
  <si>
    <t>71866b1b</t>
  </si>
  <si>
    <t>2434bd77</t>
  </si>
  <si>
    <t>e3a0c2be</t>
  </si>
  <si>
    <t>89cf891d</t>
  </si>
  <si>
    <t>d8a0d688</t>
  </si>
  <si>
    <t>0d8c8697</t>
  </si>
  <si>
    <t>9a1d5732</t>
  </si>
  <si>
    <t>17fe33a9</t>
  </si>
  <si>
    <t>ea773df4</t>
  </si>
  <si>
    <t>8e0ea8b4</t>
  </si>
  <si>
    <t>119eafc5</t>
  </si>
  <si>
    <t>e3aa7175</t>
  </si>
  <si>
    <t>73603224</t>
  </si>
  <si>
    <t>4111721b</t>
  </si>
  <si>
    <t>3d2a7f98</t>
  </si>
  <si>
    <t>8580c126</t>
  </si>
  <si>
    <t>a359bc53</t>
  </si>
  <si>
    <t>5b68791b</t>
  </si>
  <si>
    <t>6ed3e13e</t>
  </si>
  <si>
    <t>b8e82fe6</t>
  </si>
  <si>
    <t>233deb5c</t>
  </si>
  <si>
    <t>ec4773bb</t>
  </si>
  <si>
    <t>fbac637d</t>
  </si>
  <si>
    <t>20d609fa</t>
  </si>
  <si>
    <t>25511a6c</t>
  </si>
  <si>
    <t>e4db57ab</t>
  </si>
  <si>
    <t>df0d9c3a</t>
  </si>
  <si>
    <t>d2654e26</t>
  </si>
  <si>
    <t>cbbd92a5</t>
  </si>
  <si>
    <t>f33bcf06</t>
  </si>
  <si>
    <t>d43b3074</t>
  </si>
  <si>
    <t>8eaa6e00</t>
  </si>
  <si>
    <t>5d3318a8</t>
  </si>
  <si>
    <t>c5a49d31</t>
  </si>
  <si>
    <t>4134d974</t>
  </si>
  <si>
    <t>9dd0da57</t>
  </si>
  <si>
    <t>5ea3041a</t>
  </si>
  <si>
    <t>31b25b36</t>
  </si>
  <si>
    <t>022f9581</t>
  </si>
  <si>
    <t>81b8928c</t>
  </si>
  <si>
    <t>9cf97388</t>
  </si>
  <si>
    <t>fa72bb29</t>
  </si>
  <si>
    <t>10c1b220</t>
  </si>
  <si>
    <t>783245a1</t>
  </si>
  <si>
    <t>ebb2d491</t>
  </si>
  <si>
    <t>60a57440</t>
  </si>
  <si>
    <t>b830236d</t>
  </si>
  <si>
    <t>1d2784f1</t>
  </si>
  <si>
    <t>64acca35</t>
  </si>
  <si>
    <t>9c429b0f</t>
  </si>
  <si>
    <t>9cfd915b</t>
  </si>
  <si>
    <t>d40b18c9</t>
  </si>
  <si>
    <t>e0f07051</t>
  </si>
  <si>
    <t>f618bca2</t>
  </si>
  <si>
    <t>be73bb30</t>
  </si>
  <si>
    <t>4f1a67cb</t>
  </si>
  <si>
    <t>01b7c755</t>
  </si>
  <si>
    <t>f5e6915e</t>
  </si>
  <si>
    <t>9884f24d</t>
  </si>
  <si>
    <t>92321605</t>
  </si>
  <si>
    <t>3edc4001</t>
  </si>
  <si>
    <t>442c8b61</t>
  </si>
  <si>
    <t>f9fbc85e</t>
  </si>
  <si>
    <t>8020253f</t>
  </si>
  <si>
    <t>a83e3d54</t>
  </si>
  <si>
    <t>faeb48c7</t>
  </si>
  <si>
    <t>32df60a4</t>
  </si>
  <si>
    <t>a1a1584a</t>
  </si>
  <si>
    <t>bea62b0f</t>
  </si>
  <si>
    <t>90cdcf72</t>
  </si>
  <si>
    <t>d30ad69b</t>
  </si>
  <si>
    <t>90b6058c</t>
  </si>
  <si>
    <t>27dd939e</t>
  </si>
  <si>
    <t>bcbbfa96</t>
  </si>
  <si>
    <t>9f5106e7</t>
  </si>
  <si>
    <t>eb1a5eb3</t>
  </si>
  <si>
    <t>f2d78c90</t>
  </si>
  <si>
    <t>e0b146a0</t>
  </si>
  <si>
    <t>2ef7c6a9</t>
  </si>
  <si>
    <t>b0346496</t>
  </si>
  <si>
    <t>da40e9b8</t>
  </si>
  <si>
    <t>e9653578</t>
  </si>
  <si>
    <t>a1f767c6</t>
  </si>
  <si>
    <t>c249c575</t>
  </si>
  <si>
    <t>b93c1383</t>
  </si>
  <si>
    <t>86464f2b</t>
  </si>
  <si>
    <t>98ddf6b7</t>
  </si>
  <si>
    <t>160861b7</t>
  </si>
  <si>
    <t>8e986f03</t>
  </si>
  <si>
    <t>706e0fbf</t>
  </si>
  <si>
    <t>0fa66f6f</t>
  </si>
  <si>
    <t>bf81c9b2</t>
  </si>
  <si>
    <t>0e8ae15b</t>
  </si>
  <si>
    <t>33dc146c</t>
  </si>
  <si>
    <t>4e7d4635</t>
  </si>
  <si>
    <t>1121bc9c</t>
  </si>
  <si>
    <t>534eee23</t>
  </si>
  <si>
    <t>e171013b</t>
  </si>
  <si>
    <t>075b2234</t>
  </si>
  <si>
    <t>8c604ecb</t>
  </si>
  <si>
    <t>5e40f867</t>
  </si>
  <si>
    <t>f9940e55</t>
  </si>
  <si>
    <t>c30e0b5a</t>
  </si>
  <si>
    <t>c5f193e7</t>
  </si>
  <si>
    <t>0afeb2e3</t>
  </si>
  <si>
    <t>0e5dfaef</t>
  </si>
  <si>
    <t>4f536c26</t>
  </si>
  <si>
    <t>27aae9b8</t>
  </si>
  <si>
    <t>faabfa13</t>
  </si>
  <si>
    <t>05c371c4</t>
  </si>
  <si>
    <t>9b2e7bf3</t>
  </si>
  <si>
    <t>a3a6289d</t>
  </si>
  <si>
    <t>f27fb694</t>
  </si>
  <si>
    <t>d66b311c</t>
  </si>
  <si>
    <t>1074f005</t>
  </si>
  <si>
    <t>8b229d6e</t>
  </si>
  <si>
    <t>8e74c45d</t>
  </si>
  <si>
    <t>7662b4c4</t>
  </si>
  <si>
    <t>6c25211b</t>
  </si>
  <si>
    <t>4bb7cea5</t>
  </si>
  <si>
    <t>1beb47fc</t>
  </si>
  <si>
    <t>b7d2a755</t>
  </si>
  <si>
    <t>4e170e67</t>
  </si>
  <si>
    <t>7d8529c1</t>
  </si>
  <si>
    <t>3acfc3cf</t>
  </si>
  <si>
    <t>571fb792</t>
  </si>
  <si>
    <t>0428c63a</t>
  </si>
  <si>
    <t>fb03da86</t>
  </si>
  <si>
    <t>519d6854</t>
  </si>
  <si>
    <t>9cf372bf</t>
  </si>
  <si>
    <t>f47862b9</t>
  </si>
  <si>
    <t>4f1fc02d</t>
  </si>
  <si>
    <t>0e9c4abf</t>
  </si>
  <si>
    <t>28ba9016</t>
  </si>
  <si>
    <t>6ed8090f</t>
  </si>
  <si>
    <t>414152a4</t>
  </si>
  <si>
    <t>e0bb1e06</t>
  </si>
  <si>
    <t>25457c5a</t>
  </si>
  <si>
    <t>343a23e8</t>
  </si>
  <si>
    <t>e1c6944c</t>
  </si>
  <si>
    <t>56cb97b4</t>
  </si>
  <si>
    <t>68a7dff2</t>
  </si>
  <si>
    <t>2b615241</t>
  </si>
  <si>
    <t>98c3a863</t>
  </si>
  <si>
    <t>5ace2728</t>
  </si>
  <si>
    <t>96247439</t>
  </si>
  <si>
    <t>301929d7</t>
  </si>
  <si>
    <t>dd730e2c</t>
  </si>
  <si>
    <t>41f1fb14</t>
  </si>
  <si>
    <t>b6d70bc5</t>
  </si>
  <si>
    <t>692bed82</t>
  </si>
  <si>
    <t>3443655f</t>
  </si>
  <si>
    <t>ff6a126a</t>
  </si>
  <si>
    <t>5947ae88</t>
  </si>
  <si>
    <t>a21f3a11</t>
  </si>
  <si>
    <t>6447d849</t>
  </si>
  <si>
    <t>a23b2766</t>
  </si>
  <si>
    <t>5a3626f6</t>
  </si>
  <si>
    <t>3329d897</t>
  </si>
  <si>
    <t>4d11cb5b</t>
  </si>
  <si>
    <t>2bde9ce7</t>
  </si>
  <si>
    <t>596465ea</t>
  </si>
  <si>
    <t>da32693b</t>
  </si>
  <si>
    <t>978bbea4</t>
  </si>
  <si>
    <t>b283eade</t>
  </si>
  <si>
    <t>972ac7be</t>
  </si>
  <si>
    <t>1af3c1ed</t>
  </si>
  <si>
    <t>9b80fd68</t>
  </si>
  <si>
    <t>6e19312c</t>
  </si>
  <si>
    <t>4ea53d63</t>
  </si>
  <si>
    <t>ce2394ad</t>
  </si>
  <si>
    <t>966302c0</t>
  </si>
  <si>
    <t>4846cf0a</t>
  </si>
  <si>
    <t>70d8353d</t>
  </si>
  <si>
    <t>15d19515</t>
  </si>
  <si>
    <t>8d403860</t>
  </si>
  <si>
    <t>e8a93825</t>
  </si>
  <si>
    <t>2e6404ac</t>
  </si>
  <si>
    <t>336ae5d9</t>
  </si>
  <si>
    <t>8d4abd04</t>
  </si>
  <si>
    <t>f73b04f9</t>
  </si>
  <si>
    <t>92a0ed17</t>
  </si>
  <si>
    <t>5fe0bf3b</t>
  </si>
  <si>
    <t>fa52c8ce</t>
  </si>
  <si>
    <t>6c35ebde</t>
  </si>
  <si>
    <t>b6eb9ac7</t>
  </si>
  <si>
    <t>c3a8e7fc</t>
  </si>
  <si>
    <t>d086a420</t>
  </si>
  <si>
    <t>a72a32c4</t>
  </si>
  <si>
    <t>eb5b8558</t>
  </si>
  <si>
    <t>9231ff7c</t>
  </si>
  <si>
    <t>50558860</t>
  </si>
  <si>
    <t>18773adf</t>
  </si>
  <si>
    <t>1389f293</t>
  </si>
  <si>
    <t>b873f41d</t>
  </si>
  <si>
    <t>8e881d32</t>
  </si>
  <si>
    <t>ec2a98f9</t>
  </si>
  <si>
    <t>5f816593</t>
  </si>
  <si>
    <t>254be214</t>
  </si>
  <si>
    <t>fd4dd005</t>
  </si>
  <si>
    <t>14d80b99</t>
  </si>
  <si>
    <t>ccbe772a</t>
  </si>
  <si>
    <t>f23ce909</t>
  </si>
  <si>
    <t>2565d1bf</t>
  </si>
  <si>
    <t>88754900</t>
  </si>
  <si>
    <t>ebeb7b14</t>
  </si>
  <si>
    <t>ead8ce07</t>
  </si>
  <si>
    <t>d7590c41</t>
  </si>
  <si>
    <t>347f81c9</t>
  </si>
  <si>
    <t>8ece2c0e</t>
  </si>
  <si>
    <t>3cec928e</t>
  </si>
  <si>
    <t>b5d0d234</t>
  </si>
  <si>
    <t>4c020ca9</t>
  </si>
  <si>
    <t>5a0ed536</t>
  </si>
  <si>
    <t>9bb46db2</t>
  </si>
  <si>
    <t>e124ebbd</t>
  </si>
  <si>
    <t>b6829c28</t>
  </si>
  <si>
    <t>6a8804c1</t>
  </si>
  <si>
    <t>54c7634d</t>
  </si>
  <si>
    <t>42b2fed8</t>
  </si>
  <si>
    <t>87bea15e</t>
  </si>
  <si>
    <t>ae6221cb</t>
  </si>
  <si>
    <t>df9639ec</t>
  </si>
  <si>
    <t>d0ab429f</t>
  </si>
  <si>
    <t>5fd21417</t>
  </si>
  <si>
    <t>a513d075</t>
  </si>
  <si>
    <t>11a34bc0</t>
  </si>
  <si>
    <t>fe823021</t>
  </si>
  <si>
    <t>8b0e257a</t>
  </si>
  <si>
    <t>e4752543</t>
  </si>
  <si>
    <t>db3e4dd2</t>
  </si>
  <si>
    <t>b32c9d07</t>
  </si>
  <si>
    <t>e47b2332</t>
  </si>
  <si>
    <t>f956a2c8</t>
  </si>
  <si>
    <t>9b21841a</t>
  </si>
  <si>
    <t>4eac2d3f</t>
  </si>
  <si>
    <t>a964cadc</t>
  </si>
  <si>
    <t>35079701</t>
  </si>
  <si>
    <t>efd5d69f</t>
  </si>
  <si>
    <t>3615bba9</t>
  </si>
  <si>
    <t>f2609c7f</t>
  </si>
  <si>
    <t>f8ff3508</t>
  </si>
  <si>
    <t>5e5b2a18</t>
  </si>
  <si>
    <t>83c8077e</t>
  </si>
  <si>
    <t>82ca5495</t>
  </si>
  <si>
    <t>48661d47</t>
  </si>
  <si>
    <t>1fca08bc</t>
  </si>
  <si>
    <t>ad162167</t>
  </si>
  <si>
    <t>f696e40e</t>
  </si>
  <si>
    <t>6fd96e25</t>
  </si>
  <si>
    <t>167cdb77</t>
  </si>
  <si>
    <t>3147d5be</t>
  </si>
  <si>
    <t>b846737a</t>
  </si>
  <si>
    <t>0810a8f1</t>
  </si>
  <si>
    <t>07e806b3</t>
  </si>
  <si>
    <t>a5d1cabf</t>
  </si>
  <si>
    <t>3296c55a</t>
  </si>
  <si>
    <t>09d023ee</t>
  </si>
  <si>
    <t>81abd1ce</t>
  </si>
  <si>
    <t>ce31ff02</t>
  </si>
  <si>
    <t>2d990937</t>
  </si>
  <si>
    <t>9334cc5c</t>
  </si>
  <si>
    <t>dee216ed</t>
  </si>
  <si>
    <t>a600e82e</t>
  </si>
  <si>
    <t>002a75ef</t>
  </si>
  <si>
    <t>1274a1da</t>
  </si>
  <si>
    <t>36360316</t>
  </si>
  <si>
    <t>88193fe0</t>
  </si>
  <si>
    <t>3bd97a50</t>
  </si>
  <si>
    <t>1b0d794e</t>
  </si>
  <si>
    <t>bcdc1e12</t>
  </si>
  <si>
    <t>2eee6df3</t>
  </si>
  <si>
    <t>d3e52aaf</t>
  </si>
  <si>
    <t>285cf01b</t>
  </si>
  <si>
    <t>d684c0e8</t>
  </si>
  <si>
    <t>2ca80b90</t>
  </si>
  <si>
    <t>b11d5d6a</t>
  </si>
  <si>
    <t>fc28a547</t>
  </si>
  <si>
    <t>7697b718</t>
  </si>
  <si>
    <t>f75d067e</t>
  </si>
  <si>
    <t>c88ced99</t>
  </si>
  <si>
    <t>45f76613</t>
  </si>
  <si>
    <t>87eec690</t>
  </si>
  <si>
    <t>406882ee</t>
  </si>
  <si>
    <t>1932945b</t>
  </si>
  <si>
    <t>2517498f</t>
  </si>
  <si>
    <t>d75b4a7c</t>
  </si>
  <si>
    <t>89f348d6</t>
  </si>
  <si>
    <t>c8d4286b</t>
  </si>
  <si>
    <t>b65dcdfc</t>
  </si>
  <si>
    <t>de2e6e04</t>
  </si>
  <si>
    <t>d71f2763</t>
  </si>
  <si>
    <t>93fd2dee</t>
  </si>
  <si>
    <t>ffc86fb3</t>
  </si>
  <si>
    <t>825cf0fe</t>
  </si>
  <si>
    <t>7cabd2c1</t>
  </si>
  <si>
    <t>2c98ef4a</t>
  </si>
  <si>
    <t>e48eeaa0</t>
  </si>
  <si>
    <t>448522d0</t>
  </si>
  <si>
    <t>92c7dfa7</t>
  </si>
  <si>
    <t>89fc9a90</t>
  </si>
  <si>
    <t>0ea2dd13</t>
  </si>
  <si>
    <t>b7450662</t>
  </si>
  <si>
    <t>0fac0de4</t>
  </si>
  <si>
    <t>d081f76f</t>
  </si>
  <si>
    <t>03eeb86e</t>
  </si>
  <si>
    <t>eb276cf6</t>
  </si>
  <si>
    <t>5c092b7e</t>
  </si>
  <si>
    <t>da315e04</t>
  </si>
  <si>
    <t>30cf9659</t>
  </si>
  <si>
    <t>e12ac01a</t>
  </si>
  <si>
    <t>a7a5bed5</t>
  </si>
  <si>
    <t>bad0164a</t>
  </si>
  <si>
    <t>86ea96b9</t>
  </si>
  <si>
    <t>35b769ef</t>
  </si>
  <si>
    <t>e7306737</t>
  </si>
  <si>
    <t>a47c2b6e</t>
  </si>
  <si>
    <t>50378b34</t>
  </si>
  <si>
    <t>43dd1549</t>
  </si>
  <si>
    <t>6306d763</t>
  </si>
  <si>
    <t>69dc9f4b</t>
  </si>
  <si>
    <t>c60770d3</t>
  </si>
  <si>
    <t>b9143ea3</t>
  </si>
  <si>
    <t>e2e8f65e</t>
  </si>
  <si>
    <t>35e7317a</t>
  </si>
  <si>
    <t>c2342d84</t>
  </si>
  <si>
    <t>aca96549</t>
  </si>
  <si>
    <t>8fc3621f</t>
  </si>
  <si>
    <t>9a2f4b82</t>
  </si>
  <si>
    <t>e068266b</t>
  </si>
  <si>
    <t>258eaa66</t>
  </si>
  <si>
    <t>891737b4</t>
  </si>
  <si>
    <t>b79a7bd0</t>
  </si>
  <si>
    <t>fb022d25</t>
  </si>
  <si>
    <t>aa57c17a</t>
  </si>
  <si>
    <t>5aa49eb1</t>
  </si>
  <si>
    <t>737a2d0d</t>
  </si>
  <si>
    <t>bda0d345</t>
  </si>
  <si>
    <t>5c227a5b</t>
  </si>
  <si>
    <t>351317a3</t>
  </si>
  <si>
    <t>c0b629c5</t>
  </si>
  <si>
    <t>35de1f00</t>
  </si>
  <si>
    <t>4c8305fe</t>
  </si>
  <si>
    <t>c6acf998</t>
  </si>
  <si>
    <t>30a8a4fd</t>
  </si>
  <si>
    <t>73010df4</t>
  </si>
  <si>
    <t>4a40604b</t>
  </si>
  <si>
    <t>5874fa55</t>
  </si>
  <si>
    <t>cbdab8c9</t>
  </si>
  <si>
    <t>4baa1552</t>
  </si>
  <si>
    <t>6d01e564</t>
  </si>
  <si>
    <t>31ae74c9</t>
  </si>
  <si>
    <t>eec82aff</t>
  </si>
  <si>
    <t>1411baef</t>
  </si>
  <si>
    <t>6a36aae8</t>
  </si>
  <si>
    <t>d358bdf3</t>
  </si>
  <si>
    <t>e4977324</t>
  </si>
  <si>
    <t>16d60217</t>
  </si>
  <si>
    <t>c3c5ff6f</t>
  </si>
  <si>
    <t>93ca3c79</t>
  </si>
  <si>
    <t>937681f6</t>
  </si>
  <si>
    <t>19b5e5c0</t>
  </si>
  <si>
    <t>95deb780</t>
  </si>
  <si>
    <t>e088a983</t>
  </si>
  <si>
    <t>f66dd816</t>
  </si>
  <si>
    <t>e6542ab3</t>
  </si>
  <si>
    <t>8e7e48cb</t>
  </si>
  <si>
    <t>04d9f6a7</t>
  </si>
  <si>
    <t>2890637d</t>
  </si>
  <si>
    <t>5cba296d</t>
  </si>
  <si>
    <t>0ee625c9</t>
  </si>
  <si>
    <t>f9426c8e</t>
  </si>
  <si>
    <t>0d55cceb</t>
  </si>
  <si>
    <t>ab00e6e8</t>
  </si>
  <si>
    <t>5c9ddce6</t>
  </si>
  <si>
    <t>868885ff</t>
  </si>
  <si>
    <t>329ee4bd</t>
  </si>
  <si>
    <t>8eafe69b</t>
  </si>
  <si>
    <t>df35c8c0</t>
  </si>
  <si>
    <t>06f48e4e</t>
  </si>
  <si>
    <t>07eb031e</t>
  </si>
  <si>
    <t>c2073a32</t>
  </si>
  <si>
    <t>c69754bc</t>
  </si>
  <si>
    <t>3a8f80cf</t>
  </si>
  <si>
    <t>b786c96a</t>
  </si>
  <si>
    <t>236e44f8</t>
  </si>
  <si>
    <t>41d8caaa</t>
  </si>
  <si>
    <t>9a701f6c</t>
  </si>
  <si>
    <t>67840516</t>
  </si>
  <si>
    <t>ea99cba0</t>
  </si>
  <si>
    <t>46e5612a</t>
  </si>
  <si>
    <t>acd71c30</t>
  </si>
  <si>
    <t>58b62aad</t>
  </si>
  <si>
    <t>bf1aa088</t>
  </si>
  <si>
    <t>896c41af</t>
  </si>
  <si>
    <t>fbbb480e</t>
  </si>
  <si>
    <t>6bc5632f</t>
  </si>
  <si>
    <t>faef5939</t>
  </si>
  <si>
    <t>a90efe46</t>
  </si>
  <si>
    <t>246d140f</t>
  </si>
  <si>
    <t>6fe5e4be</t>
  </si>
  <si>
    <t>76b4e990</t>
  </si>
  <si>
    <t>46b8bafa</t>
  </si>
  <si>
    <t>e4ba5070</t>
  </si>
  <si>
    <t>effb6aaa</t>
  </si>
  <si>
    <t>9c073489</t>
  </si>
  <si>
    <t>ae65a43b</t>
  </si>
  <si>
    <t>cde7928e</t>
  </si>
  <si>
    <t>0d06fae0</t>
  </si>
  <si>
    <t>095fd249</t>
  </si>
  <si>
    <t>71679415</t>
  </si>
  <si>
    <t>c7d88548</t>
  </si>
  <si>
    <t>803c4bf8</t>
  </si>
  <si>
    <t>32ae3e18</t>
  </si>
  <si>
    <t>1d8dcf49</t>
  </si>
  <si>
    <t>51939601</t>
  </si>
  <si>
    <t>3d4ad1bd</t>
  </si>
  <si>
    <t>f334a219</t>
  </si>
  <si>
    <t>a88613e7</t>
  </si>
  <si>
    <t>240ad157</t>
  </si>
  <si>
    <t>20845107</t>
  </si>
  <si>
    <t>4c79fba8</t>
  </si>
  <si>
    <t>a7622c6f</t>
  </si>
  <si>
    <t>3b8875bc</t>
  </si>
  <si>
    <t>7d5c0f00</t>
  </si>
  <si>
    <t>a5462acb</t>
  </si>
  <si>
    <t>bad7a50e</t>
  </si>
  <si>
    <t>f68d7569</t>
  </si>
  <si>
    <t>313cd631</t>
  </si>
  <si>
    <t>55ae9528</t>
  </si>
  <si>
    <t>fb80d64a</t>
  </si>
  <si>
    <t>501d9653</t>
  </si>
  <si>
    <t>0f202c66</t>
  </si>
  <si>
    <t>4e291d0f</t>
  </si>
  <si>
    <t>134000cc</t>
  </si>
  <si>
    <t>77f48efa</t>
  </si>
  <si>
    <t>8c8aa3ef</t>
  </si>
  <si>
    <t>979e813b</t>
  </si>
  <si>
    <t>73544fd3</t>
  </si>
  <si>
    <t>eaa7fccc</t>
  </si>
  <si>
    <t>8fff79a1</t>
  </si>
  <si>
    <t>4b7d222e</t>
  </si>
  <si>
    <t>61f34dba</t>
  </si>
  <si>
    <t>ecbf08be</t>
  </si>
  <si>
    <t>8171a697</t>
  </si>
  <si>
    <t>c4f1005f</t>
  </si>
  <si>
    <t>3037badc</t>
  </si>
  <si>
    <t>3ffae986</t>
  </si>
  <si>
    <t>3d2ef391</t>
  </si>
  <si>
    <t>2421ca38</t>
  </si>
  <si>
    <t>0c439a8b</t>
  </si>
  <si>
    <t>ea18dacd</t>
  </si>
  <si>
    <t>76f0322f</t>
  </si>
  <si>
    <t>0b7c7d75</t>
  </si>
  <si>
    <t>31d151be</t>
  </si>
  <si>
    <t>ceec173e</t>
  </si>
  <si>
    <t>9346f244</t>
  </si>
  <si>
    <t>614fa747</t>
  </si>
  <si>
    <t>f4e6b46c</t>
  </si>
  <si>
    <t>20fe6d86</t>
  </si>
  <si>
    <t>ebd099e3</t>
  </si>
  <si>
    <t>a5e408c2</t>
  </si>
  <si>
    <t>163ae2bc</t>
  </si>
  <si>
    <t>59873b71</t>
  </si>
  <si>
    <t>234219a6</t>
  </si>
  <si>
    <t>3d162552</t>
  </si>
  <si>
    <t>490eb6e0</t>
  </si>
  <si>
    <t>0a1adf61</t>
  </si>
  <si>
    <t>e3f33ac9</t>
  </si>
  <si>
    <t>62f4dd3b</t>
  </si>
  <si>
    <t>9712632e</t>
  </si>
  <si>
    <t>f6ad34f7</t>
  </si>
  <si>
    <t>f104f7f3</t>
  </si>
  <si>
    <t>420ad513</t>
  </si>
  <si>
    <t>8f5a0682</t>
  </si>
  <si>
    <t>61727d96</t>
  </si>
  <si>
    <t>bd7ccba4</t>
  </si>
  <si>
    <t>f7432509</t>
  </si>
  <si>
    <t>a9af125e</t>
  </si>
  <si>
    <t>2da391b2</t>
  </si>
  <si>
    <t>b4858ac4</t>
  </si>
  <si>
    <t>f96b7bda</t>
  </si>
  <si>
    <t>388f37e0</t>
  </si>
  <si>
    <t>LocationName</t>
  </si>
  <si>
    <t>LocationType</t>
  </si>
  <si>
    <t>Active</t>
  </si>
  <si>
    <t>Main Storage</t>
  </si>
  <si>
    <t>MainStorage</t>
  </si>
  <si>
    <t>Bag - Anas</t>
  </si>
  <si>
    <t>OperatorBag</t>
  </si>
  <si>
    <t>BAG_op2</t>
  </si>
  <si>
    <t>Bag - Ahmed</t>
  </si>
  <si>
    <t>SHELF_2503000216</t>
  </si>
  <si>
    <t>اتش تي - Shelf</t>
  </si>
  <si>
    <t>MachineShelf</t>
  </si>
  <si>
    <t>SHELF_2411000046</t>
  </si>
  <si>
    <t>المواصفات - Shelf</t>
  </si>
  <si>
    <t>2411000046</t>
  </si>
  <si>
    <t>SHELF_2503000217</t>
  </si>
  <si>
    <t>سي كوست - Shelf</t>
  </si>
  <si>
    <t>2503000217</t>
  </si>
  <si>
    <t>SHELF_2404120076</t>
  </si>
  <si>
    <t>الدبلوماسي - Shelf</t>
  </si>
  <si>
    <t>2404120076</t>
  </si>
  <si>
    <t>RefillLineID</t>
  </si>
  <si>
    <t>RefillID</t>
  </si>
  <si>
    <t>SourceType</t>
  </si>
  <si>
    <t>MachineName</t>
  </si>
  <si>
    <t>Location</t>
  </si>
  <si>
    <t>Logo</t>
  </si>
  <si>
    <t>Contact</t>
  </si>
  <si>
    <t>BackstockLocationID</t>
  </si>
  <si>
    <t>ShelfLocationID</t>
  </si>
  <si>
    <t>اتش تي مول</t>
  </si>
  <si>
    <t>سوق الجمعة</t>
  </si>
  <si>
    <t>Places_Logos/htMall.webp</t>
  </si>
  <si>
    <t>اتش تي لاند</t>
  </si>
  <si>
    <t>الدبلوماسي مول</t>
  </si>
  <si>
    <t>عين زارة</t>
  </si>
  <si>
    <t>Places_Logos/dpMall.webp</t>
  </si>
  <si>
    <t>سي كوست</t>
  </si>
  <si>
    <t>حي دمشق</t>
  </si>
  <si>
    <t>Places_Logos/seaCoast.webp</t>
  </si>
  <si>
    <t>مستشفى المواصفات</t>
  </si>
  <si>
    <t>طريق المطار</t>
  </si>
  <si>
    <t>Places_Logos/almHospital.webp</t>
  </si>
  <si>
    <t>2509000369</t>
  </si>
  <si>
    <t>مستشفى الاستقلال</t>
  </si>
  <si>
    <t>Machines_Images/4f241ed6.Logo.223116.jpg</t>
  </si>
  <si>
    <t>SHELF_2509000369</t>
  </si>
  <si>
    <t>جامعة التحدي</t>
  </si>
  <si>
    <t>خليج ليبيا</t>
  </si>
  <si>
    <t>Machine Name</t>
  </si>
  <si>
    <t>MachinePhoto</t>
  </si>
  <si>
    <t>FillStatus</t>
  </si>
  <si>
    <t>IssuesFound</t>
  </si>
  <si>
    <t>IssueNotes</t>
  </si>
  <si>
    <t>33b497c1</t>
  </si>
  <si>
    <t>https://drive.google.com/open?id=107jD0YxZFMGwbFdDrpiUs-CM-tgO2G2O</t>
  </si>
  <si>
    <t xml:space="preserve">Partial </t>
  </si>
  <si>
    <t>33b497c3</t>
  </si>
  <si>
    <t>MachineRefills_Images/33b497c3.MachinePhoto.jpg</t>
  </si>
  <si>
    <t>قروش حاصلات</t>
  </si>
  <si>
    <t>33b497c2</t>
  </si>
  <si>
    <t>MachineRefills_Images/33b497c2.MachinePhoto.225841.jpg</t>
  </si>
  <si>
    <t>Full</t>
  </si>
  <si>
    <t>33b497c4</t>
  </si>
  <si>
    <t>MachineRefills_Images/33b497c4.MachinePhoto.jpg</t>
  </si>
  <si>
    <t>e6dfa089</t>
  </si>
  <si>
    <t>MachineRefills_Images/e6dfa089.MachinePhoto.015932.jpg</t>
  </si>
  <si>
    <t>جني مطبق</t>
  </si>
  <si>
    <t>cf8d90e7</t>
  </si>
  <si>
    <t>MachineRefills_Images/cf8d90e7.MachinePhoto.055424.jpg</t>
  </si>
  <si>
    <t>ae439d32</t>
  </si>
  <si>
    <t>MachineRefills_Images/ae439d32.MachinePhoto.090058.jpg</t>
  </si>
  <si>
    <t>b87330d3</t>
  </si>
  <si>
    <t>MachineRefills_Images/b87330d3.MachinePhoto.135929.jpg</t>
  </si>
  <si>
    <t>ca8b7387</t>
  </si>
  <si>
    <t>MachineRefills_Images/ca8b7387.MachinePhoto.121611.jpg</t>
  </si>
  <si>
    <t>a9abc1bc</t>
  </si>
  <si>
    <t>MachineRefills_Images/a9abc1bc.MachinePhoto.215725.jpg</t>
  </si>
  <si>
    <t>Partial</t>
  </si>
  <si>
    <t>6a5e279e</t>
  </si>
  <si>
    <t>MachineRefills_Images/6a5e279e.MachinePhoto.000304.jpg</t>
  </si>
  <si>
    <t>c489690f</t>
  </si>
  <si>
    <t>MachineRefills_Images/c489690f.MachinePhoto.003649.jpg</t>
  </si>
  <si>
    <t>bf752e10</t>
  </si>
  <si>
    <t>MachineRefills_Images/bf752e10.MachinePhoto.122231.jpg</t>
  </si>
  <si>
    <t>64ddba9d</t>
  </si>
  <si>
    <t>MachineRefills_Images/64ddba9d.MachinePhoto.220415.jpg</t>
  </si>
  <si>
    <t>ec428004</t>
  </si>
  <si>
    <t>MachineRefills_Images/ec428004.MachinePhoto.234055.jpg</t>
  </si>
  <si>
    <t>تشينج عالق</t>
  </si>
  <si>
    <t>9b1c9f32</t>
  </si>
  <si>
    <t>MachineRefills_Images/9b1c9f32.MachinePhoto.210325.jpg</t>
  </si>
  <si>
    <t>4a23ab6d</t>
  </si>
  <si>
    <t>MachineRefills_Images/4a23ab6d.MachinePhoto.221925.jpg</t>
  </si>
  <si>
    <t>7f273e51</t>
  </si>
  <si>
    <t>MachineRefills_Images/7f273e51.MachinePhoto.094011.jpg</t>
  </si>
  <si>
    <t>جني حاصل</t>
  </si>
  <si>
    <t>7c579d32</t>
  </si>
  <si>
    <t>MachineRefills_Images/7c579d32.MachinePhoto.110133.jpg</t>
  </si>
  <si>
    <t>5cf74259</t>
  </si>
  <si>
    <t>MachineRefills_Images/5cf74259.MachinePhoto.154227.jpg</t>
  </si>
  <si>
    <t>8b2f2f8a</t>
  </si>
  <si>
    <t>MachineRefills_Images/8b2f2f8a.MachinePhoto.093029.jpg</t>
  </si>
  <si>
    <t>6f9cf986</t>
  </si>
  <si>
    <t>MachineRefills_Images/6f9cf986.MachinePhoto.093051.jpg</t>
  </si>
  <si>
    <t>مشكلة في ترجيع الفلوس</t>
  </si>
  <si>
    <t>5de67d66</t>
  </si>
  <si>
    <t>MachineRefills_Images/5de67d66.MachinePhoto.115943.jpg</t>
  </si>
  <si>
    <t>7f03e856</t>
  </si>
  <si>
    <t>MachineRefills_Images/7f03e856.MachinePhoto.003246.jpg</t>
  </si>
  <si>
    <t>2bf7260f</t>
  </si>
  <si>
    <t>MachineRefills_Images/2bf7260f.MachinePhoto.015702.jpg</t>
  </si>
  <si>
    <t>718d6361</t>
  </si>
  <si>
    <t>MachineRefills_Images/718d6361.MachinePhoto.210817.jpg</t>
  </si>
  <si>
    <t>0c956818</t>
  </si>
  <si>
    <t>MachineRefills_Images/0c956818.MachinePhoto.094804.jpg</t>
  </si>
  <si>
    <t>139eebc2</t>
  </si>
  <si>
    <t>MachineRefills_Images/139eebc2.MachinePhoto.221455.jpg</t>
  </si>
  <si>
    <t>a4538b50</t>
  </si>
  <si>
    <t>MachineRefills_Images/a4538b50.MachinePhoto.140330.jpg</t>
  </si>
  <si>
    <t>c9d0e5f8</t>
  </si>
  <si>
    <t>MachineRefills_Images/c9d0e5f8.MachinePhoto.205409.jpg</t>
  </si>
  <si>
    <t>449ac259</t>
  </si>
  <si>
    <t>MachineRefills_Images/449ac259.MachinePhoto.214410.jpg</t>
  </si>
  <si>
    <t>ac39acb1</t>
  </si>
  <si>
    <t>MachineRefills_Images/ac39acb1.MachinePhoto.144540.jpg</t>
  </si>
  <si>
    <t>bae8b598</t>
  </si>
  <si>
    <t>MachineRefills_Images/bae8b598.MachinePhoto.134506.jpg</t>
  </si>
  <si>
    <t>تغيير مكان المرضعة  والتايقرات  وعدل مكان باربيكان</t>
  </si>
  <si>
    <t>7b561c8e</t>
  </si>
  <si>
    <t>MachineRefills_Images/7b561c8e.MachinePhoto.112454.jpg</t>
  </si>
  <si>
    <t>e36670e0</t>
  </si>
  <si>
    <t>MachineRefills_Images/e36670e0.MachinePhoto.222358.jpg</t>
  </si>
  <si>
    <t>c6d5d8b4</t>
  </si>
  <si>
    <t>MachineRefills_Images/c6d5d8b4.MachinePhoto.130221.jpg</t>
  </si>
  <si>
    <t>ff37cfb3</t>
  </si>
  <si>
    <t>MachineRefills_Images/ff37cfb3.MachinePhoto.223123.jpg</t>
  </si>
  <si>
    <t>98c8ad9c</t>
  </si>
  <si>
    <t>MachineRefills_Images/98c8ad9c.MachinePhoto.223229.jpg</t>
  </si>
  <si>
    <t>f4dee351</t>
  </si>
  <si>
    <t>MachineRefills_Images/f4dee351.MachinePhoto.223254.jpg</t>
  </si>
  <si>
    <t>b792e78e</t>
  </si>
  <si>
    <t>MachineRefills_Images/b792e78e.MachinePhoto.032759.jpg</t>
  </si>
  <si>
    <t>34ce56f2</t>
  </si>
  <si>
    <t>MachineRefills_Images/34ce56f2.MachinePhoto.041538.jpg</t>
  </si>
  <si>
    <t>5855f527</t>
  </si>
  <si>
    <t>MachineRefills_Images/5855f527.MachinePhoto.153310.jpg</t>
  </si>
  <si>
    <t>6312820d</t>
  </si>
  <si>
    <t>2509000371</t>
  </si>
  <si>
    <t>MachineRefills_Images/6312820d.MachinePhoto.140452.jpg</t>
  </si>
  <si>
    <t>efbb7a47</t>
  </si>
  <si>
    <t>MachineRefills_Images/efbb7a47.MachinePhoto.145855.jpg</t>
  </si>
  <si>
    <t>d9296779</t>
  </si>
  <si>
    <t>MachineRefills_Images/d9296779.MachinePhoto.133533.jpg</t>
  </si>
  <si>
    <t>fc730d9f</t>
  </si>
  <si>
    <t>MachineRefills_Images/fc730d9f.MachinePhoto.222654.jpg</t>
  </si>
  <si>
    <t>04aae05c</t>
  </si>
  <si>
    <t>MachineRefills_Images/04aae05c.MachinePhoto.174231.jpg</t>
  </si>
  <si>
    <t>شاشة مستاكية</t>
  </si>
  <si>
    <t>6de066bd</t>
  </si>
  <si>
    <t>MachineRefills_Images/6de066bd.MachinePhoto.174242.jpg</t>
  </si>
  <si>
    <t>e7cf9856</t>
  </si>
  <si>
    <t>MachineRefills_Images/e7cf9856.MachinePhoto.230324.jpg</t>
  </si>
  <si>
    <t>abe89aa0</t>
  </si>
  <si>
    <t>MachineRefills_Images/abe89aa0.MachinePhoto.003701.jpg</t>
  </si>
  <si>
    <t>0ba471c7</t>
  </si>
  <si>
    <t>MachineRefills_Images/0ba471c7.MachinePhoto.222856.jpg</t>
  </si>
  <si>
    <t>ae834d2a</t>
  </si>
  <si>
    <t>MachineRefills_Images/ae834d2a.MachinePhoto.002303.jpg</t>
  </si>
  <si>
    <t>6eeca5a4</t>
  </si>
  <si>
    <t>MachineRefills_Images/6eeca5a4.MachinePhoto.002338.jpg</t>
  </si>
  <si>
    <t>تشينج واقف</t>
  </si>
  <si>
    <t>44484432</t>
  </si>
  <si>
    <t>MachineRefills_Images/44484432.MachinePhoto.134754.jpg</t>
  </si>
  <si>
    <t>1cb27c01</t>
  </si>
  <si>
    <t>MachineRefills_Images/1cb27c01.MachinePhoto.213655.jpg</t>
  </si>
  <si>
    <t>fc4c436d</t>
  </si>
  <si>
    <t>MachineRefills_Images/fc4c436d.MachinePhoto.003024.jpg</t>
  </si>
  <si>
    <t>8acb2247</t>
  </si>
  <si>
    <t>MachineRefills_Images/8acb2247.MachinePhoto.134450.jpg</t>
  </si>
  <si>
    <t>ee14a4e8</t>
  </si>
  <si>
    <t>MachineRefills_Images/ee14a4e8.MachinePhoto.154506.jpg</t>
  </si>
  <si>
    <t>bc914fd2</t>
  </si>
  <si>
    <t>MachineRefills_Images/bc914fd2.MachinePhoto.131736.jpg</t>
  </si>
  <si>
    <t>b758feb7</t>
  </si>
  <si>
    <t>MachineRefills_Images/b758feb7.MachinePhoto.155458.jpg</t>
  </si>
  <si>
    <t>2be47462</t>
  </si>
  <si>
    <t>MachineRefills_Images/2be47462.MachinePhoto.234212.jpg</t>
  </si>
  <si>
    <t>حاشيين جنيات مع بعض</t>
  </si>
  <si>
    <t>dff0a73a</t>
  </si>
  <si>
    <t>MachineRefills_Images/dff0a73a.MachinePhoto.214900.jpg</t>
  </si>
  <si>
    <t>تشينج ومتع تدخيل الفلوس حاصل</t>
  </si>
  <si>
    <t>d028e29a</t>
  </si>
  <si>
    <t>MachineRefills_Images/d028e29a.MachinePhoto.235517.jpg</t>
  </si>
  <si>
    <t>e5da4c27</t>
  </si>
  <si>
    <t>MachineRefills_Images/e5da4c27.MachinePhoto.145749.jpg</t>
  </si>
  <si>
    <t>1caf7c57</t>
  </si>
  <si>
    <t>MachineRefills_Images/1caf7c57.MachinePhoto.184407.jpg</t>
  </si>
  <si>
    <t>8f2b685b</t>
  </si>
  <si>
    <t>MachineRefills_Images/8f2b685b.MachinePhoto.192635.jpg</t>
  </si>
  <si>
    <t>79e087ad</t>
  </si>
  <si>
    <t>MachineRefills_Images/79e087ad.MachinePhoto.233449.jpg</t>
  </si>
  <si>
    <t>13729ac5</t>
  </si>
  <si>
    <t>MachineRefills_Images/13729ac5.MachinePhoto.152733.jpg</t>
  </si>
  <si>
    <t>8c99fddd</t>
  </si>
  <si>
    <t>MachineRefills_Images/8c99fddd.MachinePhoto.162512.jpg</t>
  </si>
  <si>
    <t>تشينج القروش حاصل</t>
  </si>
  <si>
    <t>0fc632d7</t>
  </si>
  <si>
    <t>MachineRefills_Images/0fc632d7.MachinePhoto.124257.jpg</t>
  </si>
  <si>
    <t>بطاطا عالقة</t>
  </si>
  <si>
    <t>db7e1350</t>
  </si>
  <si>
    <t>MachineRefills_Images/db7e1350.MachinePhoto.231545.jpg</t>
  </si>
  <si>
    <t>b0048d17</t>
  </si>
  <si>
    <t>MachineRefills_Images/b0048d17.MachinePhoto.170240.jpg</t>
  </si>
  <si>
    <t>4309b1f0</t>
  </si>
  <si>
    <t>MachineRefills_Images/4309b1f0.MachinePhoto.215617.jpg</t>
  </si>
  <si>
    <t>a1f1ee27</t>
  </si>
  <si>
    <t>2509000370</t>
  </si>
  <si>
    <t>MachineRefills_Images/a1f1ee27.MachinePhoto.072247.jpg</t>
  </si>
  <si>
    <t>ae99be2c</t>
  </si>
  <si>
    <t>MachineRefills_Images/ae99be2c.MachinePhoto.072330.jpg</t>
  </si>
  <si>
    <t>e1f93363</t>
  </si>
  <si>
    <t>MachineRefills_Images/e1f93363.MachinePhoto.134446.jpg</t>
  </si>
  <si>
    <t>a7b0ad8a</t>
  </si>
  <si>
    <t>MachineRefills_Images/a7b0ad8a.MachinePhoto.231959.jpg</t>
  </si>
  <si>
    <t>5d5810de</t>
  </si>
  <si>
    <t>MachineRefills_Images/5d5810de.MachinePhoto.173842.jpg</t>
  </si>
  <si>
    <t>d2629a58</t>
  </si>
  <si>
    <t>MachineRefills_Images/d2629a58.MachinePhoto.230845.jpg</t>
  </si>
  <si>
    <t>66d1955c</t>
  </si>
  <si>
    <t>MachineRefills_Images/66d1955c.MachinePhoto.233940.jpg</t>
  </si>
  <si>
    <t>تشينج عالق فيه جني</t>
  </si>
  <si>
    <t>f2aa9e17</t>
  </si>
  <si>
    <t>MachineRefills_Images/f2aa9e17.MachinePhoto.135014.jpg</t>
  </si>
  <si>
    <t>e2f5ea23</t>
  </si>
  <si>
    <t>MachineRefills_Images/e2f5ea23.MachinePhoto.230917.jpg</t>
  </si>
  <si>
    <t>ecc7b061</t>
  </si>
  <si>
    <t>MachineRefills_Images/ecc7b061.MachinePhoto.141826.jpg</t>
  </si>
  <si>
    <t>c5a8eb6f</t>
  </si>
  <si>
    <t>MachineRefills_Images/c5a8eb6f.MachinePhoto.234133.jpg</t>
  </si>
  <si>
    <t>142b288b</t>
  </si>
  <si>
    <t>MachineRefills_Images/142b288b.MachinePhoto.234250.jpg</t>
  </si>
  <si>
    <t>ربع</t>
  </si>
  <si>
    <t>010c1f40</t>
  </si>
  <si>
    <t>MachineRefills_Images/010c1f40.MachinePhoto.141616.jpg</t>
  </si>
  <si>
    <t>5cea8d46</t>
  </si>
  <si>
    <t>MachineRefills_Images/5cea8d46.MachinePhoto.191555.jpg</t>
  </si>
  <si>
    <t>acd50129</t>
  </si>
  <si>
    <t>MachineRefills_Images/acd50129.MachinePhoto.131102.jpg</t>
  </si>
  <si>
    <t>تشينح حاصل
بطاطا عالقة
لفة طالعة من مكانها</t>
  </si>
  <si>
    <t>31545711</t>
  </si>
  <si>
    <t>MachineRefills_Images/31545711.MachinePhoto.204029.jpg</t>
  </si>
  <si>
    <t>ead697f8</t>
  </si>
  <si>
    <t>MachineRefills_Images/ead697f8.MachinePhoto.212243.jpg</t>
  </si>
  <si>
    <t>1cd40a5d</t>
  </si>
  <si>
    <t>MachineRefills_Images/1cd40a5d.MachinePhoto.230913.jpg</t>
  </si>
  <si>
    <t>428f6f7b</t>
  </si>
  <si>
    <t>MachineRefills_Images/428f6f7b.MachinePhoto.233801.jpg</t>
  </si>
  <si>
    <t>تشينج فارغ  ويب ترستير</t>
  </si>
  <si>
    <t>93cb50e8</t>
  </si>
  <si>
    <t>MachineRefills_Images/93cb50e8.MachinePhoto.112058.jpg</t>
  </si>
  <si>
    <t>e3f76eac</t>
  </si>
  <si>
    <t>MachineRefills_Images/e3f76eac.MachinePhoto.133358.jpg</t>
  </si>
  <si>
    <t>4a7fe4ec</t>
  </si>
  <si>
    <t>MachineRefills_Images/4a7fe4ec.MachinePhoto.230533.jpg</t>
  </si>
  <si>
    <t>227b64d3</t>
  </si>
  <si>
    <t>MachineRefills_Images/227b64d3.MachinePhoto.232045.jpg</t>
  </si>
  <si>
    <t>cb38ab71</t>
  </si>
  <si>
    <t>MachineRefills_Images/cb38ab71.MachinePhoto.224214.jpg</t>
  </si>
  <si>
    <t>5ee2e558</t>
  </si>
  <si>
    <t>MachineRefills_Images/5ee2e558.MachinePhoto.021131.jpg</t>
  </si>
  <si>
    <t>0fba7fdd</t>
  </si>
  <si>
    <t>MachineRefills_Images/0fba7fdd.MachinePhoto.111447.jpg</t>
  </si>
  <si>
    <t>تشينح عالق</t>
  </si>
  <si>
    <t>f96ee491</t>
  </si>
  <si>
    <t>MachineRefills_Images/f96ee491.MachinePhoto.233059.jpg</t>
  </si>
  <si>
    <t>0ae95fe9</t>
  </si>
  <si>
    <t>MachineRefills_Images/0ae95fe9.MachinePhoto.143214.jpg</t>
  </si>
  <si>
    <t>cf6fb3c4</t>
  </si>
  <si>
    <t>MachineRefills_Images/cf6fb3c4.MachinePhoto.151014.jpg</t>
  </si>
  <si>
    <t>92b22b32</t>
  </si>
  <si>
    <t>MachineRefills_Images/92b22b32.MachinePhoto.154639.jpg</t>
  </si>
  <si>
    <t>c5895f82</t>
  </si>
  <si>
    <t>MachineRefills_Images/c5895f82.MachinePhoto.221936.jpg</t>
  </si>
  <si>
    <t>33d222a4</t>
  </si>
  <si>
    <t>MachineRefills_Images/33d222a4.MachinePhoto.221958.jpg</t>
  </si>
  <si>
    <t>d34481bb</t>
  </si>
  <si>
    <t>MachineRefills_Images/d34481bb.MachinePhoto.180740.jpg</t>
  </si>
  <si>
    <t>31640cf4</t>
  </si>
  <si>
    <t>MachineRefills_Images/31640cf4.MachinePhoto.180749.jpg</t>
  </si>
  <si>
    <t>3a83ee8c</t>
  </si>
  <si>
    <t>MachineRefills_Images/3a83ee8c.MachinePhoto.180757.jpg</t>
  </si>
  <si>
    <t>addde8c6</t>
  </si>
  <si>
    <t>MachineRefills_Images/addde8c6.MachinePhoto.221045.jpg</t>
  </si>
  <si>
    <t>54a51af3</t>
  </si>
  <si>
    <t>MachineRefills_Images/54a51af3.MachinePhoto.231017.jpg</t>
  </si>
  <si>
    <t>54f81ee8</t>
  </si>
  <si>
    <t>MachineRefills_Images/54f81ee8.MachinePhoto.151310.jpg</t>
  </si>
  <si>
    <t>2e92bbea</t>
  </si>
  <si>
    <t>MachineRefills_Images/2e92bbea.MachinePhoto.122250.jpg</t>
  </si>
  <si>
    <t>336ccafc</t>
  </si>
  <si>
    <t>MachineRefills_Images/336ccafc.MachinePhoto.122322.jpg</t>
  </si>
  <si>
    <t>ade8357b</t>
  </si>
  <si>
    <t>MachineRefills_Images/ade8357b.MachinePhoto.151953.jpg</t>
  </si>
  <si>
    <t>7c8f5821</t>
  </si>
  <si>
    <t>MachineRefills_Images/7c8f5821.MachinePhoto.153046.jpg</t>
  </si>
  <si>
    <t>31d1f886</t>
  </si>
  <si>
    <t>MachineRefills_Images/31d1f886.MachinePhoto.150950.jpg</t>
  </si>
  <si>
    <t>b3175615</t>
  </si>
  <si>
    <t>MachineRefills_Images/b3175615.MachinePhoto.151228.jpg</t>
  </si>
  <si>
    <t>44431aa2</t>
  </si>
  <si>
    <t>MachineRefills_Images/44431aa2.MachinePhoto.162909.jpg</t>
  </si>
  <si>
    <t>e490c116</t>
  </si>
  <si>
    <t>MachineRefills_Images/e490c116.MachinePhoto.162941.jpg</t>
  </si>
  <si>
    <t>تشينجدعالق</t>
  </si>
  <si>
    <t>14dd992f</t>
  </si>
  <si>
    <t>MachineRefills_Images/14dd992f.MachinePhoto.005127.jpg</t>
  </si>
  <si>
    <t>18ec2ce3</t>
  </si>
  <si>
    <t>MachineRefills_Images/18ec2ce3.MachinePhoto.142458.jpg</t>
  </si>
  <si>
    <t>8a991bc1</t>
  </si>
  <si>
    <t>MachineRefills_Images/8a991bc1.MachinePhoto.121704.jpg</t>
  </si>
  <si>
    <t>11b1a974</t>
  </si>
  <si>
    <t>MachineRefills_Images/11b1a974.MachinePhoto.160413.jpg</t>
  </si>
  <si>
    <t>d8c7337f</t>
  </si>
  <si>
    <t>MachineRefills_Images/d8c7337f.MachinePhoto.161822.jpg</t>
  </si>
  <si>
    <t>36661435</t>
  </si>
  <si>
    <t>MachineRefills_Images/36661435.MachinePhoto.131955.jpg</t>
  </si>
  <si>
    <t>1aa4c40a</t>
  </si>
  <si>
    <t>MachineRefills_Images/1aa4c40a.MachinePhoto.145956.jpg</t>
  </si>
  <si>
    <t>e44291d2</t>
  </si>
  <si>
    <t>MachineRefills_Images/e44291d2.MachinePhoto.151921.jpg</t>
  </si>
  <si>
    <t>f816d5d5</t>
  </si>
  <si>
    <t>MachineRefills_Images/f816d5d5.MachinePhoto.161138.jpg</t>
  </si>
  <si>
    <t>9f910bcf</t>
  </si>
  <si>
    <t>2510001719</t>
  </si>
  <si>
    <t>MachineRefills_Images/9f910bcf.MachinePhoto.210629.jpg</t>
  </si>
  <si>
    <t>376eecd4</t>
  </si>
  <si>
    <t>MachineRefills_Images/376eecd4.MachinePhoto.124737.jpg</t>
  </si>
  <si>
    <t>03c487fb</t>
  </si>
  <si>
    <t>MachineRefills_Images/03c487fb.MachinePhoto.131921.jpg</t>
  </si>
  <si>
    <t>0640fcbb</t>
  </si>
  <si>
    <t>MachineRefills_Images/0640fcbb.MachinePhoto.111336.jpg</t>
  </si>
  <si>
    <t>8a9c2ca5</t>
  </si>
  <si>
    <t>MachineRefills_Images/8a9c2ca5.MachinePhoto.124227.jpg</t>
  </si>
  <si>
    <t>1c37b0d6</t>
  </si>
  <si>
    <t>MachineRefills_Images/1c37b0d6.MachinePhoto.182532.jpg</t>
  </si>
  <si>
    <t>c2726271</t>
  </si>
  <si>
    <t>MachineRefills_Images/c2726271.MachinePhoto.101838.jpg</t>
  </si>
  <si>
    <t>9e8c6d6d</t>
  </si>
  <si>
    <t>MachineRefills_Images/9e8c6d6d.MachinePhoto.160915.jpg</t>
  </si>
  <si>
    <t>7ab20280</t>
  </si>
  <si>
    <t>MachineRefills_Images/7ab20280.MachinePhoto.080839.jpg</t>
  </si>
  <si>
    <t>4687c11a</t>
  </si>
  <si>
    <t>MachineRefills_Images/4687c11a.MachinePhoto.080856.jpg</t>
  </si>
  <si>
    <t>a20dfc3b</t>
  </si>
  <si>
    <t>MachineRefills_Images/a20dfc3b.MachinePhoto.151119.jpg</t>
  </si>
  <si>
    <t>تشينح معاش يخدم</t>
  </si>
  <si>
    <t>e95e7d01</t>
  </si>
  <si>
    <t>MachineRefills_Images/e95e7d01.MachinePhoto.195617.jpg</t>
  </si>
  <si>
    <t>تشينج مستاكي</t>
  </si>
  <si>
    <t>33c9fe59</t>
  </si>
  <si>
    <t>MachineRefills_Images/33c9fe59.MachinePhoto.115917.jpg</t>
  </si>
  <si>
    <t>f07fcc0b</t>
  </si>
  <si>
    <t>MachineRefills_Images/f07fcc0b.MachinePhoto.135221.jpg</t>
  </si>
  <si>
    <t>b4edd010</t>
  </si>
  <si>
    <t>MachineRefills_Images/b4edd010.MachinePhoto.165112.jpg</t>
  </si>
  <si>
    <t>d8dbbef9</t>
  </si>
  <si>
    <t>MachineRefills_Images/d8dbbef9.MachinePhoto.014355.jpg</t>
  </si>
  <si>
    <t>645f2c7b</t>
  </si>
  <si>
    <t>MachineRefills_Images/645f2c7b.MachinePhoto.130953.jpg</t>
  </si>
  <si>
    <t>2edac832</t>
  </si>
  <si>
    <t>MachineRefills_Images/2edac832.MachinePhoto.140805.jpg</t>
  </si>
  <si>
    <t>70505cdc</t>
  </si>
  <si>
    <t>MachineRefills_Images/70505cdc.MachinePhoto.154658.jpg</t>
  </si>
  <si>
    <t>f196b8b6</t>
  </si>
  <si>
    <t>MachineRefills_Images/f196b8b6.MachinePhoto.140453.jpg</t>
  </si>
  <si>
    <t>c893b513</t>
  </si>
  <si>
    <t>MachineRefills_Images/c893b513.MachinePhoto.153227.jpg</t>
  </si>
  <si>
    <t>60714928</t>
  </si>
  <si>
    <t>MachineRefills_Images/60714928.MachinePhoto.133955.jpg</t>
  </si>
  <si>
    <t>e1c0eb08</t>
  </si>
  <si>
    <t>MachineRefills_Images/e1c0eb08.MachinePhoto.150332.jpg</t>
  </si>
  <si>
    <t>3bad72f5</t>
  </si>
  <si>
    <t>MachineRefills_Images/3bad72f5.MachinePhoto.001218.jpg</t>
  </si>
  <si>
    <t>f4f63cd9</t>
  </si>
  <si>
    <t>MachineRefills_Images/f4f63cd9.MachinePhoto.162626.jpg</t>
  </si>
  <si>
    <t>34b7eee5</t>
  </si>
  <si>
    <t>MachineRefills_Images/34b7eee5.MachinePhoto.014537.jpg</t>
  </si>
  <si>
    <t>3e752b01</t>
  </si>
  <si>
    <t>MachineRefills_Images/3e752b01.MachinePhoto.154118.jpg</t>
  </si>
  <si>
    <t>8cbec596</t>
  </si>
  <si>
    <t>MachineRefills_Images/8cbec596.MachinePhoto.225332.jpg</t>
  </si>
  <si>
    <t>ef0a56c4</t>
  </si>
  <si>
    <t>MachineRefills_Images/ef0a56c4.MachinePhoto.225347.jpg</t>
  </si>
  <si>
    <t>7aa5a221</t>
  </si>
  <si>
    <t>MachineRefills_Images/7aa5a221.MachinePhoto.233037.jpg</t>
  </si>
  <si>
    <t>e3e2c79a</t>
  </si>
  <si>
    <t>MachineRefills_Images/e3e2c79a.MachinePhoto.143533.jpg</t>
  </si>
  <si>
    <t>6f691384</t>
  </si>
  <si>
    <t>MachineRefills_Images/6f691384.MachinePhoto.120713.jpg</t>
  </si>
  <si>
    <t>b23df72b</t>
  </si>
  <si>
    <t>MachineRefills_Images/b23df72b.MachinePhoto.145839.jpg</t>
  </si>
  <si>
    <t>083dcff4</t>
  </si>
  <si>
    <t>MachineRefills_Images/083dcff4.MachinePhoto.132859.jpg</t>
  </si>
  <si>
    <t>تشينج</t>
  </si>
  <si>
    <t>bde27de2</t>
  </si>
  <si>
    <t>MachineRefills_Images/bde27de2.MachinePhoto.210750.jpg</t>
  </si>
  <si>
    <t>96ecc26c</t>
  </si>
  <si>
    <t>MachineRefills_Images/96ecc26c.MachinePhoto.210800.jpg</t>
  </si>
  <si>
    <t>6f5947de</t>
  </si>
  <si>
    <t>MachineRefills_Images/6f5947de.MachinePhoto.122319.jpg</t>
  </si>
  <si>
    <t>cd7f9264</t>
  </si>
  <si>
    <t>MachineRefills_Images/cd7f9264.MachinePhoto.130803.jpg</t>
  </si>
  <si>
    <t>كرت اتش</t>
  </si>
  <si>
    <t>637d3172</t>
  </si>
  <si>
    <t>MachineRefills_Images/637d3172.MachinePhoto.144708.jpg</t>
  </si>
  <si>
    <t>d302af96</t>
  </si>
  <si>
    <t>MachineRefills_Images/d302af96.MachinePhoto.201555.jpg</t>
  </si>
  <si>
    <t>7d0c28ea</t>
  </si>
  <si>
    <t>MachineRefills_Images/7d0c28ea.MachinePhoto.201800.jpg</t>
  </si>
  <si>
    <t>81621897</t>
  </si>
  <si>
    <t>MachineRefills_Images/81621897.MachinePhoto.181129.jpg</t>
  </si>
  <si>
    <t>تشينج حاصل</t>
  </si>
  <si>
    <t>4ef279d3</t>
  </si>
  <si>
    <t>MachineRefills_Images/4ef279d3.MachinePhoto.191921.jpg</t>
  </si>
  <si>
    <t>c3be30d1</t>
  </si>
  <si>
    <t>MachineRefills_Images/c3be30d1.MachinePhoto.195801.jpg</t>
  </si>
  <si>
    <t>58cc8f9d</t>
  </si>
  <si>
    <t>MachineRefills_Images/58cc8f9d.MachinePhoto.103539.jpg</t>
  </si>
  <si>
    <t>f766c334</t>
  </si>
  <si>
    <t>MachineRefills_Images/f766c334.MachinePhoto.211839.jpg</t>
  </si>
  <si>
    <t>003ae902</t>
  </si>
  <si>
    <t>MachineRefills_Images/003ae902.MachinePhoto.100801.jpg</t>
  </si>
  <si>
    <t>8a0af746</t>
  </si>
  <si>
    <t>MachineRefills_Images/8a0af746.MachinePhoto.114617.jpg</t>
  </si>
  <si>
    <t>ba058ade</t>
  </si>
  <si>
    <t>MachineRefills_Images/ba058ade.MachinePhoto.122117.jpg</t>
  </si>
  <si>
    <t>4afc9a77</t>
  </si>
  <si>
    <t>MachineRefills_Images/4afc9a77.MachinePhoto.133622.jpg</t>
  </si>
  <si>
    <t>3884b36a</t>
  </si>
  <si>
    <t>MachineRefills_Images/3884b36a.MachinePhoto.142716.jpg</t>
  </si>
  <si>
    <t>5b19a9d9</t>
  </si>
  <si>
    <t>MachineRefills_Images/5b19a9d9.MachinePhoto.010239.jpg</t>
  </si>
  <si>
    <t>Change</t>
  </si>
  <si>
    <t>23248cbc</t>
  </si>
  <si>
    <t>MachineRefills_Images/23248cbc.MachinePhoto.114735.jpg</t>
  </si>
  <si>
    <t>d154829f</t>
  </si>
  <si>
    <t>MachineRefills_Images/d154829f.MachinePhoto.131500.jpg</t>
  </si>
  <si>
    <t>de271b7b</t>
  </si>
  <si>
    <t>MachineRefills_Images/de271b7b.MachinePhoto.115357.jpg</t>
  </si>
  <si>
    <t>7a0c4470</t>
  </si>
  <si>
    <t>MachineRefills_Images/7a0c4470.MachinePhoto.095916.jpg</t>
  </si>
  <si>
    <t>ea53ddb7</t>
  </si>
  <si>
    <t>MachineRefills_Images/ea53ddb7.MachinePhoto.111724.jpg</t>
  </si>
  <si>
    <t>37281024</t>
  </si>
  <si>
    <t>MachineRefills_Images/37281024.MachinePhoto.113330.jpg</t>
  </si>
  <si>
    <t>de87b991</t>
  </si>
  <si>
    <t>MachineRefills_Images/de87b991.MachinePhoto.130642.jpg</t>
  </si>
  <si>
    <t>ad4ebd39</t>
  </si>
  <si>
    <t>MachineRefills_Images/ad4ebd39.MachinePhoto.232319.jpg</t>
  </si>
  <si>
    <t>1d95f531</t>
  </si>
  <si>
    <t>MachineRefills_Images/1d95f531.MachinePhoto.132227.jpg</t>
  </si>
  <si>
    <t>5d9895a7</t>
  </si>
  <si>
    <t>MachineRefills_Images/5d9895a7.MachinePhoto.222044.jpg</t>
  </si>
  <si>
    <t>8d22f9ab</t>
  </si>
  <si>
    <t>MachineRefills_Images/8d22f9ab.MachinePhoto.132119.jpg</t>
  </si>
  <si>
    <t>4d5dce98</t>
  </si>
  <si>
    <t>MachineRefills_Images/4d5dce98.MachinePhoto.145607.jpg</t>
  </si>
  <si>
    <t>0c8cc668</t>
  </si>
  <si>
    <t>MachineRefills_Images/0c8cc668.MachinePhoto.140916.jpg</t>
  </si>
  <si>
    <t>aa8d74e4</t>
  </si>
  <si>
    <t>MachineRefills_Images/aa8d74e4.MachinePhoto.180344.jpg</t>
  </si>
  <si>
    <t>b71cf364</t>
  </si>
  <si>
    <t>MachineRefills_Images/b71cf364.MachinePhoto.203259.jpg</t>
  </si>
  <si>
    <t>a37b438e</t>
  </si>
  <si>
    <t>MachineRefills_Images/a37b438e.MachinePhoto.015323.jpg</t>
  </si>
  <si>
    <t>be0e7211</t>
  </si>
  <si>
    <t>MachineRefills_Images/be0e7211.MachinePhoto.194128.jpg</t>
  </si>
  <si>
    <t>0ee40f85</t>
  </si>
  <si>
    <t>MachineRefills_Images/0ee40f85.MachinePhoto.231210.jpg</t>
  </si>
  <si>
    <t>29aac7b2</t>
  </si>
  <si>
    <t>MachineRefills_Images/29aac7b2.MachinePhoto.144456.jpg</t>
  </si>
  <si>
    <t>ba28cfb7</t>
  </si>
  <si>
    <t>MachineRefills_Images/ba28cfb7.MachinePhoto.194135.jpg</t>
  </si>
  <si>
    <t>7c679842</t>
  </si>
  <si>
    <t>MachineRefills_Images/7c679842.MachinePhoto.153820.jpg</t>
  </si>
  <si>
    <t>3479d075</t>
  </si>
  <si>
    <t>MachineRefills_Images/3479d075.MachinePhoto.235017.jpg</t>
  </si>
  <si>
    <t>ee157516</t>
  </si>
  <si>
    <t>MachineRefills_Images/ee157516.MachinePhoto.132133.jpg</t>
  </si>
  <si>
    <t>fcabf903</t>
  </si>
  <si>
    <t>MachineRefills_Images/fcabf903.MachinePhoto.194718.jpg</t>
  </si>
  <si>
    <t>b189f72a</t>
  </si>
  <si>
    <t>MachineRefills_Images/b189f72a.MachinePhoto.012809.jpg</t>
  </si>
  <si>
    <t>2b9b70c6</t>
  </si>
  <si>
    <t>MachineRefills_Images/2b9b70c6.MachinePhoto.132229.jpg</t>
  </si>
  <si>
    <t>6f7b376a</t>
  </si>
  <si>
    <t>MachineRefills_Images/6f7b376a.MachinePhoto.135724.jpg</t>
  </si>
  <si>
    <t>خمسين قرش عالق</t>
  </si>
  <si>
    <t>82ff2833</t>
  </si>
  <si>
    <t>MachineRefills_Images/82ff2833.MachinePhoto.221703.jpg</t>
  </si>
  <si>
    <t>12d42657</t>
  </si>
  <si>
    <t>MachineRefills_Images/12d42657.MachinePhoto.221800.jpg</t>
  </si>
  <si>
    <t>1d3f199f</t>
  </si>
  <si>
    <t>MachineRefills_Images/1d3f199f.MachinePhoto.221829.jpg</t>
  </si>
  <si>
    <t>b416402f</t>
  </si>
  <si>
    <t>MachineRefills_Images/b416402f.MachinePhoto.221929.jpg</t>
  </si>
  <si>
    <t>9f0615eb</t>
  </si>
  <si>
    <t>MachineRefills_Images/9f0615eb.MachinePhoto.223649.jpg</t>
  </si>
  <si>
    <t>e86c636a</t>
  </si>
  <si>
    <t>MachineRefills_Images/e86c636a.MachinePhoto.002112.jpg</t>
  </si>
  <si>
    <t>d6ce1cb2</t>
  </si>
  <si>
    <t>MachineRefills_Images/d6ce1cb2.MachinePhoto.232332.jpg</t>
  </si>
  <si>
    <t>192bf555</t>
  </si>
  <si>
    <t>MachineRefills_Images/192bf555.MachinePhoto.002017.jpg</t>
  </si>
  <si>
    <t>66e5acda</t>
  </si>
  <si>
    <t>MachineRefills_Images/66e5acda.MachinePhoto.002041.jpg</t>
  </si>
  <si>
    <t>bfb5671f</t>
  </si>
  <si>
    <t>MachineRefills_Images/bfb5671f.MachinePhoto.174046.jpg</t>
  </si>
  <si>
    <t>381bfe6f</t>
  </si>
  <si>
    <t>MachineRefills_Images/381bfe6f.MachinePhoto.155607.jpg</t>
  </si>
  <si>
    <t>426eac63</t>
  </si>
  <si>
    <t>MachineRefills_Images/426eac63.MachinePhoto.234159.jpg</t>
  </si>
  <si>
    <t>5ea588e8</t>
  </si>
  <si>
    <t>MachineRefills_Images/5ea588e8.MachinePhoto.232420.jpg</t>
  </si>
  <si>
    <t>1db1b5d2</t>
  </si>
  <si>
    <t>MachineRefills_Images/1db1b5d2.MachinePhoto.232525.jpg</t>
  </si>
  <si>
    <t>70b943fc</t>
  </si>
  <si>
    <t>MachineRefills_Images/70b943fc.MachinePhoto.232558.jpg</t>
  </si>
  <si>
    <t>42d7d74f</t>
  </si>
  <si>
    <t>MachineRefills_Images/42d7d74f.MachinePhoto.162447.jpg</t>
  </si>
  <si>
    <t>51ae3018</t>
  </si>
  <si>
    <t>MachineRefills_Images/51ae3018.MachinePhoto.162502.jpg</t>
  </si>
  <si>
    <t>9ab35788</t>
  </si>
  <si>
    <t>MachineRefills_Images/9ab35788.MachinePhoto.222231.jpg</t>
  </si>
  <si>
    <t>5ab8fa0a</t>
  </si>
  <si>
    <t>MachineRefills_Images/5ab8fa0a.MachinePhoto.002913.jpg</t>
  </si>
  <si>
    <t>c876eee2</t>
  </si>
  <si>
    <t>MachineRefills_Images/c876eee2.MachinePhoto.020452.jpg</t>
  </si>
  <si>
    <t>f1eb19aa</t>
  </si>
  <si>
    <t>MachineRefills_Images/f1eb19aa.MachinePhoto.222651.jpg</t>
  </si>
  <si>
    <t>70b24b75</t>
  </si>
  <si>
    <t>MachineRefills_Images/70b24b75.MachinePhoto.222710.jpg</t>
  </si>
  <si>
    <t>61482293</t>
  </si>
  <si>
    <t>MachineRefills_Images/61482293.MachinePhoto.102024.jpg</t>
  </si>
  <si>
    <t>a8c89c1f</t>
  </si>
  <si>
    <t>MachineRefills_Images/a8c89c1f.MachinePhoto.212241.jpg</t>
  </si>
  <si>
    <t>f8e18636</t>
  </si>
  <si>
    <t>kimsonronaldo@gmail.com</t>
  </si>
  <si>
    <t>MachineRefills_Images/f8e18636.MachinePhoto.132334.jpg</t>
  </si>
  <si>
    <t>002286fc</t>
  </si>
  <si>
    <t>MachineRefills_Images/002286fc.MachinePhoto.142642.jpg</t>
  </si>
  <si>
    <t>68b0c3d6</t>
  </si>
  <si>
    <t>MachineRefills_Images/68b0c3d6.MachinePhoto.142707.jpg</t>
  </si>
  <si>
    <t>798f9201</t>
  </si>
  <si>
    <t>MachineRefills_Images/798f9201.MachinePhoto.175453.jpg</t>
  </si>
  <si>
    <t>32b1560a</t>
  </si>
  <si>
    <t>MachineRefills_Images/32b1560a.MachinePhoto.025359.jpg</t>
  </si>
  <si>
    <t>c833f153</t>
  </si>
  <si>
    <t>MachineRefills_Images/c833f153.MachinePhoto.025414.jpg</t>
  </si>
  <si>
    <t>aef1f199</t>
  </si>
  <si>
    <t>MachineRefills_Images/aef1f199.MachinePhoto.001545.jpg</t>
  </si>
  <si>
    <t>224720b8</t>
  </si>
  <si>
    <t>MachineRefills_Images/224720b8.MachinePhoto.001605.jpg</t>
  </si>
  <si>
    <t>dd848e7b</t>
  </si>
  <si>
    <t>MachineRefills_Images/dd848e7b.MachinePhoto.100449.jpg</t>
  </si>
  <si>
    <t>bb758538</t>
  </si>
  <si>
    <t>MachineRefills_Images/bb758538.MachinePhoto.020150.jpg</t>
  </si>
  <si>
    <t>0343c27c</t>
  </si>
  <si>
    <t>MachineRefills_Images/0343c27c.MachinePhoto.020156.jpg</t>
  </si>
  <si>
    <t>ceab56bf</t>
  </si>
  <si>
    <t>MachineRefills_Images/ceab56bf.MachinePhoto.020330.jpg</t>
  </si>
  <si>
    <t>7c45d80b</t>
  </si>
  <si>
    <t>MachineRefills_Images/7c45d80b.MachinePhoto.020337.jpg</t>
  </si>
  <si>
    <t>7279671e</t>
  </si>
  <si>
    <t>MachineRefills_Images/7279671e.MachinePhoto.010048.jpg</t>
  </si>
  <si>
    <t>07a079ef</t>
  </si>
  <si>
    <t>MachineRefills_Images/07a079ef.MachinePhoto.010148.jpg</t>
  </si>
  <si>
    <t>becf705f</t>
  </si>
  <si>
    <t>MachineRefills_Images/becf705f.MachinePhoto.110142.jpg</t>
  </si>
  <si>
    <t>bfac4da6</t>
  </si>
  <si>
    <t>MachineRefills_Images/bfac4da6.MachinePhoto.110223.jpg</t>
  </si>
  <si>
    <t>55517ac7</t>
  </si>
  <si>
    <t>MachineRefills_Images/55517ac7.MachinePhoto.122837.jpg</t>
  </si>
  <si>
    <t>56149164</t>
  </si>
  <si>
    <t>MachineRefills_Images/56149164.MachinePhoto.012607.jpg</t>
  </si>
  <si>
    <t>c6b82d4a</t>
  </si>
  <si>
    <t>MachineRefills_Images/c6b82d4a.MachinePhoto.195953.jpg</t>
  </si>
  <si>
    <t>f5c31782</t>
  </si>
  <si>
    <t>MachineRefills_Images/f5c31782.MachinePhoto.205521.jpg</t>
  </si>
  <si>
    <t>c0efe845</t>
  </si>
  <si>
    <t>MachineRefills_Images/c0efe845.MachinePhoto.001832.jpg</t>
  </si>
  <si>
    <t>b60c620b</t>
  </si>
  <si>
    <t>MachineRefills_Images/b60c620b.MachinePhoto.001855.jpg</t>
  </si>
  <si>
    <t>خمسه مطبقه</t>
  </si>
  <si>
    <t>ca0ad757</t>
  </si>
  <si>
    <t>MachineRefills_Images/ca0ad757.MachinePhoto.002509.jpg</t>
  </si>
  <si>
    <t>1c5f174e</t>
  </si>
  <si>
    <t>MachineRefills_Images/1c5f174e.MachinePhoto.220744.jpg</t>
  </si>
  <si>
    <t>a1d6df21</t>
  </si>
  <si>
    <t>MachineRefills_Images/a1d6df21.MachinePhoto.100839.jpg</t>
  </si>
  <si>
    <t>a59fedfc</t>
  </si>
  <si>
    <t>MachineRefills_Images/a59fedfc.MachinePhoto.222339.jpg</t>
  </si>
  <si>
    <t>125c59ef</t>
  </si>
  <si>
    <t>MachineRefills_Images/125c59ef.MachinePhoto.230624.jpg</t>
  </si>
  <si>
    <t>6f798808</t>
  </si>
  <si>
    <t>MachineRefills_Images/6f798808.MachinePhoto.201337.jpg</t>
  </si>
  <si>
    <t>61d1ed9b</t>
  </si>
  <si>
    <t>MachineRefills_Images/61d1ed9b.MachinePhoto.201539.jpg</t>
  </si>
  <si>
    <t>cf7f644e</t>
  </si>
  <si>
    <t>MachineRefills_Images/cf7f644e.MachinePhoto.130832.jpg</t>
  </si>
  <si>
    <t>6c9069cb</t>
  </si>
  <si>
    <t>MachineRefills_Images/6c9069cb.MachinePhoto.132745.jpg</t>
  </si>
  <si>
    <t>3234cfae</t>
  </si>
  <si>
    <t>MachineRefills_Images/3234cfae.MachinePhoto.134636.jpg</t>
  </si>
  <si>
    <t>19cf7d87</t>
  </si>
  <si>
    <t>MachineRefills_Images/19cf7d87.MachinePhoto.165658.jpg</t>
  </si>
  <si>
    <t>f9fdc07f</t>
  </si>
  <si>
    <t>MachineRefills_Images/f9fdc07f.MachinePhoto.002621.jpg</t>
  </si>
  <si>
    <t>427bab6a</t>
  </si>
  <si>
    <t>MachineRefills_Images/427bab6a.MachinePhoto.204233.jpg</t>
  </si>
  <si>
    <t>9e12ce0a</t>
  </si>
  <si>
    <t>MachineRefills_Images/9e12ce0a.MachinePhoto.193637.jpg</t>
  </si>
  <si>
    <t>2f2b6f22</t>
  </si>
  <si>
    <t>MachineRefills_Images/2f2b6f22.MachinePhoto.202336.jpg</t>
  </si>
  <si>
    <t>2b920452</t>
  </si>
  <si>
    <t>MachineRefills_Images/2b920452.MachinePhoto.211653.jpg</t>
  </si>
  <si>
    <t>05f3aae8</t>
  </si>
  <si>
    <t>MachineRefills_Images/05f3aae8.MachinePhoto.221539.jpg</t>
  </si>
  <si>
    <t>OperatorName</t>
  </si>
  <si>
    <t>Phone</t>
  </si>
  <si>
    <t>BagLocationID</t>
  </si>
  <si>
    <t>IsAdmin</t>
  </si>
  <si>
    <t>Anas</t>
  </si>
  <si>
    <t>Ahmed</t>
  </si>
  <si>
    <t>TxID</t>
  </si>
  <si>
    <t>Type</t>
  </si>
  <si>
    <t>Attachment</t>
  </si>
  <si>
    <t>RelatedPurchaseID</t>
  </si>
  <si>
    <t>6d4ee434</t>
  </si>
  <si>
    <t>اضافة (TopUp)</t>
  </si>
  <si>
    <t>مصاريف وشراء بضاعه</t>
  </si>
  <si>
    <t>79b00b1f</t>
  </si>
  <si>
    <t>مصاريف (Expense)</t>
  </si>
  <si>
    <t>6f128c25</t>
  </si>
  <si>
    <t>انس الى احمد</t>
  </si>
  <si>
    <t>eeabe53e</t>
  </si>
  <si>
    <t>بضاعة ومصاريف شهر 12</t>
  </si>
  <si>
    <t>7540564a-PUR</t>
  </si>
  <si>
    <t>e4f3d129-PUR</t>
  </si>
  <si>
    <t>d8c20488-PUR</t>
  </si>
  <si>
    <t>79358019-PUR</t>
  </si>
  <si>
    <t>cb6d313a</t>
  </si>
  <si>
    <t>عامل اتش، تس</t>
  </si>
  <si>
    <t>502fe255-PUR</t>
  </si>
  <si>
    <t>f90805d4-PUR</t>
  </si>
  <si>
    <t>cbe3bbe0-PUR</t>
  </si>
  <si>
    <t>2350a15d-PUR</t>
  </si>
  <si>
    <t>8bb56d46-PUR</t>
  </si>
  <si>
    <t>5efe5001-PUR</t>
  </si>
  <si>
    <t>5efe5001</t>
  </si>
  <si>
    <t>26e12fc1-PUR</t>
  </si>
  <si>
    <t>0dd58d41-PUR</t>
  </si>
  <si>
    <t>cf725f29-PUR</t>
  </si>
  <si>
    <t>c48a38fe</t>
  </si>
  <si>
    <t>غطاء ودباسه للمدرسه</t>
  </si>
  <si>
    <t>b2cf9904</t>
  </si>
  <si>
    <t>عامل اتش</t>
  </si>
  <si>
    <t>ae884140</t>
  </si>
  <si>
    <t>5 عامل اتش</t>
  </si>
  <si>
    <t>f8c244e8</t>
  </si>
  <si>
    <t>لاحمد كهرباء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</si>
</sst>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mmmyyyy"/>
    <numFmt numFmtId="166" formatCode="YYYY-MM-DD HH:MM:SS"/>
    <numFmt numFmtId="167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66" xfId="0" applyFont="1" applyNumberFormat="1"/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E2" s="3">
        <v>3.0</v>
      </c>
      <c r="F2" s="3">
        <v>1.3</v>
      </c>
      <c r="G2" s="3">
        <v>5.0</v>
      </c>
    </row>
    <row r="3">
      <c r="A3" s="3" t="s">
        <v>11</v>
      </c>
      <c r="B3" s="3" t="s">
        <v>12</v>
      </c>
      <c r="D3" s="3" t="s">
        <v>13</v>
      </c>
      <c r="E3" s="3">
        <v>4.0</v>
      </c>
      <c r="F3" s="3">
        <v>1.87</v>
      </c>
      <c r="G3" s="3">
        <v>5.0</v>
      </c>
    </row>
    <row r="4">
      <c r="A4" s="3" t="s">
        <v>14</v>
      </c>
      <c r="B4" s="3" t="s">
        <v>15</v>
      </c>
      <c r="D4" s="2" t="s">
        <v>16</v>
      </c>
      <c r="E4" s="3">
        <v>10.0</v>
      </c>
      <c r="F4" s="3">
        <v>4.7</v>
      </c>
      <c r="G4" s="3">
        <v>5.0</v>
      </c>
      <c r="H4" s="3">
        <v>5.0</v>
      </c>
      <c r="I4" s="3" t="s">
        <v>17</v>
      </c>
      <c r="K4" s="2">
        <v>10.0</v>
      </c>
    </row>
    <row r="6">
      <c r="A6" s="3" t="s">
        <v>18</v>
      </c>
      <c r="B6" s="3" t="s">
        <v>19</v>
      </c>
      <c r="E6" s="3">
        <v>7.0</v>
      </c>
      <c r="F6" s="3">
        <v>6.0</v>
      </c>
      <c r="G6" s="3">
        <v>5.0</v>
      </c>
    </row>
    <row r="7">
      <c r="A7" s="3" t="s">
        <v>20</v>
      </c>
      <c r="B7" s="3" t="s">
        <v>21</v>
      </c>
      <c r="D7" s="3" t="s">
        <v>22</v>
      </c>
      <c r="E7" s="3">
        <v>2.0</v>
      </c>
      <c r="F7" s="3">
        <v>0.95</v>
      </c>
      <c r="G7" s="3">
        <v>5.0</v>
      </c>
    </row>
    <row r="8">
      <c r="A8" s="3" t="s">
        <v>23</v>
      </c>
      <c r="B8" s="3" t="s">
        <v>24</v>
      </c>
      <c r="E8" s="3">
        <v>6.0</v>
      </c>
      <c r="F8" s="3">
        <v>4.4</v>
      </c>
      <c r="G8" s="3">
        <v>5.0</v>
      </c>
    </row>
    <row r="9">
      <c r="A9" s="3" t="s">
        <v>25</v>
      </c>
      <c r="B9" s="3" t="s">
        <v>26</v>
      </c>
      <c r="E9" s="3">
        <v>3.0</v>
      </c>
      <c r="F9" s="3">
        <v>1.8</v>
      </c>
      <c r="G9" s="3">
        <v>5.0</v>
      </c>
    </row>
    <row r="10">
      <c r="A10" s="3" t="s">
        <v>27</v>
      </c>
      <c r="B10" s="3" t="s">
        <v>28</v>
      </c>
      <c r="E10" s="3">
        <v>5.0</v>
      </c>
      <c r="F10" s="3">
        <v>3.6</v>
      </c>
      <c r="G10" s="3">
        <v>5.0</v>
      </c>
    </row>
    <row r="11">
      <c r="A11" s="3" t="s">
        <v>29</v>
      </c>
      <c r="B11" s="3" t="s">
        <v>30</v>
      </c>
      <c r="E11" s="3">
        <v>7.0</v>
      </c>
      <c r="F11" s="3">
        <v>4.79</v>
      </c>
      <c r="G11" s="3">
        <v>5.0</v>
      </c>
    </row>
    <row r="12">
      <c r="A12" s="3" t="s">
        <v>31</v>
      </c>
      <c r="B12" s="3" t="s">
        <v>32</v>
      </c>
      <c r="E12" s="3">
        <v>3.0</v>
      </c>
      <c r="F12" s="3">
        <v>1.0</v>
      </c>
      <c r="G12" s="3">
        <v>5.0</v>
      </c>
    </row>
    <row r="13">
      <c r="A13" s="3" t="s">
        <v>33</v>
      </c>
      <c r="B13" s="3" t="s">
        <v>34</v>
      </c>
      <c r="D13" s="2" t="s">
        <v>35</v>
      </c>
      <c r="E13" s="3">
        <v>10.0</v>
      </c>
      <c r="F13" s="3">
        <v>8.5</v>
      </c>
      <c r="G13" s="2">
        <v>0.0</v>
      </c>
      <c r="H13" s="2">
        <v>1.0</v>
      </c>
    </row>
    <row r="14">
      <c r="A14" s="3" t="s">
        <v>36</v>
      </c>
      <c r="B14" s="3" t="s">
        <v>37</v>
      </c>
      <c r="E14" s="3">
        <v>4.0</v>
      </c>
      <c r="F14" s="3">
        <v>1.75</v>
      </c>
      <c r="G14" s="3">
        <v>5.0</v>
      </c>
    </row>
    <row r="15">
      <c r="A15" s="3" t="s">
        <v>38</v>
      </c>
      <c r="B15" s="3" t="s">
        <v>39</v>
      </c>
      <c r="D15" s="3" t="s">
        <v>40</v>
      </c>
      <c r="E15" s="3">
        <v>8.0</v>
      </c>
      <c r="F15" s="3">
        <v>5.83</v>
      </c>
      <c r="G15" s="3">
        <v>5.0</v>
      </c>
    </row>
    <row r="16">
      <c r="A16" s="3" t="s">
        <v>41</v>
      </c>
      <c r="B16" s="3" t="s">
        <v>42</v>
      </c>
      <c r="D16" s="3" t="s">
        <v>43</v>
      </c>
      <c r="E16" s="3">
        <v>3.0</v>
      </c>
      <c r="F16" s="3">
        <v>2.17</v>
      </c>
      <c r="G16" s="3">
        <v>5.0</v>
      </c>
    </row>
    <row r="17">
      <c r="A17" s="3" t="s">
        <v>44</v>
      </c>
      <c r="B17" s="3" t="s">
        <v>45</v>
      </c>
      <c r="E17" s="3">
        <v>3.0</v>
      </c>
      <c r="F17" s="3">
        <v>1.36</v>
      </c>
      <c r="G17" s="3">
        <v>5.0</v>
      </c>
    </row>
    <row r="18">
      <c r="A18" s="3" t="s">
        <v>46</v>
      </c>
      <c r="B18" s="3" t="s">
        <v>47</v>
      </c>
      <c r="D18" s="3" t="s">
        <v>48</v>
      </c>
      <c r="E18" s="3">
        <v>5.0</v>
      </c>
      <c r="F18" s="3">
        <v>1.6</v>
      </c>
      <c r="G18" s="3">
        <v>5.0</v>
      </c>
    </row>
    <row r="19">
      <c r="A19" s="3" t="s">
        <v>49</v>
      </c>
      <c r="B19" s="3" t="s">
        <v>50</v>
      </c>
      <c r="D19" s="3" t="s">
        <v>51</v>
      </c>
      <c r="E19" s="3">
        <v>5.0</v>
      </c>
      <c r="F19" s="3">
        <v>2.83</v>
      </c>
      <c r="G19" s="3">
        <v>5.0</v>
      </c>
    </row>
    <row r="20">
      <c r="A20" s="3" t="s">
        <v>52</v>
      </c>
      <c r="B20" s="3" t="s">
        <v>53</v>
      </c>
      <c r="E20" s="3">
        <v>2.0</v>
      </c>
      <c r="F20" s="3">
        <v>1.27</v>
      </c>
      <c r="G20" s="3">
        <v>5.0</v>
      </c>
    </row>
    <row r="21" ht="15.75" customHeight="1"/>
    <row r="22" ht="15.75" customHeight="1">
      <c r="A22" s="3" t="s">
        <v>54</v>
      </c>
      <c r="B22" s="3" t="s">
        <v>55</v>
      </c>
      <c r="E22" s="3">
        <v>7.0</v>
      </c>
      <c r="F22" s="3">
        <v>4.58</v>
      </c>
      <c r="G22" s="3">
        <v>5.0</v>
      </c>
    </row>
    <row r="23" ht="15.75" customHeight="1"/>
    <row r="24" ht="15.75" customHeight="1">
      <c r="A24" s="3" t="s">
        <v>56</v>
      </c>
      <c r="B24" s="3" t="s">
        <v>57</v>
      </c>
      <c r="D24" s="3" t="s">
        <v>58</v>
      </c>
      <c r="E24" s="3">
        <v>3.0</v>
      </c>
      <c r="F24" s="3">
        <v>0.91</v>
      </c>
      <c r="G24" s="3">
        <v>5.0</v>
      </c>
    </row>
    <row r="25" ht="15.75" customHeight="1">
      <c r="A25" s="3" t="s">
        <v>59</v>
      </c>
      <c r="B25" s="3" t="s">
        <v>60</v>
      </c>
      <c r="D25" s="2" t="s">
        <v>61</v>
      </c>
      <c r="E25" s="3">
        <v>3.0</v>
      </c>
      <c r="F25" s="3">
        <v>2.08</v>
      </c>
      <c r="G25" s="3">
        <v>5.0</v>
      </c>
      <c r="K25" s="2">
        <v>27.0</v>
      </c>
    </row>
    <row r="26" ht="15.75" customHeight="1">
      <c r="A26" s="3" t="s">
        <v>62</v>
      </c>
      <c r="B26" s="3" t="s">
        <v>63</v>
      </c>
      <c r="E26" s="3">
        <v>7.0</v>
      </c>
      <c r="F26" s="3">
        <v>5.0</v>
      </c>
      <c r="G26" s="3">
        <v>5.0</v>
      </c>
    </row>
    <row r="27" ht="15.75" customHeight="1">
      <c r="A27" s="3" t="s">
        <v>64</v>
      </c>
      <c r="B27" s="3" t="s">
        <v>65</v>
      </c>
      <c r="E27" s="3">
        <v>3.0</v>
      </c>
      <c r="F27" s="3">
        <v>2.25</v>
      </c>
      <c r="G27" s="3">
        <v>5.0</v>
      </c>
    </row>
    <row r="28" ht="15.75" customHeight="1">
      <c r="A28" s="3" t="s">
        <v>66</v>
      </c>
      <c r="B28" s="3" t="s">
        <v>67</v>
      </c>
      <c r="D28" s="3" t="s">
        <v>68</v>
      </c>
      <c r="E28" s="3">
        <v>20.0</v>
      </c>
      <c r="F28" s="3">
        <v>14.16</v>
      </c>
      <c r="G28" s="3">
        <v>5.0</v>
      </c>
    </row>
    <row r="29" ht="15.75" customHeight="1">
      <c r="A29" s="3" t="s">
        <v>69</v>
      </c>
      <c r="B29" s="3" t="s">
        <v>70</v>
      </c>
      <c r="E29" s="3">
        <v>6.0</v>
      </c>
      <c r="F29" s="3">
        <v>3.5</v>
      </c>
      <c r="G29" s="3">
        <v>5.0</v>
      </c>
    </row>
    <row r="30" ht="15.75" customHeight="1">
      <c r="A30" s="3" t="s">
        <v>71</v>
      </c>
      <c r="B30" s="3" t="s">
        <v>72</v>
      </c>
      <c r="E30" s="3">
        <v>2.0</v>
      </c>
      <c r="F30" s="3">
        <v>0.91</v>
      </c>
      <c r="G30" s="3">
        <v>5.0</v>
      </c>
      <c r="I30" s="3" t="s">
        <v>17</v>
      </c>
    </row>
    <row r="31" ht="15.75" customHeight="1">
      <c r="A31" s="3" t="s">
        <v>73</v>
      </c>
      <c r="B31" s="3" t="s">
        <v>74</v>
      </c>
      <c r="E31" s="3">
        <v>12.0</v>
      </c>
      <c r="F31" s="3">
        <v>8.83</v>
      </c>
      <c r="G31" s="3">
        <v>5.0</v>
      </c>
    </row>
    <row r="32" ht="15.75" customHeight="1">
      <c r="A32" s="3" t="s">
        <v>75</v>
      </c>
      <c r="B32" s="3" t="s">
        <v>76</v>
      </c>
      <c r="E32" s="3">
        <v>4.0</v>
      </c>
      <c r="F32" s="3">
        <v>2.91</v>
      </c>
      <c r="G32" s="3">
        <v>5.0</v>
      </c>
    </row>
    <row r="33" ht="15.75" customHeight="1">
      <c r="A33" s="3" t="s">
        <v>77</v>
      </c>
      <c r="B33" s="3" t="s">
        <v>78</v>
      </c>
      <c r="D33" s="3" t="s">
        <v>79</v>
      </c>
      <c r="E33" s="3">
        <v>7.0</v>
      </c>
      <c r="F33" s="3">
        <v>4.7</v>
      </c>
      <c r="G33" s="3">
        <v>5.0</v>
      </c>
    </row>
    <row r="34" ht="15.75" customHeight="1">
      <c r="A34" s="3" t="s">
        <v>80</v>
      </c>
      <c r="B34" s="3" t="s">
        <v>81</v>
      </c>
      <c r="E34" s="3">
        <v>5.0</v>
      </c>
      <c r="F34" s="3">
        <v>3.25</v>
      </c>
      <c r="G34" s="3">
        <v>5.0</v>
      </c>
    </row>
    <row r="35" ht="15.75" customHeight="1">
      <c r="A35" s="3" t="s">
        <v>82</v>
      </c>
      <c r="B35" s="2" t="s">
        <v>83</v>
      </c>
      <c r="D35" s="2" t="s">
        <v>84</v>
      </c>
      <c r="E35" s="3">
        <v>3.0</v>
      </c>
      <c r="F35" s="3">
        <v>2.25</v>
      </c>
      <c r="G35" s="3">
        <v>5.0</v>
      </c>
      <c r="K35" s="2">
        <v>24.0</v>
      </c>
    </row>
    <row r="36" ht="15.75" customHeight="1">
      <c r="A36" s="3" t="s">
        <v>85</v>
      </c>
      <c r="B36" s="3" t="s">
        <v>86</v>
      </c>
      <c r="D36" s="3" t="s">
        <v>87</v>
      </c>
      <c r="E36" s="3">
        <v>3.0</v>
      </c>
      <c r="F36" s="3">
        <v>2.25</v>
      </c>
      <c r="G36" s="3">
        <v>5.0</v>
      </c>
    </row>
    <row r="37" ht="15.75" customHeight="1">
      <c r="A37" s="3" t="s">
        <v>88</v>
      </c>
      <c r="B37" s="3" t="s">
        <v>89</v>
      </c>
      <c r="D37" s="3" t="s">
        <v>90</v>
      </c>
      <c r="E37" s="3">
        <v>5.0</v>
      </c>
      <c r="F37" s="3">
        <v>2.44</v>
      </c>
      <c r="G37" s="3">
        <v>5.0</v>
      </c>
    </row>
    <row r="38" ht="15.75" customHeight="1">
      <c r="A38" s="3" t="s">
        <v>91</v>
      </c>
      <c r="B38" s="3" t="s">
        <v>92</v>
      </c>
      <c r="D38" s="3" t="s">
        <v>93</v>
      </c>
      <c r="E38" s="3">
        <v>2.0</v>
      </c>
      <c r="F38" s="3">
        <v>1.0</v>
      </c>
      <c r="G38" s="3">
        <v>5.0</v>
      </c>
    </row>
    <row r="39" ht="15.75" customHeight="1">
      <c r="A39" s="3" t="s">
        <v>94</v>
      </c>
      <c r="B39" s="3" t="s">
        <v>95</v>
      </c>
      <c r="E39" s="3">
        <v>4.0</v>
      </c>
      <c r="F39" s="3">
        <v>2.62</v>
      </c>
      <c r="G39" s="3">
        <v>5.0</v>
      </c>
    </row>
    <row r="40" ht="15.75" customHeight="1">
      <c r="A40" s="3" t="s">
        <v>96</v>
      </c>
      <c r="B40" s="3" t="s">
        <v>97</v>
      </c>
      <c r="D40" s="2" t="s">
        <v>98</v>
      </c>
      <c r="E40" s="3">
        <v>3.0</v>
      </c>
      <c r="F40" s="3">
        <v>1.93</v>
      </c>
      <c r="G40" s="3">
        <v>5.0</v>
      </c>
      <c r="K40" s="2">
        <v>24.0</v>
      </c>
    </row>
    <row r="41" ht="15.75" customHeight="1">
      <c r="A41" s="3" t="s">
        <v>99</v>
      </c>
      <c r="B41" s="3" t="s">
        <v>100</v>
      </c>
      <c r="E41" s="3">
        <v>4.0</v>
      </c>
      <c r="F41" s="3">
        <v>3.0</v>
      </c>
      <c r="G41" s="3">
        <v>5.0</v>
      </c>
    </row>
    <row r="42" ht="15.75" customHeight="1"/>
    <row r="43" ht="15.75" customHeight="1">
      <c r="A43" s="3" t="s">
        <v>101</v>
      </c>
      <c r="B43" s="3" t="s">
        <v>102</v>
      </c>
      <c r="E43" s="3">
        <v>20.0</v>
      </c>
      <c r="F43" s="3">
        <v>16.25</v>
      </c>
      <c r="G43" s="3">
        <v>5.0</v>
      </c>
    </row>
    <row r="44" ht="15.75" customHeight="1">
      <c r="A44" s="3" t="s">
        <v>103</v>
      </c>
      <c r="B44" s="3" t="s">
        <v>104</v>
      </c>
      <c r="E44" s="3">
        <v>5.0</v>
      </c>
      <c r="F44" s="3">
        <v>3.5</v>
      </c>
      <c r="G44" s="3">
        <v>5.0</v>
      </c>
    </row>
    <row r="45" ht="15.75" customHeight="1">
      <c r="A45" s="3" t="s">
        <v>105</v>
      </c>
      <c r="B45" s="3" t="s">
        <v>106</v>
      </c>
      <c r="E45" s="3">
        <v>5.0</v>
      </c>
      <c r="F45" s="3">
        <v>4.13</v>
      </c>
      <c r="G45" s="3">
        <v>5.0</v>
      </c>
    </row>
    <row r="46" ht="15.75" customHeight="1">
      <c r="A46" s="3" t="s">
        <v>107</v>
      </c>
      <c r="B46" s="3" t="s">
        <v>108</v>
      </c>
      <c r="E46" s="3">
        <v>5.0</v>
      </c>
      <c r="F46" s="3">
        <v>2.33</v>
      </c>
      <c r="G46" s="3">
        <v>5.0</v>
      </c>
    </row>
    <row r="47" ht="15.75" customHeight="1">
      <c r="A47" s="3" t="s">
        <v>109</v>
      </c>
      <c r="B47" s="3" t="s">
        <v>110</v>
      </c>
      <c r="D47" s="3" t="s">
        <v>111</v>
      </c>
      <c r="E47" s="3">
        <v>4.0</v>
      </c>
      <c r="F47" s="3">
        <v>2.96</v>
      </c>
      <c r="G47" s="3">
        <v>5.0</v>
      </c>
    </row>
    <row r="48" ht="15.75" customHeight="1">
      <c r="A48" s="3" t="s">
        <v>112</v>
      </c>
      <c r="B48" s="3" t="s">
        <v>113</v>
      </c>
      <c r="D48" s="3" t="s">
        <v>114</v>
      </c>
      <c r="E48" s="3">
        <v>5.0</v>
      </c>
      <c r="F48" s="3">
        <v>3.5</v>
      </c>
      <c r="G48" s="3">
        <v>5.0</v>
      </c>
    </row>
    <row r="49" ht="15.75" customHeight="1">
      <c r="A49" s="3" t="s">
        <v>115</v>
      </c>
      <c r="B49" s="3" t="s">
        <v>116</v>
      </c>
      <c r="D49" s="3" t="s">
        <v>117</v>
      </c>
      <c r="E49" s="3">
        <v>5.0</v>
      </c>
      <c r="F49" s="3">
        <v>3.63</v>
      </c>
      <c r="G49" s="3">
        <v>5.0</v>
      </c>
    </row>
    <row r="50" ht="15.75" customHeight="1">
      <c r="A50" s="3" t="s">
        <v>118</v>
      </c>
      <c r="B50" s="3" t="s">
        <v>119</v>
      </c>
      <c r="E50" s="3">
        <v>10.0</v>
      </c>
      <c r="F50" s="3">
        <v>7.91</v>
      </c>
      <c r="G50" s="3">
        <v>5.0</v>
      </c>
    </row>
    <row r="51" ht="15.75" customHeight="1">
      <c r="A51" s="3" t="s">
        <v>120</v>
      </c>
      <c r="B51" s="3" t="s">
        <v>121</v>
      </c>
      <c r="D51" s="2" t="s">
        <v>122</v>
      </c>
      <c r="E51" s="3">
        <v>8.0</v>
      </c>
      <c r="F51" s="3">
        <v>6.12</v>
      </c>
      <c r="G51" s="3">
        <v>5.0</v>
      </c>
      <c r="K51" s="2">
        <v>16.0</v>
      </c>
    </row>
    <row r="52" ht="15.75" customHeight="1">
      <c r="A52" s="3" t="s">
        <v>123</v>
      </c>
      <c r="B52" s="3" t="s">
        <v>124</v>
      </c>
      <c r="D52" s="3" t="s">
        <v>125</v>
      </c>
      <c r="E52" s="3">
        <v>1.0</v>
      </c>
      <c r="F52" s="3">
        <v>0.63</v>
      </c>
      <c r="G52" s="3">
        <v>5.0</v>
      </c>
    </row>
    <row r="53" ht="15.75" customHeight="1">
      <c r="A53" s="3" t="s">
        <v>126</v>
      </c>
      <c r="B53" s="3" t="s">
        <v>127</v>
      </c>
      <c r="D53" s="3" t="s">
        <v>128</v>
      </c>
      <c r="E53" s="3">
        <v>3.0</v>
      </c>
      <c r="F53" s="3">
        <v>2.0</v>
      </c>
      <c r="G53" s="3">
        <v>5.0</v>
      </c>
    </row>
    <row r="54" ht="15.75" customHeight="1">
      <c r="A54" s="3" t="s">
        <v>129</v>
      </c>
      <c r="B54" s="3" t="s">
        <v>130</v>
      </c>
      <c r="E54" s="3">
        <v>4.0</v>
      </c>
      <c r="F54" s="3">
        <v>3.0</v>
      </c>
      <c r="G54" s="3">
        <v>5.0</v>
      </c>
    </row>
    <row r="55" ht="15.75" customHeight="1">
      <c r="A55" s="3" t="s">
        <v>131</v>
      </c>
      <c r="B55" s="3" t="s">
        <v>132</v>
      </c>
      <c r="D55" s="2" t="s">
        <v>133</v>
      </c>
      <c r="E55" s="3">
        <v>4.0</v>
      </c>
      <c r="F55" s="3">
        <v>1.33</v>
      </c>
      <c r="G55" s="3">
        <v>5.0</v>
      </c>
      <c r="K55" s="2">
        <v>24.0</v>
      </c>
    </row>
    <row r="56" ht="15.75" customHeight="1">
      <c r="A56" s="3" t="s">
        <v>134</v>
      </c>
      <c r="B56" s="3" t="s">
        <v>135</v>
      </c>
      <c r="D56" s="2" t="s">
        <v>136</v>
      </c>
      <c r="E56" s="3">
        <v>3.0</v>
      </c>
      <c r="F56" s="3">
        <v>2.0</v>
      </c>
      <c r="G56" s="3">
        <v>5.0</v>
      </c>
      <c r="K56" s="2">
        <v>27.0</v>
      </c>
    </row>
    <row r="57" ht="15.75" customHeight="1">
      <c r="A57" s="3" t="s">
        <v>137</v>
      </c>
      <c r="B57" s="3" t="s">
        <v>138</v>
      </c>
      <c r="E57" s="3">
        <v>10.0</v>
      </c>
      <c r="F57" s="3">
        <v>8.25</v>
      </c>
      <c r="G57" s="3">
        <v>5.0</v>
      </c>
    </row>
    <row r="58" ht="15.75" customHeight="1">
      <c r="A58" s="3" t="s">
        <v>139</v>
      </c>
      <c r="B58" s="3" t="s">
        <v>140</v>
      </c>
      <c r="D58" s="3" t="s">
        <v>141</v>
      </c>
      <c r="E58" s="3">
        <v>6.0</v>
      </c>
      <c r="F58" s="3">
        <v>4.45</v>
      </c>
      <c r="G58" s="3">
        <v>5.0</v>
      </c>
    </row>
    <row r="59" ht="15.75" customHeight="1">
      <c r="A59" s="3" t="s">
        <v>142</v>
      </c>
      <c r="B59" s="3" t="s">
        <v>143</v>
      </c>
      <c r="D59" s="2" t="s">
        <v>144</v>
      </c>
      <c r="E59" s="3">
        <v>3.0</v>
      </c>
      <c r="F59" s="3">
        <v>2.25</v>
      </c>
      <c r="G59" s="3">
        <v>5.0</v>
      </c>
      <c r="K59" s="2">
        <v>24.0</v>
      </c>
    </row>
    <row r="60" ht="15.75" customHeight="1">
      <c r="A60" s="3" t="s">
        <v>145</v>
      </c>
      <c r="B60" s="3" t="s">
        <v>146</v>
      </c>
      <c r="D60" s="3" t="s">
        <v>147</v>
      </c>
      <c r="E60" s="3">
        <v>6.0</v>
      </c>
      <c r="F60" s="3">
        <v>4.45</v>
      </c>
      <c r="G60" s="3">
        <v>5.0</v>
      </c>
      <c r="I60" s="3" t="s">
        <v>17</v>
      </c>
    </row>
    <row r="61" ht="15.75" customHeight="1">
      <c r="A61" s="3" t="s">
        <v>148</v>
      </c>
      <c r="B61" s="3" t="s">
        <v>149</v>
      </c>
      <c r="D61" s="2" t="s">
        <v>150</v>
      </c>
      <c r="E61" s="3">
        <v>4.0</v>
      </c>
      <c r="F61" s="3">
        <v>3.28</v>
      </c>
      <c r="G61" s="3">
        <v>5.0</v>
      </c>
      <c r="I61" s="3" t="s">
        <v>17</v>
      </c>
      <c r="K61" s="2">
        <v>25.0</v>
      </c>
    </row>
    <row r="62" ht="15.75" customHeight="1">
      <c r="A62" s="3" t="s">
        <v>151</v>
      </c>
      <c r="B62" s="3" t="s">
        <v>152</v>
      </c>
      <c r="D62" s="3" t="s">
        <v>153</v>
      </c>
      <c r="E62" s="3">
        <v>5.0</v>
      </c>
      <c r="F62" s="3">
        <v>3.75</v>
      </c>
      <c r="G62" s="3">
        <v>5.0</v>
      </c>
      <c r="I62" s="3" t="s">
        <v>17</v>
      </c>
    </row>
    <row r="63" ht="15.75" customHeight="1">
      <c r="A63" s="3" t="s">
        <v>154</v>
      </c>
      <c r="B63" s="3" t="s">
        <v>155</v>
      </c>
      <c r="D63" s="3" t="s">
        <v>156</v>
      </c>
      <c r="E63" s="3">
        <v>6.0</v>
      </c>
      <c r="F63" s="3">
        <v>4.64</v>
      </c>
      <c r="G63" s="3">
        <v>5.0</v>
      </c>
      <c r="I63" s="3" t="s">
        <v>17</v>
      </c>
    </row>
    <row r="64" ht="15.75" customHeight="1">
      <c r="A64" s="3" t="s">
        <v>157</v>
      </c>
      <c r="B64" s="3" t="s">
        <v>158</v>
      </c>
      <c r="E64" s="3">
        <v>3.0</v>
      </c>
      <c r="F64" s="3">
        <v>2.4</v>
      </c>
      <c r="G64" s="3">
        <v>5.0</v>
      </c>
    </row>
    <row r="65" ht="15.75" customHeight="1">
      <c r="A65" s="3" t="s">
        <v>159</v>
      </c>
      <c r="B65" s="3" t="s">
        <v>160</v>
      </c>
      <c r="D65" s="3" t="s">
        <v>161</v>
      </c>
      <c r="E65" s="3">
        <v>5.0</v>
      </c>
      <c r="F65" s="3">
        <v>3.41</v>
      </c>
      <c r="G65" s="3">
        <v>5.0</v>
      </c>
    </row>
    <row r="66" ht="15.75" customHeight="1">
      <c r="A66" s="3" t="s">
        <v>162</v>
      </c>
      <c r="B66" s="3" t="s">
        <v>163</v>
      </c>
      <c r="D66" s="3" t="s">
        <v>164</v>
      </c>
      <c r="E66" s="3">
        <v>5.0</v>
      </c>
      <c r="F66" s="3">
        <v>2.92</v>
      </c>
      <c r="G66" s="3">
        <v>5.0</v>
      </c>
    </row>
    <row r="67" ht="15.75" customHeight="1">
      <c r="A67" s="3" t="s">
        <v>165</v>
      </c>
      <c r="B67" s="3" t="s">
        <v>166</v>
      </c>
      <c r="D67" s="2" t="s">
        <v>167</v>
      </c>
      <c r="E67" s="3">
        <v>3.0</v>
      </c>
      <c r="F67" s="3">
        <v>2.25</v>
      </c>
      <c r="G67" s="3">
        <v>5.0</v>
      </c>
      <c r="K67" s="2">
        <v>24.0</v>
      </c>
    </row>
    <row r="68" ht="15.75" customHeight="1">
      <c r="A68" s="3" t="s">
        <v>168</v>
      </c>
      <c r="B68" s="2" t="s">
        <v>169</v>
      </c>
      <c r="D68" s="2" t="s">
        <v>170</v>
      </c>
      <c r="E68" s="3">
        <v>5.0</v>
      </c>
      <c r="F68" s="3">
        <v>3.79</v>
      </c>
      <c r="G68" s="3">
        <v>5.0</v>
      </c>
      <c r="I68" s="3" t="s">
        <v>17</v>
      </c>
    </row>
    <row r="69" ht="15.75" customHeight="1">
      <c r="A69" s="3" t="s">
        <v>171</v>
      </c>
      <c r="B69" s="3" t="s">
        <v>172</v>
      </c>
      <c r="D69" s="2" t="s">
        <v>173</v>
      </c>
      <c r="E69" s="3">
        <v>2.0</v>
      </c>
      <c r="F69" s="3">
        <v>1.33</v>
      </c>
      <c r="G69" s="3">
        <v>5.0</v>
      </c>
      <c r="I69" s="3" t="s">
        <v>17</v>
      </c>
      <c r="K69" s="2">
        <v>24.0</v>
      </c>
    </row>
    <row r="70" ht="15.75" customHeight="1">
      <c r="A70" s="3" t="s">
        <v>174</v>
      </c>
      <c r="B70" s="3" t="s">
        <v>175</v>
      </c>
      <c r="D70" s="3" t="s">
        <v>176</v>
      </c>
      <c r="E70" s="3">
        <v>30.0</v>
      </c>
      <c r="F70" s="3">
        <v>24.0</v>
      </c>
      <c r="G70" s="3">
        <v>5.0</v>
      </c>
    </row>
    <row r="71" ht="15.75" customHeight="1">
      <c r="A71" s="3" t="s">
        <v>177</v>
      </c>
      <c r="B71" s="3" t="s">
        <v>178</v>
      </c>
      <c r="D71" s="3" t="s">
        <v>179</v>
      </c>
      <c r="E71" s="3">
        <v>12.0</v>
      </c>
      <c r="F71" s="3">
        <v>7.0</v>
      </c>
      <c r="G71" s="3">
        <v>5.0</v>
      </c>
    </row>
    <row r="72" ht="15.75" customHeight="1">
      <c r="A72" s="3" t="s">
        <v>180</v>
      </c>
      <c r="B72" s="3" t="s">
        <v>181</v>
      </c>
      <c r="D72" s="3" t="s">
        <v>182</v>
      </c>
      <c r="E72" s="3">
        <v>2.0</v>
      </c>
      <c r="F72" s="3">
        <v>0.92</v>
      </c>
      <c r="G72" s="3">
        <v>5.0</v>
      </c>
      <c r="I72" s="3" t="s">
        <v>17</v>
      </c>
    </row>
    <row r="73" ht="15.75" customHeight="1">
      <c r="A73" s="3" t="s">
        <v>183</v>
      </c>
      <c r="B73" s="3" t="s">
        <v>184</v>
      </c>
      <c r="D73" s="3" t="s">
        <v>185</v>
      </c>
      <c r="E73" s="3">
        <v>2.0</v>
      </c>
      <c r="F73" s="3">
        <v>1.54</v>
      </c>
      <c r="G73" s="3">
        <v>5.0</v>
      </c>
    </row>
    <row r="74" ht="15.75" customHeight="1">
      <c r="A74" s="3" t="s">
        <v>186</v>
      </c>
      <c r="B74" s="3" t="s">
        <v>187</v>
      </c>
      <c r="D74" s="3" t="s">
        <v>188</v>
      </c>
      <c r="E74" s="3">
        <v>7.0</v>
      </c>
      <c r="F74" s="3">
        <v>5.9</v>
      </c>
      <c r="G74" s="3">
        <v>5.0</v>
      </c>
      <c r="I74" s="3" t="s">
        <v>17</v>
      </c>
    </row>
    <row r="75" ht="15.75" customHeight="1"/>
    <row r="76" ht="15.75" customHeight="1">
      <c r="A76" s="3" t="s">
        <v>189</v>
      </c>
      <c r="B76" s="3" t="s">
        <v>190</v>
      </c>
      <c r="D76" s="3" t="s">
        <v>191</v>
      </c>
      <c r="E76" s="3">
        <v>1.0</v>
      </c>
      <c r="F76" s="3">
        <v>0.6</v>
      </c>
      <c r="G76" s="3">
        <v>5.0</v>
      </c>
    </row>
    <row r="77" ht="15.75" customHeight="1">
      <c r="A77" s="3" t="s">
        <v>192</v>
      </c>
      <c r="B77" s="2" t="s">
        <v>193</v>
      </c>
      <c r="D77" s="2" t="s">
        <v>194</v>
      </c>
      <c r="E77" s="3">
        <v>5.0</v>
      </c>
      <c r="F77" s="3">
        <v>3.5</v>
      </c>
      <c r="G77" s="3">
        <v>5.0</v>
      </c>
      <c r="K77" s="2">
        <v>24.0</v>
      </c>
    </row>
    <row r="78" ht="15.75" customHeight="1">
      <c r="A78" s="3" t="s">
        <v>195</v>
      </c>
      <c r="B78" s="3" t="s">
        <v>196</v>
      </c>
      <c r="D78" s="3" t="s">
        <v>197</v>
      </c>
      <c r="E78" s="3">
        <v>8.0</v>
      </c>
      <c r="F78" s="3">
        <v>5.83</v>
      </c>
      <c r="G78" s="3">
        <v>5.0</v>
      </c>
      <c r="I78" s="3" t="s">
        <v>17</v>
      </c>
    </row>
    <row r="79" ht="15.75" customHeight="1">
      <c r="A79" s="3" t="s">
        <v>198</v>
      </c>
      <c r="B79" s="3" t="s">
        <v>199</v>
      </c>
      <c r="E79" s="3">
        <v>3.0</v>
      </c>
      <c r="F79" s="3">
        <v>1.83</v>
      </c>
      <c r="G79" s="3">
        <v>5.0</v>
      </c>
    </row>
    <row r="80" ht="15.75" customHeight="1">
      <c r="A80" s="3" t="s">
        <v>200</v>
      </c>
      <c r="B80" s="3" t="s">
        <v>201</v>
      </c>
      <c r="E80" s="3">
        <v>5.0</v>
      </c>
      <c r="F80" s="3">
        <v>3.45</v>
      </c>
      <c r="G80" s="3">
        <v>5.0</v>
      </c>
    </row>
    <row r="81" ht="15.75" customHeight="1">
      <c r="A81" s="3" t="s">
        <v>202</v>
      </c>
      <c r="B81" s="3" t="s">
        <v>203</v>
      </c>
      <c r="D81" s="3" t="s">
        <v>204</v>
      </c>
      <c r="E81" s="3">
        <v>5.0</v>
      </c>
      <c r="F81" s="3">
        <v>3.08</v>
      </c>
      <c r="G81" s="3">
        <v>5.0</v>
      </c>
      <c r="H81" s="3">
        <v>5.0</v>
      </c>
      <c r="I81" s="3" t="s">
        <v>205</v>
      </c>
    </row>
    <row r="82" ht="15.75" customHeight="1">
      <c r="A82" s="3" t="s">
        <v>206</v>
      </c>
      <c r="B82" s="3" t="s">
        <v>207</v>
      </c>
      <c r="D82" s="2" t="s">
        <v>208</v>
      </c>
      <c r="E82" s="3">
        <v>3.0</v>
      </c>
      <c r="F82" s="3">
        <v>2.0</v>
      </c>
      <c r="G82" s="3">
        <v>5.0</v>
      </c>
    </row>
    <row r="83" ht="15.75" customHeight="1">
      <c r="A83" s="3" t="s">
        <v>209</v>
      </c>
      <c r="B83" s="3" t="s">
        <v>210</v>
      </c>
      <c r="E83" s="3">
        <v>8.0</v>
      </c>
      <c r="F83" s="3">
        <v>4.75</v>
      </c>
      <c r="G83" s="3">
        <v>5.0</v>
      </c>
    </row>
    <row r="84" ht="15.75" customHeight="1">
      <c r="A84" s="3" t="s">
        <v>211</v>
      </c>
      <c r="B84" s="3" t="s">
        <v>212</v>
      </c>
      <c r="D84" s="3" t="s">
        <v>213</v>
      </c>
      <c r="E84" s="3">
        <v>6.0</v>
      </c>
      <c r="F84" s="3">
        <v>4.88</v>
      </c>
      <c r="G84" s="3">
        <v>5.0</v>
      </c>
      <c r="I84" s="3" t="s">
        <v>17</v>
      </c>
    </row>
    <row r="85" ht="15.75" customHeight="1">
      <c r="A85" s="3" t="s">
        <v>214</v>
      </c>
      <c r="B85" s="3" t="s">
        <v>215</v>
      </c>
      <c r="D85" s="2" t="s">
        <v>216</v>
      </c>
      <c r="E85" s="3">
        <v>1.0</v>
      </c>
      <c r="F85" s="3">
        <v>0.3</v>
      </c>
      <c r="G85" s="3">
        <v>5.0</v>
      </c>
      <c r="H85" s="3">
        <v>5.0</v>
      </c>
      <c r="K85" s="2">
        <v>12.0</v>
      </c>
    </row>
    <row r="86" ht="15.75" customHeight="1">
      <c r="A86" s="3" t="s">
        <v>217</v>
      </c>
      <c r="B86" s="3" t="s">
        <v>218</v>
      </c>
      <c r="D86" s="2" t="s">
        <v>219</v>
      </c>
      <c r="E86" s="3">
        <v>5.0</v>
      </c>
      <c r="F86" s="3">
        <v>2.8</v>
      </c>
      <c r="G86" s="3">
        <v>5.0</v>
      </c>
      <c r="I86" s="3" t="s">
        <v>218</v>
      </c>
      <c r="K86" s="2">
        <v>15.0</v>
      </c>
    </row>
    <row r="87" ht="15.75" customHeight="1"/>
    <row r="88" ht="15.75" customHeight="1">
      <c r="A88" s="3" t="s">
        <v>220</v>
      </c>
      <c r="B88" s="3" t="s">
        <v>221</v>
      </c>
      <c r="D88" s="3" t="s">
        <v>222</v>
      </c>
      <c r="E88" s="3">
        <v>5.0</v>
      </c>
      <c r="F88" s="3">
        <v>3.5</v>
      </c>
      <c r="G88" s="3">
        <v>12.0</v>
      </c>
      <c r="I88" s="3" t="s">
        <v>205</v>
      </c>
    </row>
    <row r="89" ht="15.75" customHeight="1">
      <c r="A89" s="3" t="s">
        <v>223</v>
      </c>
      <c r="B89" s="3" t="s">
        <v>224</v>
      </c>
      <c r="D89" s="3" t="s">
        <v>225</v>
      </c>
      <c r="E89" s="3">
        <v>5.0</v>
      </c>
      <c r="F89" s="3">
        <v>3.5</v>
      </c>
      <c r="G89" s="3">
        <v>12.0</v>
      </c>
      <c r="I89" s="3" t="s">
        <v>205</v>
      </c>
    </row>
    <row r="90" ht="15.75" customHeight="1">
      <c r="A90" s="3" t="s">
        <v>226</v>
      </c>
      <c r="B90" s="3" t="s">
        <v>227</v>
      </c>
      <c r="D90" s="3" t="s">
        <v>228</v>
      </c>
      <c r="E90" s="3">
        <v>5.0</v>
      </c>
      <c r="F90" s="3">
        <v>3.5</v>
      </c>
      <c r="G90" s="3">
        <v>12.0</v>
      </c>
      <c r="I90" s="3" t="s">
        <v>205</v>
      </c>
    </row>
    <row r="91" ht="15.75" customHeight="1">
      <c r="A91" s="3" t="s">
        <v>229</v>
      </c>
      <c r="B91" s="3" t="s">
        <v>230</v>
      </c>
      <c r="D91" s="3" t="s">
        <v>231</v>
      </c>
      <c r="E91" s="3">
        <v>5.0</v>
      </c>
      <c r="F91" s="3">
        <v>3.5</v>
      </c>
      <c r="G91" s="3">
        <v>12.0</v>
      </c>
      <c r="I91" s="3" t="s">
        <v>205</v>
      </c>
    </row>
    <row r="92" ht="15.75" customHeight="1">
      <c r="A92" s="3" t="s">
        <v>232</v>
      </c>
      <c r="B92" s="3" t="s">
        <v>233</v>
      </c>
      <c r="D92" s="3" t="s">
        <v>234</v>
      </c>
      <c r="E92" s="3">
        <v>5.0</v>
      </c>
      <c r="F92" s="3">
        <v>3.5</v>
      </c>
      <c r="G92" s="3">
        <v>12.0</v>
      </c>
      <c r="I92" s="3" t="s">
        <v>205</v>
      </c>
    </row>
    <row r="93" ht="15.75" customHeight="1">
      <c r="A93" s="3" t="s">
        <v>235</v>
      </c>
      <c r="B93" s="3" t="s">
        <v>236</v>
      </c>
      <c r="D93" s="3" t="s">
        <v>237</v>
      </c>
      <c r="G93" s="3">
        <v>5.0</v>
      </c>
    </row>
    <row r="94" ht="15.75" customHeight="1">
      <c r="A94" s="3" t="s">
        <v>238</v>
      </c>
      <c r="B94" s="2" t="s">
        <v>239</v>
      </c>
      <c r="D94" s="2" t="s">
        <v>240</v>
      </c>
      <c r="G94" s="3">
        <v>18.0</v>
      </c>
    </row>
    <row r="95" ht="15.75" customHeight="1"/>
    <row r="96" ht="15.75" customHeight="1">
      <c r="A96" s="3" t="s">
        <v>241</v>
      </c>
      <c r="B96" s="3" t="s">
        <v>242</v>
      </c>
      <c r="D96" s="3" t="s">
        <v>243</v>
      </c>
      <c r="E96" s="3">
        <v>3.0</v>
      </c>
      <c r="F96" s="3">
        <v>1.75</v>
      </c>
      <c r="G96" s="3">
        <v>8.0</v>
      </c>
    </row>
    <row r="97" ht="15.75" customHeight="1"/>
    <row r="98" ht="15.75" customHeight="1">
      <c r="D98" s="2"/>
      <c r="G98" s="2"/>
      <c r="H98" s="2"/>
    </row>
    <row r="99" ht="15.75" customHeight="1">
      <c r="A99" s="3" t="s">
        <v>244</v>
      </c>
      <c r="B99" s="3" t="s">
        <v>245</v>
      </c>
      <c r="D99" s="3" t="s">
        <v>246</v>
      </c>
      <c r="G99" s="3">
        <v>1.0</v>
      </c>
    </row>
    <row r="100" ht="15.75" customHeight="1"/>
    <row r="101" ht="15.75" customHeight="1">
      <c r="A101" s="3" t="s">
        <v>247</v>
      </c>
      <c r="B101" s="2" t="s">
        <v>248</v>
      </c>
      <c r="D101" s="2" t="s">
        <v>249</v>
      </c>
      <c r="G101" s="3">
        <v>2.0</v>
      </c>
    </row>
    <row r="102" ht="15.75" customHeight="1"/>
    <row r="103" ht="15.75" customHeight="1">
      <c r="A103" s="3" t="s">
        <v>250</v>
      </c>
      <c r="B103" s="3" t="s">
        <v>251</v>
      </c>
      <c r="D103" s="3" t="s">
        <v>252</v>
      </c>
      <c r="G103" s="3">
        <v>1.0</v>
      </c>
    </row>
    <row r="104" ht="15.75" customHeight="1">
      <c r="A104" s="3" t="s">
        <v>253</v>
      </c>
      <c r="B104" s="3" t="s">
        <v>254</v>
      </c>
      <c r="D104" s="3" t="s">
        <v>255</v>
      </c>
      <c r="G104" s="3">
        <v>0.0</v>
      </c>
    </row>
    <row r="105" ht="15.75" customHeight="1">
      <c r="A105" s="3" t="s">
        <v>256</v>
      </c>
      <c r="B105" s="3" t="s">
        <v>257</v>
      </c>
      <c r="D105" s="2" t="s">
        <v>258</v>
      </c>
      <c r="E105" s="3">
        <v>4.0</v>
      </c>
      <c r="F105" s="3">
        <v>2.0</v>
      </c>
      <c r="G105" s="3">
        <v>0.0</v>
      </c>
      <c r="H105" s="3">
        <v>1.0</v>
      </c>
      <c r="K105" s="2">
        <v>10.0</v>
      </c>
    </row>
    <row r="106" ht="15.75" customHeight="1">
      <c r="A106" s="3" t="s">
        <v>259</v>
      </c>
      <c r="B106" s="3" t="s">
        <v>260</v>
      </c>
      <c r="D106" s="3" t="s">
        <v>261</v>
      </c>
      <c r="E106" s="3">
        <v>2.0</v>
      </c>
      <c r="F106" s="3">
        <v>1.0</v>
      </c>
      <c r="G106" s="3">
        <v>0.0</v>
      </c>
      <c r="H106" s="3">
        <v>1.0</v>
      </c>
    </row>
    <row r="107" ht="15.75" customHeight="1">
      <c r="A107" s="3" t="s">
        <v>262</v>
      </c>
      <c r="B107" s="3" t="s">
        <v>263</v>
      </c>
      <c r="D107" s="3" t="s">
        <v>264</v>
      </c>
      <c r="E107" s="3">
        <v>3.0</v>
      </c>
      <c r="F107" s="3">
        <v>1.3</v>
      </c>
      <c r="G107" s="3">
        <v>3.0</v>
      </c>
      <c r="H107" s="3">
        <v>1.0</v>
      </c>
    </row>
    <row r="108" ht="15.75" customHeight="1">
      <c r="A108" s="3" t="s">
        <v>265</v>
      </c>
      <c r="B108" s="3" t="s">
        <v>266</v>
      </c>
      <c r="D108" s="3" t="s">
        <v>267</v>
      </c>
      <c r="E108" s="3">
        <v>1.0</v>
      </c>
      <c r="F108" s="3">
        <v>0.47</v>
      </c>
      <c r="G108" s="3">
        <v>5.0</v>
      </c>
    </row>
    <row r="109" ht="15.75" customHeight="1">
      <c r="A109" s="3" t="s">
        <v>268</v>
      </c>
      <c r="B109" s="3" t="s">
        <v>269</v>
      </c>
      <c r="D109" s="3" t="s">
        <v>270</v>
      </c>
      <c r="G109" s="3">
        <v>3.0</v>
      </c>
    </row>
    <row r="110" ht="15.75" customHeight="1">
      <c r="A110" s="3" t="s">
        <v>271</v>
      </c>
      <c r="B110" s="2" t="s">
        <v>272</v>
      </c>
      <c r="D110" s="2" t="s">
        <v>273</v>
      </c>
      <c r="E110" s="3">
        <v>5.0</v>
      </c>
      <c r="F110" s="2">
        <v>3.0</v>
      </c>
      <c r="G110" s="2">
        <v>0.0</v>
      </c>
      <c r="H110" s="3">
        <v>5.0</v>
      </c>
      <c r="I110" s="3" t="s">
        <v>218</v>
      </c>
      <c r="K110" s="2">
        <v>15.0</v>
      </c>
    </row>
    <row r="111" ht="15.75" customHeight="1">
      <c r="A111" s="3" t="s">
        <v>274</v>
      </c>
      <c r="B111" s="3" t="s">
        <v>275</v>
      </c>
      <c r="D111" s="3" t="s">
        <v>276</v>
      </c>
      <c r="E111" s="3">
        <v>2.0</v>
      </c>
      <c r="F111" s="3">
        <v>1.58</v>
      </c>
      <c r="G111" s="3">
        <v>0.0</v>
      </c>
    </row>
    <row r="112" ht="15.75" customHeight="1">
      <c r="A112" s="3" t="s">
        <v>277</v>
      </c>
      <c r="B112" s="3" t="s">
        <v>278</v>
      </c>
      <c r="D112" s="3" t="s">
        <v>279</v>
      </c>
      <c r="F112" s="3">
        <v>8.0</v>
      </c>
      <c r="G112" s="3">
        <v>0.0</v>
      </c>
    </row>
    <row r="113" ht="15.75" customHeight="1">
      <c r="A113" s="3" t="s">
        <v>280</v>
      </c>
      <c r="B113" s="2" t="s">
        <v>281</v>
      </c>
      <c r="D113" s="2" t="s">
        <v>282</v>
      </c>
      <c r="E113" s="3">
        <v>5.0</v>
      </c>
      <c r="F113" s="3">
        <v>2.6</v>
      </c>
      <c r="G113" s="3">
        <v>10.0</v>
      </c>
      <c r="H113" s="3">
        <v>5.0</v>
      </c>
      <c r="I113" s="3" t="s">
        <v>218</v>
      </c>
      <c r="K113" s="2">
        <v>15.0</v>
      </c>
    </row>
    <row r="114" ht="15.75" customHeight="1">
      <c r="A114" s="3" t="s">
        <v>283</v>
      </c>
      <c r="B114" s="3" t="s">
        <v>284</v>
      </c>
      <c r="D114" s="3" t="s">
        <v>285</v>
      </c>
      <c r="E114" s="3">
        <v>5.0</v>
      </c>
      <c r="F114" s="3">
        <v>3.17</v>
      </c>
      <c r="G114" s="3">
        <v>0.0</v>
      </c>
      <c r="H114" s="3">
        <v>5.0</v>
      </c>
    </row>
    <row r="115" ht="15.75" customHeight="1">
      <c r="A115" s="3" t="s">
        <v>286</v>
      </c>
      <c r="B115" s="2" t="s">
        <v>287</v>
      </c>
      <c r="D115" s="2" t="s">
        <v>288</v>
      </c>
      <c r="E115" s="3">
        <v>5.0</v>
      </c>
      <c r="F115" s="3">
        <v>2.66</v>
      </c>
      <c r="G115" s="2">
        <v>15.0</v>
      </c>
      <c r="H115" s="3">
        <v>5.0</v>
      </c>
      <c r="I115" s="3" t="s">
        <v>218</v>
      </c>
      <c r="K115" s="2">
        <v>15.0</v>
      </c>
    </row>
    <row r="116" ht="15.75" customHeight="1">
      <c r="A116" s="3" t="s">
        <v>289</v>
      </c>
      <c r="B116" s="3" t="s">
        <v>290</v>
      </c>
      <c r="D116" s="2" t="s">
        <v>291</v>
      </c>
      <c r="E116" s="3">
        <v>5.0</v>
      </c>
      <c r="F116" s="3">
        <v>2.78</v>
      </c>
      <c r="G116" s="3">
        <v>0.0</v>
      </c>
      <c r="H116" s="3">
        <v>5.0</v>
      </c>
      <c r="I116" s="2" t="s">
        <v>205</v>
      </c>
      <c r="K116" s="2">
        <v>18.0</v>
      </c>
    </row>
    <row r="117" ht="15.75" customHeight="1"/>
    <row r="118" ht="15.75" customHeight="1"/>
    <row r="119" ht="15.75" customHeight="1">
      <c r="A119" s="3" t="s">
        <v>292</v>
      </c>
      <c r="B119" s="3" t="s">
        <v>293</v>
      </c>
      <c r="D119" s="3" t="s">
        <v>294</v>
      </c>
      <c r="E119" s="3">
        <v>3.0</v>
      </c>
      <c r="F119" s="3">
        <v>1.58</v>
      </c>
      <c r="G119" s="3">
        <v>0.0</v>
      </c>
    </row>
    <row r="120" ht="15.75" customHeight="1">
      <c r="A120" s="3" t="s">
        <v>295</v>
      </c>
      <c r="B120" s="3" t="s">
        <v>296</v>
      </c>
      <c r="D120" s="2" t="s">
        <v>297</v>
      </c>
      <c r="E120" s="3">
        <v>1.0</v>
      </c>
      <c r="F120" s="3">
        <v>0.45</v>
      </c>
      <c r="G120" s="3">
        <v>0.0</v>
      </c>
      <c r="K120" s="2">
        <v>24.0</v>
      </c>
    </row>
    <row r="121" ht="15.75" customHeight="1">
      <c r="A121" s="3" t="s">
        <v>298</v>
      </c>
      <c r="B121" s="3" t="s">
        <v>299</v>
      </c>
      <c r="D121" s="3" t="s">
        <v>300</v>
      </c>
      <c r="E121" s="3">
        <v>4.0</v>
      </c>
      <c r="F121" s="3">
        <v>1.9</v>
      </c>
      <c r="G121" s="3">
        <v>0.0</v>
      </c>
    </row>
    <row r="122" ht="15.75" customHeight="1"/>
    <row r="123" ht="15.75" customHeight="1">
      <c r="A123" s="2" t="s">
        <v>301</v>
      </c>
      <c r="B123" s="2" t="s">
        <v>302</v>
      </c>
      <c r="D123" s="2" t="s">
        <v>303</v>
      </c>
      <c r="E123" s="2">
        <v>3.0</v>
      </c>
      <c r="F123" s="2">
        <v>2.25</v>
      </c>
      <c r="G123" s="2">
        <v>7.0</v>
      </c>
      <c r="H123" s="2">
        <v>1.0</v>
      </c>
    </row>
    <row r="124" ht="15.75" customHeight="1">
      <c r="A124" s="2" t="s">
        <v>304</v>
      </c>
      <c r="B124" s="2" t="s">
        <v>305</v>
      </c>
      <c r="D124" s="2" t="s">
        <v>306</v>
      </c>
      <c r="E124" s="2">
        <v>5.0</v>
      </c>
      <c r="F124" s="2">
        <v>3.5</v>
      </c>
      <c r="G124" s="2">
        <v>0.0</v>
      </c>
      <c r="H124" s="2">
        <v>1.0</v>
      </c>
    </row>
    <row r="125" ht="15.75" customHeight="1">
      <c r="A125" s="2" t="s">
        <v>307</v>
      </c>
      <c r="B125" s="2" t="s">
        <v>308</v>
      </c>
      <c r="D125" s="2" t="s">
        <v>309</v>
      </c>
      <c r="E125" s="2">
        <v>5.0</v>
      </c>
      <c r="F125" s="2">
        <v>3.5</v>
      </c>
      <c r="G125" s="2">
        <v>7.0</v>
      </c>
    </row>
    <row r="126" ht="15.75" customHeight="1">
      <c r="A126" s="2" t="s">
        <v>310</v>
      </c>
      <c r="B126" s="2" t="s">
        <v>311</v>
      </c>
      <c r="D126" s="2" t="s">
        <v>312</v>
      </c>
      <c r="E126" s="2">
        <v>5.0</v>
      </c>
      <c r="G126" s="2">
        <v>7.0</v>
      </c>
      <c r="H126" s="2">
        <v>3.0</v>
      </c>
    </row>
    <row r="127" ht="15.75" customHeight="1">
      <c r="A127" s="2" t="s">
        <v>313</v>
      </c>
      <c r="B127" s="2" t="s">
        <v>314</v>
      </c>
      <c r="D127" s="2" t="s">
        <v>315</v>
      </c>
      <c r="E127" s="2">
        <v>3.0</v>
      </c>
      <c r="G127" s="2">
        <v>7.0</v>
      </c>
    </row>
    <row r="128" ht="15.75" customHeight="1">
      <c r="A128" s="2" t="s">
        <v>316</v>
      </c>
      <c r="B128" s="2" t="s">
        <v>207</v>
      </c>
      <c r="D128" s="2" t="s">
        <v>317</v>
      </c>
      <c r="E128" s="2">
        <v>3.0</v>
      </c>
      <c r="G128" s="2">
        <v>7.0</v>
      </c>
    </row>
    <row r="129" ht="15.75" customHeight="1">
      <c r="A129" s="2" t="s">
        <v>318</v>
      </c>
      <c r="B129" s="2" t="s">
        <v>319</v>
      </c>
      <c r="D129" s="2" t="s">
        <v>320</v>
      </c>
      <c r="E129" s="2">
        <v>2.0</v>
      </c>
      <c r="G129" s="2">
        <v>7.0</v>
      </c>
    </row>
    <row r="130" ht="15.75" customHeight="1">
      <c r="A130" s="2" t="s">
        <v>321</v>
      </c>
      <c r="B130" s="2" t="s">
        <v>322</v>
      </c>
      <c r="D130" s="2" t="s">
        <v>323</v>
      </c>
      <c r="G130" s="2">
        <v>5.0</v>
      </c>
      <c r="H130" s="2">
        <v>1.0</v>
      </c>
    </row>
    <row r="131" ht="15.75" customHeight="1">
      <c r="A131" s="2" t="s">
        <v>324</v>
      </c>
      <c r="B131" s="2" t="s">
        <v>325</v>
      </c>
      <c r="D131" s="2" t="s">
        <v>326</v>
      </c>
      <c r="E131" s="2">
        <v>7.0</v>
      </c>
      <c r="G131" s="2">
        <v>1.0</v>
      </c>
      <c r="H131" s="2">
        <v>1.0</v>
      </c>
    </row>
    <row r="132" ht="15.75" customHeight="1">
      <c r="A132" s="2" t="s">
        <v>327</v>
      </c>
      <c r="B132" s="2" t="s">
        <v>328</v>
      </c>
      <c r="D132" s="2" t="s">
        <v>329</v>
      </c>
      <c r="E132" s="2">
        <v>5.0</v>
      </c>
      <c r="G132" s="2">
        <v>6.0</v>
      </c>
      <c r="H132" s="2">
        <v>5.0</v>
      </c>
      <c r="I132" s="2" t="s">
        <v>205</v>
      </c>
      <c r="K132" s="2">
        <v>20.0</v>
      </c>
    </row>
    <row r="133" ht="15.75" customHeight="1">
      <c r="A133" s="2" t="s">
        <v>330</v>
      </c>
      <c r="B133" s="2" t="s">
        <v>331</v>
      </c>
      <c r="D133" s="2" t="s">
        <v>332</v>
      </c>
      <c r="E133" s="2">
        <v>7.0</v>
      </c>
      <c r="G133" s="2">
        <v>6.0</v>
      </c>
      <c r="H133" s="2">
        <v>4.0</v>
      </c>
      <c r="I133" s="2" t="s">
        <v>205</v>
      </c>
    </row>
    <row r="134" ht="15.75" customHeight="1">
      <c r="A134" s="2" t="s">
        <v>333</v>
      </c>
      <c r="B134" s="2" t="s">
        <v>334</v>
      </c>
      <c r="D134" s="2" t="s">
        <v>335</v>
      </c>
      <c r="E134" s="2">
        <v>3.0</v>
      </c>
      <c r="G134" s="2">
        <v>7.0</v>
      </c>
      <c r="H134" s="2">
        <v>3.0</v>
      </c>
      <c r="I134" s="2" t="s">
        <v>205</v>
      </c>
    </row>
    <row r="135" ht="15.75" customHeight="1">
      <c r="A135" s="2" t="s">
        <v>336</v>
      </c>
      <c r="B135" s="2" t="s">
        <v>337</v>
      </c>
      <c r="D135" s="2" t="s">
        <v>338</v>
      </c>
      <c r="E135" s="2">
        <v>5.0</v>
      </c>
      <c r="G135" s="2">
        <v>6.0</v>
      </c>
      <c r="H135" s="2">
        <v>4.0</v>
      </c>
    </row>
    <row r="136" ht="15.75" customHeight="1">
      <c r="A136" s="2" t="s">
        <v>339</v>
      </c>
      <c r="B136" s="2" t="s">
        <v>340</v>
      </c>
      <c r="D136" s="2" t="s">
        <v>341</v>
      </c>
      <c r="E136" s="2">
        <v>5.0</v>
      </c>
      <c r="G136" s="2">
        <v>6.0</v>
      </c>
      <c r="H136" s="2">
        <v>3.0</v>
      </c>
    </row>
    <row r="137" ht="15.75" customHeight="1">
      <c r="A137" s="2" t="s">
        <v>342</v>
      </c>
      <c r="B137" s="2" t="s">
        <v>343</v>
      </c>
      <c r="D137" s="2" t="s">
        <v>344</v>
      </c>
      <c r="E137" s="2">
        <v>5.0</v>
      </c>
      <c r="G137" s="2">
        <v>8.0</v>
      </c>
      <c r="H137" s="2">
        <v>5.0</v>
      </c>
    </row>
    <row r="138" ht="15.75" customHeight="1">
      <c r="A138" s="2" t="s">
        <v>345</v>
      </c>
      <c r="B138" s="2" t="s">
        <v>346</v>
      </c>
      <c r="D138" s="2" t="s">
        <v>347</v>
      </c>
      <c r="E138" s="2">
        <v>3.0</v>
      </c>
      <c r="G138" s="2">
        <v>1.0</v>
      </c>
      <c r="H138" s="2">
        <v>1.0</v>
      </c>
      <c r="I138" s="2"/>
    </row>
    <row r="139" ht="15.75" customHeight="1">
      <c r="A139" s="2" t="s">
        <v>348</v>
      </c>
      <c r="B139" s="2" t="s">
        <v>349</v>
      </c>
      <c r="D139" s="2" t="s">
        <v>350</v>
      </c>
      <c r="E139" s="2">
        <v>7.0</v>
      </c>
      <c r="G139" s="2">
        <v>3.0</v>
      </c>
      <c r="I139" s="2" t="s">
        <v>17</v>
      </c>
    </row>
    <row r="140" ht="15.75" customHeight="1">
      <c r="A140" s="2" t="s">
        <v>351</v>
      </c>
      <c r="B140" s="2" t="s">
        <v>352</v>
      </c>
      <c r="D140" s="2" t="s">
        <v>353</v>
      </c>
      <c r="G140" s="2">
        <v>1.0</v>
      </c>
      <c r="H140" s="2">
        <v>1.0</v>
      </c>
      <c r="I140" s="2" t="s">
        <v>17</v>
      </c>
    </row>
    <row r="141" ht="15.75" customHeight="1">
      <c r="A141" s="2" t="s">
        <v>354</v>
      </c>
      <c r="B141" s="2" t="s">
        <v>355</v>
      </c>
      <c r="D141" s="2" t="s">
        <v>356</v>
      </c>
      <c r="E141" s="2">
        <v>5.0</v>
      </c>
      <c r="G141" s="2">
        <v>5.0</v>
      </c>
      <c r="H141" s="2">
        <v>2.0</v>
      </c>
      <c r="K141" s="2">
        <v>12.0</v>
      </c>
    </row>
    <row r="142" ht="15.75" customHeight="1">
      <c r="A142" s="2" t="s">
        <v>357</v>
      </c>
      <c r="B142" s="2" t="s">
        <v>358</v>
      </c>
      <c r="D142" s="2" t="s">
        <v>359</v>
      </c>
      <c r="E142" s="2">
        <v>2.0</v>
      </c>
      <c r="G142" s="2">
        <v>6.0</v>
      </c>
      <c r="H142" s="2">
        <v>3.0</v>
      </c>
    </row>
    <row r="143" ht="15.75" customHeight="1">
      <c r="A143" s="2" t="s">
        <v>360</v>
      </c>
      <c r="B143" s="2" t="s">
        <v>361</v>
      </c>
      <c r="D143" s="2" t="s">
        <v>362</v>
      </c>
      <c r="E143" s="2">
        <v>1.0</v>
      </c>
      <c r="G143" s="2">
        <v>7.0</v>
      </c>
      <c r="H143" s="2">
        <v>5.0</v>
      </c>
    </row>
    <row r="144" ht="15.75" customHeight="1">
      <c r="A144" s="2" t="s">
        <v>363</v>
      </c>
      <c r="B144" s="2" t="s">
        <v>364</v>
      </c>
      <c r="D144" s="2" t="s">
        <v>365</v>
      </c>
      <c r="E144" s="2">
        <v>6.5</v>
      </c>
      <c r="F144" s="2">
        <v>4.5</v>
      </c>
      <c r="G144" s="2">
        <v>0.0</v>
      </c>
      <c r="K144" s="2">
        <v>12.0</v>
      </c>
    </row>
    <row r="145" ht="15.75" customHeight="1">
      <c r="A145" s="2" t="s">
        <v>366</v>
      </c>
      <c r="B145" s="2" t="s">
        <v>367</v>
      </c>
      <c r="D145" s="2" t="s">
        <v>368</v>
      </c>
      <c r="G145" s="2">
        <v>0.0</v>
      </c>
    </row>
    <row r="146" ht="15.75" customHeight="1">
      <c r="A146" s="2" t="s">
        <v>369</v>
      </c>
      <c r="B146" s="2" t="s">
        <v>370</v>
      </c>
      <c r="D146" s="2" t="s">
        <v>371</v>
      </c>
      <c r="G146" s="2">
        <v>0.0</v>
      </c>
      <c r="K146" s="2">
        <v>12.0</v>
      </c>
    </row>
    <row r="147" ht="15.75" customHeight="1">
      <c r="A147" s="2" t="s">
        <v>372</v>
      </c>
      <c r="B147" s="2" t="s">
        <v>373</v>
      </c>
      <c r="D147" s="2" t="s">
        <v>374</v>
      </c>
      <c r="G147" s="2">
        <v>0.0</v>
      </c>
      <c r="I147" s="2" t="s">
        <v>17</v>
      </c>
      <c r="K147" s="2">
        <v>24.0</v>
      </c>
    </row>
    <row r="148" ht="15.75" customHeight="1">
      <c r="A148" s="2" t="s">
        <v>375</v>
      </c>
      <c r="B148" s="2" t="s">
        <v>376</v>
      </c>
      <c r="D148" s="2" t="s">
        <v>377</v>
      </c>
      <c r="G148" s="2">
        <v>0.0</v>
      </c>
      <c r="I148" s="2" t="s">
        <v>17</v>
      </c>
      <c r="K148" s="2">
        <v>24.0</v>
      </c>
    </row>
    <row r="149" ht="15.75" customHeight="1">
      <c r="A149" s="2" t="s">
        <v>378</v>
      </c>
      <c r="B149" s="2" t="s">
        <v>379</v>
      </c>
      <c r="D149" s="2" t="s">
        <v>380</v>
      </c>
      <c r="G149" s="2">
        <v>0.0</v>
      </c>
      <c r="I149" s="2" t="s">
        <v>17</v>
      </c>
      <c r="K149" s="2">
        <v>24.0</v>
      </c>
    </row>
    <row r="150" ht="15.75" customHeight="1">
      <c r="A150" s="2"/>
      <c r="B150" s="2"/>
      <c r="D150" s="2"/>
      <c r="G150" s="2"/>
      <c r="H150" s="2"/>
    </row>
    <row r="151" ht="15.75" customHeight="1">
      <c r="A151" s="2" t="s">
        <v>381</v>
      </c>
      <c r="B151" s="2" t="s">
        <v>382</v>
      </c>
      <c r="D151" s="2" t="s">
        <v>383</v>
      </c>
      <c r="G151" s="2">
        <v>0.0</v>
      </c>
    </row>
    <row r="152" ht="15.75" customHeight="1">
      <c r="A152" s="2" t="s">
        <v>384</v>
      </c>
      <c r="B152" s="2" t="s">
        <v>385</v>
      </c>
      <c r="D152" s="2" t="s">
        <v>386</v>
      </c>
      <c r="G152" s="2">
        <v>0.0</v>
      </c>
      <c r="I152" s="2" t="s">
        <v>17</v>
      </c>
      <c r="K152" s="2">
        <v>24.0</v>
      </c>
    </row>
    <row r="153" ht="15.75" customHeight="1">
      <c r="A153" s="2" t="s">
        <v>387</v>
      </c>
      <c r="B153" s="2" t="s">
        <v>388</v>
      </c>
      <c r="D153" s="2" t="s">
        <v>389</v>
      </c>
      <c r="G153" s="2">
        <v>0.0</v>
      </c>
    </row>
    <row r="154" ht="15.75" customHeight="1">
      <c r="A154" s="2" t="s">
        <v>390</v>
      </c>
      <c r="B154" s="2" t="s">
        <v>391</v>
      </c>
      <c r="D154" s="2" t="s">
        <v>392</v>
      </c>
      <c r="G154" s="2">
        <v>0.0</v>
      </c>
    </row>
    <row r="155" ht="15.75" customHeight="1">
      <c r="A155" s="2" t="s">
        <v>393</v>
      </c>
      <c r="B155" s="2" t="s">
        <v>394</v>
      </c>
      <c r="D155" s="2" t="s">
        <v>395</v>
      </c>
      <c r="E155" s="2">
        <v>5.0</v>
      </c>
      <c r="G155" s="2">
        <v>5.0</v>
      </c>
    </row>
    <row r="156" ht="15.75" customHeight="1">
      <c r="A156" s="2" t="s">
        <v>396</v>
      </c>
      <c r="B156" s="2" t="s">
        <v>397</v>
      </c>
      <c r="D156" s="2" t="s">
        <v>398</v>
      </c>
      <c r="G156" s="2">
        <v>0.0</v>
      </c>
      <c r="H156" s="2">
        <v>1.0</v>
      </c>
      <c r="K156" s="2">
        <v>12.0</v>
      </c>
    </row>
    <row r="157" ht="15.75" customHeight="1">
      <c r="A157" s="2" t="s">
        <v>399</v>
      </c>
      <c r="B157" s="2" t="s">
        <v>400</v>
      </c>
      <c r="D157" s="2" t="s">
        <v>401</v>
      </c>
      <c r="G157" s="2">
        <v>0.0</v>
      </c>
    </row>
    <row r="158" ht="15.75" customHeight="1">
      <c r="A158" s="2" t="s">
        <v>402</v>
      </c>
      <c r="B158" s="2" t="s">
        <v>403</v>
      </c>
      <c r="D158" s="2" t="s">
        <v>404</v>
      </c>
      <c r="G158" s="2">
        <v>0.0</v>
      </c>
    </row>
    <row r="159" ht="15.75" customHeight="1">
      <c r="A159" s="2" t="s">
        <v>405</v>
      </c>
      <c r="B159" s="2" t="s">
        <v>406</v>
      </c>
      <c r="D159" s="2" t="s">
        <v>407</v>
      </c>
      <c r="G159" s="2">
        <v>0.0</v>
      </c>
      <c r="K159" s="2">
        <v>24.0</v>
      </c>
    </row>
    <row r="160" ht="15.75" customHeight="1">
      <c r="A160" s="2" t="s">
        <v>408</v>
      </c>
      <c r="B160" s="2" t="s">
        <v>409</v>
      </c>
      <c r="D160" s="2" t="s">
        <v>410</v>
      </c>
      <c r="G160" s="2">
        <v>0.0</v>
      </c>
      <c r="I160" s="2" t="s">
        <v>205</v>
      </c>
      <c r="K160" s="2">
        <v>18.0</v>
      </c>
    </row>
    <row r="161" ht="15.75" customHeight="1">
      <c r="A161" s="2" t="s">
        <v>411</v>
      </c>
      <c r="B161" s="2" t="s">
        <v>412</v>
      </c>
      <c r="D161" s="2" t="s">
        <v>413</v>
      </c>
      <c r="G161" s="2">
        <v>0.0</v>
      </c>
      <c r="K161" s="2">
        <v>15.0</v>
      </c>
    </row>
    <row r="162" ht="15.75" customHeight="1">
      <c r="A162" s="2" t="s">
        <v>414</v>
      </c>
      <c r="B162" s="2" t="s">
        <v>415</v>
      </c>
      <c r="D162" s="2" t="s">
        <v>416</v>
      </c>
      <c r="G162" s="2">
        <v>0.0</v>
      </c>
      <c r="K162" s="2">
        <v>24.0</v>
      </c>
    </row>
    <row r="163" ht="15.75" customHeight="1">
      <c r="A163" s="2" t="s">
        <v>417</v>
      </c>
      <c r="B163" s="2" t="s">
        <v>400</v>
      </c>
      <c r="D163" s="2" t="s">
        <v>418</v>
      </c>
      <c r="G163" s="2">
        <v>0.0</v>
      </c>
      <c r="K163" s="2">
        <v>0.0</v>
      </c>
    </row>
    <row r="164" ht="15.75" customHeight="1">
      <c r="A164" s="2" t="s">
        <v>419</v>
      </c>
      <c r="B164" s="2" t="s">
        <v>420</v>
      </c>
      <c r="D164" s="2" t="s">
        <v>421</v>
      </c>
      <c r="E164" s="2">
        <v>5.0</v>
      </c>
      <c r="G164" s="2">
        <v>5.0</v>
      </c>
      <c r="I164" s="2" t="s">
        <v>218</v>
      </c>
      <c r="K164" s="2">
        <v>15.0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422</v>
      </c>
      <c r="B1" s="2" t="s">
        <v>423</v>
      </c>
      <c r="C1" s="2" t="s">
        <v>424</v>
      </c>
      <c r="D1" s="2" t="s">
        <v>425</v>
      </c>
    </row>
    <row r="2">
      <c r="A2" s="3" t="str">
        <f>IFERROR(__xludf.DUMMYFUNCTION("FILTER(Items!A2:A999,Items!A2:A999&lt;&gt;"""")"),"0087")</f>
        <v>0087</v>
      </c>
      <c r="B2" s="3" t="str">
        <f t="array" ref="B2:B999">IF(A2:A999="","",XLOOKUP(A2:A999,Items!A:A,Items!B:B,""))</f>
        <v>mr.bite strike</v>
      </c>
      <c r="C2" s="3" t="str">
        <f t="array" ref="C2:C999">IF(B2:B999="","",LOWER(TRIM(B2:B999)))</f>
        <v>mr.bite strike</v>
      </c>
      <c r="D2" s="3" t="str">
        <f>IFERROR(__xludf.DUMMYFUNCTION("ARRAYFORMULA(IF(C2:C999="""","""",REGEXREPLACE(C2:C999,""[^a-z0-9]"","""")))"),"mrbitestrike")</f>
        <v>mrbitestrike</v>
      </c>
      <c r="E2" s="3" t="str">
        <f t="array" ref="E2:E999">IF(D2:D999="","",
IFERROR(
XLOOKUP(D2:D999,VMS_Products_Helper!D:D,VMS_Products_Helper!B:B),
""
))</f>
        <v/>
      </c>
    </row>
    <row r="3">
      <c r="A3" s="3" t="str">
        <f>IFERROR(__xludf.DUMMYFUNCTION("""COMPUTED_VALUE"""),"0086")</f>
        <v>0086</v>
      </c>
      <c r="B3" s="3" t="s">
        <v>15</v>
      </c>
      <c r="C3" s="3" t="s">
        <v>426</v>
      </c>
      <c r="D3" s="3" t="str">
        <f>IFERROR(__xludf.DUMMYFUNCTION("""COMPUTED_VALUE"""),"mrbeast")</f>
        <v>mrbeast</v>
      </c>
      <c r="E3" s="3" t="s">
        <v>427</v>
      </c>
    </row>
    <row r="4">
      <c r="A4" s="3" t="str">
        <f>IFERROR(__xludf.DUMMYFUNCTION("""COMPUTED_VALUE"""),"0083")</f>
        <v>0083</v>
      </c>
      <c r="B4" s="3" t="s">
        <v>19</v>
      </c>
      <c r="C4" s="3" t="s">
        <v>428</v>
      </c>
      <c r="D4" s="3" t="str">
        <f>IFERROR(__xludf.DUMMYFUNCTION("""COMPUTED_VALUE"""),"doritosreal")</f>
        <v>doritosreal</v>
      </c>
      <c r="E4" s="3" t="s">
        <v>427</v>
      </c>
    </row>
    <row r="5">
      <c r="A5" s="3" t="str">
        <f>IFERROR(__xludf.DUMMYFUNCTION("""COMPUTED_VALUE"""),"0082")</f>
        <v>0082</v>
      </c>
      <c r="B5" s="3" t="s">
        <v>21</v>
      </c>
      <c r="C5" s="3" t="s">
        <v>429</v>
      </c>
      <c r="D5" s="3" t="str">
        <f>IFERROR(__xludf.DUMMYFUNCTION("""COMPUTED_VALUE"""),"lsuntop")</f>
        <v>lsuntop</v>
      </c>
      <c r="E5" s="3" t="s">
        <v>427</v>
      </c>
    </row>
    <row r="6">
      <c r="A6" s="3" t="str">
        <f>IFERROR(__xludf.DUMMYFUNCTION("""COMPUTED_VALUE"""),"0081")</f>
        <v>0081</v>
      </c>
      <c r="B6" s="3" t="s">
        <v>24</v>
      </c>
      <c r="C6" s="3" t="s">
        <v>430</v>
      </c>
      <c r="D6" s="3" t="str">
        <f>IFERROR(__xludf.DUMMYFUNCTION("""COMPUTED_VALUE"""),"smsm")</f>
        <v>smsm</v>
      </c>
      <c r="E6" s="3" t="s">
        <v>427</v>
      </c>
    </row>
    <row r="7">
      <c r="A7" s="3" t="str">
        <f>IFERROR(__xludf.DUMMYFUNCTION("""COMPUTED_VALUE"""),"0080")</f>
        <v>0080</v>
      </c>
      <c r="B7" s="3" t="s">
        <v>26</v>
      </c>
      <c r="C7" s="3" t="s">
        <v>431</v>
      </c>
      <c r="D7" s="3" t="str">
        <f>IFERROR(__xludf.DUMMYFUNCTION("""COMPUTED_VALUE"""),"yasminpenuts")</f>
        <v>yasminpenuts</v>
      </c>
      <c r="E7" s="3" t="s">
        <v>427</v>
      </c>
    </row>
    <row r="8">
      <c r="A8" s="3" t="str">
        <f>IFERROR(__xludf.DUMMYFUNCTION("""COMPUTED_VALUE"""),"0079")</f>
        <v>0079</v>
      </c>
      <c r="B8" s="3" t="s">
        <v>28</v>
      </c>
      <c r="C8" s="3" t="s">
        <v>432</v>
      </c>
      <c r="D8" s="3" t="str">
        <f>IFERROR(__xludf.DUMMYFUNCTION("""COMPUTED_VALUE"""),"yasminalmonds")</f>
        <v>yasminalmonds</v>
      </c>
      <c r="E8" s="3" t="s">
        <v>427</v>
      </c>
    </row>
    <row r="9">
      <c r="A9" s="3" t="str">
        <f>IFERROR(__xludf.DUMMYFUNCTION("""COMPUTED_VALUE"""),"0078")</f>
        <v>0078</v>
      </c>
      <c r="B9" s="3" t="s">
        <v>30</v>
      </c>
      <c r="C9" s="3" t="s">
        <v>433</v>
      </c>
      <c r="D9" s="3" t="str">
        <f>IFERROR(__xludf.DUMMYFUNCTION("""COMPUTED_VALUE"""),"mulinocookis")</f>
        <v>mulinocookis</v>
      </c>
      <c r="E9" s="3" t="s">
        <v>427</v>
      </c>
    </row>
    <row r="10">
      <c r="A10" s="3" t="str">
        <f>IFERROR(__xludf.DUMMYFUNCTION("""COMPUTED_VALUE"""),"0077")</f>
        <v>0077</v>
      </c>
      <c r="B10" s="3" t="s">
        <v>32</v>
      </c>
      <c r="C10" s="3" t="s">
        <v>434</v>
      </c>
      <c r="D10" s="3" t="str">
        <f>IFERROR(__xludf.DUMMYFUNCTION("""COMPUTED_VALUE"""),"saminsa")</f>
        <v>saminsa</v>
      </c>
      <c r="E10" s="3" t="s">
        <v>427</v>
      </c>
    </row>
    <row r="11">
      <c r="A11" s="3" t="str">
        <f>IFERROR(__xludf.DUMMYFUNCTION("""COMPUTED_VALUE"""),"0076")</f>
        <v>0076</v>
      </c>
      <c r="B11" s="3" t="s">
        <v>34</v>
      </c>
      <c r="C11" s="3" t="s">
        <v>435</v>
      </c>
      <c r="D11" s="3" t="str">
        <f>IFERROR(__xludf.DUMMYFUNCTION("""COMPUTED_VALUE"""),"korenindomie")</f>
        <v>korenindomie</v>
      </c>
      <c r="E11" s="3" t="s">
        <v>427</v>
      </c>
    </row>
    <row r="12">
      <c r="A12" s="3" t="str">
        <f>IFERROR(__xludf.DUMMYFUNCTION("""COMPUTED_VALUE"""),"0075")</f>
        <v>0075</v>
      </c>
      <c r="B12" s="3" t="s">
        <v>37</v>
      </c>
      <c r="C12" s="3" t="s">
        <v>436</v>
      </c>
      <c r="D12" s="3" t="str">
        <f>IFERROR(__xludf.DUMMYFUNCTION("""COMPUTED_VALUE"""),"twixex")</f>
        <v>twixex</v>
      </c>
      <c r="E12" s="3" t="s">
        <v>427</v>
      </c>
    </row>
    <row r="13">
      <c r="A13" s="3" t="str">
        <f>IFERROR(__xludf.DUMMYFUNCTION("""COMPUTED_VALUE"""),"0074")</f>
        <v>0074</v>
      </c>
      <c r="B13" s="3" t="s">
        <v>39</v>
      </c>
      <c r="C13" s="3" t="s">
        <v>437</v>
      </c>
      <c r="D13" s="3" t="str">
        <f>IFERROR(__xludf.DUMMYFUNCTION("""COMPUTED_VALUE"""),"hipro")</f>
        <v>hipro</v>
      </c>
      <c r="E13" s="3" t="s">
        <v>427</v>
      </c>
    </row>
    <row r="14">
      <c r="A14" s="3" t="str">
        <f>IFERROR(__xludf.DUMMYFUNCTION("""COMPUTED_VALUE"""),"0073")</f>
        <v>0073</v>
      </c>
      <c r="B14" s="3" t="s">
        <v>42</v>
      </c>
      <c r="C14" s="3" t="s">
        <v>438</v>
      </c>
      <c r="D14" s="3" t="str">
        <f>IFERROR(__xludf.DUMMYFUNCTION("""COMPUTED_VALUE"""),"rani")</f>
        <v>rani</v>
      </c>
      <c r="E14" s="3" t="s">
        <v>427</v>
      </c>
    </row>
    <row r="15">
      <c r="A15" s="3" t="str">
        <f>IFERROR(__xludf.DUMMYFUNCTION("""COMPUTED_VALUE"""),"0072")</f>
        <v>0072</v>
      </c>
      <c r="B15" s="3" t="s">
        <v>45</v>
      </c>
      <c r="C15" s="3" t="s">
        <v>439</v>
      </c>
      <c r="D15" s="3" t="str">
        <f>IFERROR(__xludf.DUMMYFUNCTION("""COMPUTED_VALUE"""),"roshetto")</f>
        <v>roshetto</v>
      </c>
      <c r="E15" s="3" t="s">
        <v>427</v>
      </c>
    </row>
    <row r="16">
      <c r="A16" s="3" t="str">
        <f>IFERROR(__xludf.DUMMYFUNCTION("""COMPUTED_VALUE"""),"0071")</f>
        <v>0071</v>
      </c>
      <c r="B16" s="3" t="s">
        <v>47</v>
      </c>
      <c r="C16" s="3" t="s">
        <v>440</v>
      </c>
      <c r="D16" s="3" t="str">
        <f>IFERROR(__xludf.DUMMYFUNCTION("""COMPUTED_VALUE"""),"mrcrunchringgo")</f>
        <v>mrcrunchringgo</v>
      </c>
      <c r="E16" s="3" t="s">
        <v>427</v>
      </c>
    </row>
    <row r="17">
      <c r="A17" s="3" t="str">
        <f>IFERROR(__xludf.DUMMYFUNCTION("""COMPUTED_VALUE"""),"0070")</f>
        <v>0070</v>
      </c>
      <c r="B17" s="3" t="s">
        <v>50</v>
      </c>
      <c r="C17" s="3" t="s">
        <v>441</v>
      </c>
      <c r="D17" s="3" t="str">
        <f>IFERROR(__xludf.DUMMYFUNCTION("""COMPUTED_VALUE"""),"indomie")</f>
        <v>indomie</v>
      </c>
      <c r="E17" s="3" t="s">
        <v>427</v>
      </c>
    </row>
    <row r="18">
      <c r="A18" s="3" t="str">
        <f>IFERROR(__xludf.DUMMYFUNCTION("""COMPUTED_VALUE"""),"0069")</f>
        <v>0069</v>
      </c>
      <c r="B18" s="3" t="s">
        <v>53</v>
      </c>
      <c r="C18" s="3" t="s">
        <v>442</v>
      </c>
      <c r="D18" s="3" t="str">
        <f>IFERROR(__xludf.DUMMYFUNCTION("""COMPUTED_VALUE"""),"torabikacapp")</f>
        <v>torabikacapp</v>
      </c>
      <c r="E18" s="3" t="s">
        <v>427</v>
      </c>
    </row>
    <row r="19">
      <c r="A19" s="3" t="str">
        <f>IFERROR(__xludf.DUMMYFUNCTION("""COMPUTED_VALUE"""),"0067")</f>
        <v>0067</v>
      </c>
      <c r="B19" s="3" t="s">
        <v>55</v>
      </c>
      <c r="C19" s="3" t="s">
        <v>443</v>
      </c>
      <c r="D19" s="3" t="str">
        <f>IFERROR(__xludf.DUMMYFUNCTION("""COMPUTED_VALUE"""),"nuts")</f>
        <v>nuts</v>
      </c>
      <c r="E19" s="3" t="s">
        <v>427</v>
      </c>
    </row>
    <row r="20">
      <c r="A20" s="3" t="str">
        <f>IFERROR(__xludf.DUMMYFUNCTION("""COMPUTED_VALUE"""),"0065")</f>
        <v>0065</v>
      </c>
      <c r="B20" s="3" t="s">
        <v>57</v>
      </c>
      <c r="C20" s="3" t="s">
        <v>444</v>
      </c>
      <c r="D20" s="3" t="str">
        <f>IFERROR(__xludf.DUMMYFUNCTION("""COMPUTED_VALUE"""),"dallasjuice")</f>
        <v>dallasjuice</v>
      </c>
      <c r="E20" s="3" t="s">
        <v>427</v>
      </c>
    </row>
    <row r="21">
      <c r="A21" s="3" t="str">
        <f>IFERROR(__xludf.DUMMYFUNCTION("""COMPUTED_VALUE"""),"0064")</f>
        <v>0064</v>
      </c>
      <c r="B21" s="3" t="s">
        <v>60</v>
      </c>
      <c r="C21" s="3" t="s">
        <v>445</v>
      </c>
      <c r="D21" s="3" t="str">
        <f>IFERROR(__xludf.DUMMYFUNCTION("""COMPUTED_VALUE"""),"suntopalmaraistrawberry")</f>
        <v>suntopalmaraistrawberry</v>
      </c>
      <c r="E21" s="3" t="s">
        <v>427</v>
      </c>
    </row>
    <row r="22">
      <c r="A22" s="3" t="str">
        <f>IFERROR(__xludf.DUMMYFUNCTION("""COMPUTED_VALUE"""),"0063")</f>
        <v>0063</v>
      </c>
      <c r="B22" s="3" t="s">
        <v>63</v>
      </c>
      <c r="C22" s="3" t="s">
        <v>446</v>
      </c>
      <c r="D22" s="3" t="str">
        <f>IFERROR(__xludf.DUMMYFUNCTION("""COMPUTED_VALUE"""),"popcornchocolate")</f>
        <v>popcornchocolate</v>
      </c>
      <c r="E22" s="3" t="s">
        <v>427</v>
      </c>
    </row>
    <row r="23">
      <c r="A23" s="3" t="str">
        <f>IFERROR(__xludf.DUMMYFUNCTION("""COMPUTED_VALUE"""),"0062")</f>
        <v>0062</v>
      </c>
      <c r="B23" s="3" t="s">
        <v>65</v>
      </c>
      <c r="C23" s="3" t="s">
        <v>447</v>
      </c>
      <c r="D23" s="3" t="str">
        <f>IFERROR(__xludf.DUMMYFUNCTION("""COMPUTED_VALUE"""),"jannaty")</f>
        <v>jannaty</v>
      </c>
      <c r="E23" s="3" t="s">
        <v>427</v>
      </c>
    </row>
    <row r="24">
      <c r="A24" s="3" t="str">
        <f>IFERROR(__xludf.DUMMYFUNCTION("""COMPUTED_VALUE"""),"0061")</f>
        <v>0061</v>
      </c>
      <c r="B24" s="3" t="s">
        <v>67</v>
      </c>
      <c r="C24" s="3" t="s">
        <v>448</v>
      </c>
      <c r="D24" s="3" t="str">
        <f>IFERROR(__xludf.DUMMYFUNCTION("""COMPUTED_VALUE"""),"prime")</f>
        <v>prime</v>
      </c>
      <c r="E24" s="3" t="s">
        <v>427</v>
      </c>
    </row>
    <row r="25">
      <c r="A25" s="3" t="str">
        <f>IFERROR(__xludf.DUMMYFUNCTION("""COMPUTED_VALUE"""),"0060")</f>
        <v>0060</v>
      </c>
      <c r="B25" s="3" t="s">
        <v>70</v>
      </c>
      <c r="C25" s="3" t="s">
        <v>70</v>
      </c>
      <c r="D25" s="3" t="str">
        <f>IFERROR(__xludf.DUMMYFUNCTION("""COMPUTED_VALUE"""),"zigimarinatedpeanuts")</f>
        <v>zigimarinatedpeanuts</v>
      </c>
      <c r="E25" s="3" t="s">
        <v>427</v>
      </c>
    </row>
    <row r="26">
      <c r="A26" s="3" t="str">
        <f>IFERROR(__xludf.DUMMYFUNCTION("""COMPUTED_VALUE"""),"0059")</f>
        <v>0059</v>
      </c>
      <c r="B26" s="3" t="s">
        <v>72</v>
      </c>
      <c r="C26" s="3" t="s">
        <v>449</v>
      </c>
      <c r="D26" s="3" t="str">
        <f>IFERROR(__xludf.DUMMYFUNCTION("""COMPUTED_VALUE"""),"torendarkchocolate")</f>
        <v>torendarkchocolate</v>
      </c>
      <c r="E26" s="3" t="s">
        <v>427</v>
      </c>
    </row>
    <row r="27">
      <c r="A27" s="3" t="str">
        <f>IFERROR(__xludf.DUMMYFUNCTION("""COMPUTED_VALUE"""),"0058")</f>
        <v>0058</v>
      </c>
      <c r="B27" s="3" t="s">
        <v>74</v>
      </c>
      <c r="C27" s="3" t="s">
        <v>450</v>
      </c>
      <c r="D27" s="3" t="str">
        <f>IFERROR(__xludf.DUMMYFUNCTION("""COMPUTED_VALUE"""),"todaychocolate")</f>
        <v>todaychocolate</v>
      </c>
      <c r="E27" s="3" t="s">
        <v>427</v>
      </c>
    </row>
    <row r="28">
      <c r="A28" s="3" t="str">
        <f>IFERROR(__xludf.DUMMYFUNCTION("""COMPUTED_VALUE"""),"0057")</f>
        <v>0057</v>
      </c>
      <c r="B28" s="3" t="s">
        <v>76</v>
      </c>
      <c r="C28" s="3" t="s">
        <v>76</v>
      </c>
      <c r="D28" s="3" t="str">
        <f>IFERROR(__xludf.DUMMYFUNCTION("""COMPUTED_VALUE"""),"ifruitjuice")</f>
        <v>ifruitjuice</v>
      </c>
      <c r="E28" s="3" t="s">
        <v>427</v>
      </c>
    </row>
    <row r="29">
      <c r="A29" s="3" t="str">
        <f>IFERROR(__xludf.DUMMYFUNCTION("""COMPUTED_VALUE"""),"0056")</f>
        <v>0056</v>
      </c>
      <c r="B29" s="3" t="s">
        <v>78</v>
      </c>
      <c r="C29" s="3" t="s">
        <v>451</v>
      </c>
      <c r="D29" s="3" t="str">
        <f>IFERROR(__xludf.DUMMYFUNCTION("""COMPUTED_VALUE"""),"bourbonbiscuit")</f>
        <v>bourbonbiscuit</v>
      </c>
      <c r="E29" s="3" t="s">
        <v>427</v>
      </c>
    </row>
    <row r="30">
      <c r="A30" s="3" t="str">
        <f>IFERROR(__xludf.DUMMYFUNCTION("""COMPUTED_VALUE"""),"0055")</f>
        <v>0055</v>
      </c>
      <c r="B30" s="3" t="s">
        <v>81</v>
      </c>
      <c r="C30" s="3" t="s">
        <v>452</v>
      </c>
      <c r="D30" s="3" t="str">
        <f>IFERROR(__xludf.DUMMYFUNCTION("""COMPUTED_VALUE"""),"tropia")</f>
        <v>tropia</v>
      </c>
      <c r="E30" s="3" t="s">
        <v>427</v>
      </c>
    </row>
    <row r="31">
      <c r="A31" s="3" t="str">
        <f>IFERROR(__xludf.DUMMYFUNCTION("""COMPUTED_VALUE"""),"0054")</f>
        <v>0054</v>
      </c>
      <c r="B31" s="3" t="s">
        <v>83</v>
      </c>
      <c r="C31" s="3" t="s">
        <v>453</v>
      </c>
      <c r="D31" s="3" t="str">
        <f>IFERROR(__xludf.DUMMYFUNCTION("""COMPUTED_VALUE"""),"mirindaapple")</f>
        <v>mirindaapple</v>
      </c>
      <c r="E31" s="3" t="s">
        <v>427</v>
      </c>
    </row>
    <row r="32">
      <c r="A32" s="3" t="str">
        <f>IFERROR(__xludf.DUMMYFUNCTION("""COMPUTED_VALUE"""),"0053")</f>
        <v>0053</v>
      </c>
      <c r="B32" s="3" t="s">
        <v>86</v>
      </c>
      <c r="C32" s="3" t="s">
        <v>86</v>
      </c>
      <c r="D32" s="3" t="str">
        <f>IFERROR(__xludf.DUMMYFUNCTION("""COMPUTED_VALUE"""),"7up")</f>
        <v>7up</v>
      </c>
      <c r="E32" s="3" t="s">
        <v>427</v>
      </c>
    </row>
    <row r="33">
      <c r="A33" s="3" t="str">
        <f>IFERROR(__xludf.DUMMYFUNCTION("""COMPUTED_VALUE"""),"0052")</f>
        <v>0052</v>
      </c>
      <c r="B33" s="3" t="s">
        <v>89</v>
      </c>
      <c r="C33" s="3" t="s">
        <v>454</v>
      </c>
      <c r="D33" s="3" t="str">
        <f>IFERROR(__xludf.DUMMYFUNCTION("""COMPUTED_VALUE"""),"mrcrunchcheese")</f>
        <v>mrcrunchcheese</v>
      </c>
      <c r="E33" s="3" t="s">
        <v>427</v>
      </c>
    </row>
    <row r="34">
      <c r="A34" s="3" t="str">
        <f>IFERROR(__xludf.DUMMYFUNCTION("""COMPUTED_VALUE"""),"0051")</f>
        <v>0051</v>
      </c>
      <c r="B34" s="3" t="s">
        <v>92</v>
      </c>
      <c r="C34" s="3" t="s">
        <v>455</v>
      </c>
      <c r="D34" s="3" t="str">
        <f>IFERROR(__xludf.DUMMYFUNCTION("""COMPUTED_VALUE"""),"justodrink")</f>
        <v>justodrink</v>
      </c>
      <c r="E34" s="3" t="s">
        <v>427</v>
      </c>
    </row>
    <row r="35">
      <c r="A35" s="3" t="str">
        <f>IFERROR(__xludf.DUMMYFUNCTION("""COMPUTED_VALUE"""),"0050")</f>
        <v>0050</v>
      </c>
      <c r="B35" s="3" t="s">
        <v>95</v>
      </c>
      <c r="C35" s="3" t="s">
        <v>456</v>
      </c>
      <c r="D35" s="3" t="str">
        <f>IFERROR(__xludf.DUMMYFUNCTION("""COMPUTED_VALUE"""),"ivsarwater")</f>
        <v>ivsarwater</v>
      </c>
      <c r="E35" s="3" t="s">
        <v>427</v>
      </c>
    </row>
    <row r="36">
      <c r="A36" s="3" t="str">
        <f>IFERROR(__xludf.DUMMYFUNCTION("""COMPUTED_VALUE"""),"0049")</f>
        <v>0049</v>
      </c>
      <c r="B36" s="3" t="s">
        <v>97</v>
      </c>
      <c r="C36" s="3" t="s">
        <v>457</v>
      </c>
      <c r="D36" s="3" t="str">
        <f>IFERROR(__xludf.DUMMYFUNCTION("""COMPUTED_VALUE"""),"haribo")</f>
        <v>haribo</v>
      </c>
      <c r="E36" s="3" t="s">
        <v>427</v>
      </c>
    </row>
    <row r="37">
      <c r="A37" s="3" t="str">
        <f>IFERROR(__xludf.DUMMYFUNCTION("""COMPUTED_VALUE"""),"0048")</f>
        <v>0048</v>
      </c>
      <c r="B37" s="3" t="s">
        <v>100</v>
      </c>
      <c r="C37" s="3" t="s">
        <v>458</v>
      </c>
      <c r="D37" s="3" t="str">
        <f>IFERROR(__xludf.DUMMYFUNCTION("""COMPUTED_VALUE"""),"kinderbueno1stick")</f>
        <v>kinderbueno1stick</v>
      </c>
      <c r="E37" s="3" t="s">
        <v>427</v>
      </c>
    </row>
    <row r="38">
      <c r="A38" s="3" t="str">
        <f>IFERROR(__xludf.DUMMYFUNCTION("""COMPUTED_VALUE"""),"0046")</f>
        <v>0046</v>
      </c>
      <c r="B38" s="3" t="s">
        <v>102</v>
      </c>
      <c r="C38" s="3" t="s">
        <v>459</v>
      </c>
      <c r="D38" s="3" t="str">
        <f>IFERROR(__xludf.DUMMYFUNCTION("""COMPUTED_VALUE"""),"chocolatedrink")</f>
        <v>chocolatedrink</v>
      </c>
      <c r="E38" s="3" t="s">
        <v>427</v>
      </c>
    </row>
    <row r="39">
      <c r="A39" s="3" t="str">
        <f>IFERROR(__xludf.DUMMYFUNCTION("""COMPUTED_VALUE"""),"0045")</f>
        <v>0045</v>
      </c>
      <c r="B39" s="3" t="s">
        <v>104</v>
      </c>
      <c r="C39" s="3" t="s">
        <v>460</v>
      </c>
      <c r="D39" s="3" t="str">
        <f>IFERROR(__xludf.DUMMYFUNCTION("""COMPUTED_VALUE"""),"naturalgrape")</f>
        <v>naturalgrape</v>
      </c>
      <c r="E39" s="3" t="s">
        <v>427</v>
      </c>
    </row>
    <row r="40">
      <c r="A40" s="3" t="str">
        <f>IFERROR(__xludf.DUMMYFUNCTION("""COMPUTED_VALUE"""),"0044")</f>
        <v>0044</v>
      </c>
      <c r="B40" s="3" t="s">
        <v>106</v>
      </c>
      <c r="C40" s="3" t="s">
        <v>461</v>
      </c>
      <c r="D40" s="3" t="str">
        <f>IFERROR(__xludf.DUMMYFUNCTION("""COMPUTED_VALUE"""),"caserjuice")</f>
        <v>caserjuice</v>
      </c>
      <c r="E40" s="3" t="s">
        <v>427</v>
      </c>
    </row>
    <row r="41">
      <c r="A41" s="3" t="str">
        <f>IFERROR(__xludf.DUMMYFUNCTION("""COMPUTED_VALUE"""),"0043")</f>
        <v>0043</v>
      </c>
      <c r="B41" s="3" t="s">
        <v>108</v>
      </c>
      <c r="C41" s="3" t="s">
        <v>462</v>
      </c>
      <c r="D41" s="3" t="str">
        <f>IFERROR(__xludf.DUMMYFUNCTION("""COMPUTED_VALUE"""),"mrcrunch")</f>
        <v>mrcrunch</v>
      </c>
      <c r="E41" s="3" t="s">
        <v>427</v>
      </c>
    </row>
    <row r="42">
      <c r="A42" s="3" t="str">
        <f>IFERROR(__xludf.DUMMYFUNCTION("""COMPUTED_VALUE"""),"0042")</f>
        <v>0042</v>
      </c>
      <c r="B42" s="3" t="s">
        <v>110</v>
      </c>
      <c r="C42" s="3" t="s">
        <v>463</v>
      </c>
      <c r="D42" s="3" t="str">
        <f>IFERROR(__xludf.DUMMYFUNCTION("""COMPUTED_VALUE"""),"green")</f>
        <v>green</v>
      </c>
      <c r="E42" s="3" t="s">
        <v>427</v>
      </c>
    </row>
    <row r="43">
      <c r="A43" s="3" t="str">
        <f>IFERROR(__xludf.DUMMYFUNCTION("""COMPUTED_VALUE"""),"0041")</f>
        <v>0041</v>
      </c>
      <c r="B43" s="3" t="s">
        <v>113</v>
      </c>
      <c r="C43" s="3" t="s">
        <v>464</v>
      </c>
      <c r="D43" s="3" t="str">
        <f>IFERROR(__xludf.DUMMYFUNCTION("""COMPUTED_VALUE"""),"pretzels")</f>
        <v>pretzels</v>
      </c>
      <c r="E43" s="3" t="s">
        <v>427</v>
      </c>
    </row>
    <row r="44">
      <c r="A44" s="3" t="str">
        <f>IFERROR(__xludf.DUMMYFUNCTION("""COMPUTED_VALUE"""),"0040")</f>
        <v>0040</v>
      </c>
      <c r="B44" s="3" t="s">
        <v>116</v>
      </c>
      <c r="C44" s="3" t="s">
        <v>465</v>
      </c>
      <c r="D44" s="3" t="str">
        <f>IFERROR(__xludf.DUMMYFUNCTION("""COMPUTED_VALUE"""),"kitkat")</f>
        <v>kitkat</v>
      </c>
      <c r="E44" s="3" t="s">
        <v>427</v>
      </c>
    </row>
    <row r="45">
      <c r="A45" s="3" t="str">
        <f>IFERROR(__xludf.DUMMYFUNCTION("""COMPUTED_VALUE"""),"0039")</f>
        <v>0039</v>
      </c>
      <c r="B45" s="3" t="s">
        <v>119</v>
      </c>
      <c r="C45" s="3" t="s">
        <v>466</v>
      </c>
      <c r="D45" s="3" t="str">
        <f>IFERROR(__xludf.DUMMYFUNCTION("""COMPUTED_VALUE"""),"feinybiscuits")</f>
        <v>feinybiscuits</v>
      </c>
      <c r="E45" s="3" t="s">
        <v>427</v>
      </c>
    </row>
    <row r="46">
      <c r="A46" s="3" t="str">
        <f>IFERROR(__xludf.DUMMYFUNCTION("""COMPUTED_VALUE"""),"0038")</f>
        <v>0038</v>
      </c>
      <c r="B46" s="3" t="s">
        <v>121</v>
      </c>
      <c r="C46" s="3" t="s">
        <v>467</v>
      </c>
      <c r="D46" s="3" t="str">
        <f>IFERROR(__xludf.DUMMYFUNCTION("""COMPUTED_VALUE"""),"lovitacookies")</f>
        <v>lovitacookies</v>
      </c>
      <c r="E46" s="3" t="s">
        <v>427</v>
      </c>
    </row>
    <row r="47">
      <c r="A47" s="3" t="str">
        <f>IFERROR(__xludf.DUMMYFUNCTION("""COMPUTED_VALUE"""),"0037")</f>
        <v>0037</v>
      </c>
      <c r="B47" s="3" t="s">
        <v>124</v>
      </c>
      <c r="C47" s="3" t="s">
        <v>468</v>
      </c>
      <c r="D47" s="3" t="str">
        <f>IFERROR(__xludf.DUMMYFUNCTION("""COMPUTED_VALUE"""),"digestive")</f>
        <v>digestive</v>
      </c>
      <c r="E47" s="3" t="s">
        <v>427</v>
      </c>
    </row>
    <row r="48">
      <c r="A48" s="3" t="str">
        <f>IFERROR(__xludf.DUMMYFUNCTION("""COMPUTED_VALUE"""),"0036")</f>
        <v>0036</v>
      </c>
      <c r="B48" s="3" t="s">
        <v>127</v>
      </c>
      <c r="C48" s="3" t="s">
        <v>469</v>
      </c>
      <c r="D48" s="3" t="str">
        <f>IFERROR(__xludf.DUMMYFUNCTION("""COMPUTED_VALUE"""),"kunuzjuice")</f>
        <v>kunuzjuice</v>
      </c>
      <c r="E48" s="3" t="s">
        <v>427</v>
      </c>
    </row>
    <row r="49">
      <c r="A49" s="3" t="str">
        <f>IFERROR(__xludf.DUMMYFUNCTION("""COMPUTED_VALUE"""),"0035")</f>
        <v>0035</v>
      </c>
      <c r="B49" s="3" t="s">
        <v>130</v>
      </c>
      <c r="C49" s="3" t="s">
        <v>470</v>
      </c>
      <c r="D49" s="3" t="str">
        <f>IFERROR(__xludf.DUMMYFUNCTION("""COMPUTED_VALUE"""),"sirma")</f>
        <v>sirma</v>
      </c>
      <c r="E49" s="3" t="s">
        <v>427</v>
      </c>
    </row>
    <row r="50">
      <c r="A50" s="3" t="str">
        <f>IFERROR(__xludf.DUMMYFUNCTION("""COMPUTED_VALUE"""),"0033")</f>
        <v>0033</v>
      </c>
      <c r="B50" s="3" t="s">
        <v>132</v>
      </c>
      <c r="C50" s="3" t="s">
        <v>471</v>
      </c>
      <c r="D50" s="3" t="str">
        <f>IFERROR(__xludf.DUMMYFUNCTION("""COMPUTED_VALUE"""),"corissantkaruzo")</f>
        <v>corissantkaruzo</v>
      </c>
      <c r="E50" s="3" t="s">
        <v>427</v>
      </c>
    </row>
    <row r="51">
      <c r="A51" s="3" t="str">
        <f>IFERROR(__xludf.DUMMYFUNCTION("""COMPUTED_VALUE"""),"0032")</f>
        <v>0032</v>
      </c>
      <c r="B51" s="3" t="s">
        <v>135</v>
      </c>
      <c r="C51" s="3" t="s">
        <v>472</v>
      </c>
      <c r="D51" s="3" t="str">
        <f>IFERROR(__xludf.DUMMYFUNCTION("""COMPUTED_VALUE"""),"suntopalmaraichocolate")</f>
        <v>suntopalmaraichocolate</v>
      </c>
      <c r="E51" s="3" t="s">
        <v>427</v>
      </c>
    </row>
    <row r="52">
      <c r="A52" s="3" t="str">
        <f>IFERROR(__xludf.DUMMYFUNCTION("""COMPUTED_VALUE"""),"0031")</f>
        <v>0031</v>
      </c>
      <c r="B52" s="3" t="s">
        <v>138</v>
      </c>
      <c r="C52" s="3" t="s">
        <v>473</v>
      </c>
      <c r="D52" s="3" t="str">
        <f>IFERROR(__xludf.DUMMYFUNCTION("""COMPUTED_VALUE"""),"rauchdrink")</f>
        <v>rauchdrink</v>
      </c>
      <c r="E52" s="3" t="s">
        <v>427</v>
      </c>
    </row>
    <row r="53">
      <c r="A53" s="3" t="str">
        <f>IFERROR(__xludf.DUMMYFUNCTION("""COMPUTED_VALUE"""),"0030")</f>
        <v>0030</v>
      </c>
      <c r="B53" s="3" t="s">
        <v>140</v>
      </c>
      <c r="C53" s="3" t="s">
        <v>474</v>
      </c>
      <c r="D53" s="3" t="str">
        <f>IFERROR(__xludf.DUMMYFUNCTION("""COMPUTED_VALUE"""),"mars")</f>
        <v>mars</v>
      </c>
      <c r="E53" s="3" t="s">
        <v>427</v>
      </c>
    </row>
    <row r="54">
      <c r="A54" s="3" t="str">
        <f>IFERROR(__xludf.DUMMYFUNCTION("""COMPUTED_VALUE"""),"0029")</f>
        <v>0029</v>
      </c>
      <c r="B54" s="3" t="s">
        <v>143</v>
      </c>
      <c r="C54" s="3" t="s">
        <v>475</v>
      </c>
      <c r="D54" s="3" t="str">
        <f>IFERROR(__xludf.DUMMYFUNCTION("""COMPUTED_VALUE"""),"pepsi")</f>
        <v>pepsi</v>
      </c>
      <c r="E54" s="3" t="s">
        <v>427</v>
      </c>
    </row>
    <row r="55">
      <c r="A55" s="3" t="str">
        <f>IFERROR(__xludf.DUMMYFUNCTION("""COMPUTED_VALUE"""),"0028")</f>
        <v>0028</v>
      </c>
      <c r="B55" s="3" t="s">
        <v>146</v>
      </c>
      <c r="C55" s="3" t="s">
        <v>476</v>
      </c>
      <c r="D55" s="3" t="str">
        <f>IFERROR(__xludf.DUMMYFUNCTION("""COMPUTED_VALUE"""),"snickers")</f>
        <v>snickers</v>
      </c>
      <c r="E55" s="3" t="s">
        <v>427</v>
      </c>
    </row>
    <row r="56">
      <c r="A56" s="3" t="str">
        <f>IFERROR(__xludf.DUMMYFUNCTION("""COMPUTED_VALUE"""),"0027")</f>
        <v>0027</v>
      </c>
      <c r="B56" s="3" t="s">
        <v>149</v>
      </c>
      <c r="C56" s="3" t="s">
        <v>477</v>
      </c>
      <c r="D56" s="3" t="str">
        <f>IFERROR(__xludf.DUMMYFUNCTION("""COMPUTED_VALUE"""),"gardena")</f>
        <v>gardena</v>
      </c>
      <c r="E56" s="3" t="s">
        <v>427</v>
      </c>
    </row>
    <row r="57">
      <c r="A57" s="3" t="str">
        <f>IFERROR(__xludf.DUMMYFUNCTION("""COMPUTED_VALUE"""),"0026")</f>
        <v>0026</v>
      </c>
      <c r="B57" s="3" t="s">
        <v>152</v>
      </c>
      <c r="C57" s="3" t="s">
        <v>478</v>
      </c>
      <c r="D57" s="3" t="str">
        <f>IFERROR(__xludf.DUMMYFUNCTION("""COMPUTED_VALUE"""),"bounty")</f>
        <v>bounty</v>
      </c>
      <c r="E57" s="3" t="s">
        <v>427</v>
      </c>
    </row>
    <row r="58">
      <c r="A58" s="3" t="str">
        <f>IFERROR(__xludf.DUMMYFUNCTION("""COMPUTED_VALUE"""),"0025")</f>
        <v>0025</v>
      </c>
      <c r="B58" s="3" t="s">
        <v>155</v>
      </c>
      <c r="C58" s="3" t="s">
        <v>479</v>
      </c>
      <c r="D58" s="3" t="str">
        <f>IFERROR(__xludf.DUMMYFUNCTION("""COMPUTED_VALUE"""),"twix")</f>
        <v>twix</v>
      </c>
      <c r="E58" s="3" t="s">
        <v>427</v>
      </c>
    </row>
    <row r="59">
      <c r="A59" s="3" t="str">
        <f>IFERROR(__xludf.DUMMYFUNCTION("""COMPUTED_VALUE"""),"0024")</f>
        <v>0024</v>
      </c>
      <c r="B59" s="3" t="s">
        <v>158</v>
      </c>
      <c r="C59" s="3" t="s">
        <v>158</v>
      </c>
      <c r="D59" s="3" t="str">
        <f>IFERROR(__xludf.DUMMYFUNCTION("""COMPUTED_VALUE"""),"kinderdelice")</f>
        <v>kinderdelice</v>
      </c>
      <c r="E59" s="3" t="s">
        <v>427</v>
      </c>
    </row>
    <row r="60">
      <c r="A60" s="3" t="str">
        <f>IFERROR(__xludf.DUMMYFUNCTION("""COMPUTED_VALUE"""),"0023")</f>
        <v>0023</v>
      </c>
      <c r="B60" s="3" t="s">
        <v>160</v>
      </c>
      <c r="C60" s="3" t="s">
        <v>480</v>
      </c>
      <c r="D60" s="3" t="str">
        <f>IFERROR(__xludf.DUMMYFUNCTION("""COMPUTED_VALUE"""),"freez")</f>
        <v>freez</v>
      </c>
      <c r="E60" s="3" t="s">
        <v>427</v>
      </c>
    </row>
    <row r="61">
      <c r="A61" s="3" t="str">
        <f>IFERROR(__xludf.DUMMYFUNCTION("""COMPUTED_VALUE"""),"0022")</f>
        <v>0022</v>
      </c>
      <c r="B61" s="3" t="s">
        <v>163</v>
      </c>
      <c r="C61" s="3" t="s">
        <v>163</v>
      </c>
      <c r="D61" s="3" t="str">
        <f>IFERROR(__xludf.DUMMYFUNCTION("""COMPUTED_VALUE"""),"bonart")</f>
        <v>bonart</v>
      </c>
      <c r="E61" s="3" t="s">
        <v>427</v>
      </c>
    </row>
    <row r="62">
      <c r="A62" s="3" t="str">
        <f>IFERROR(__xludf.DUMMYFUNCTION("""COMPUTED_VALUE"""),"0021")</f>
        <v>0021</v>
      </c>
      <c r="B62" s="3" t="s">
        <v>166</v>
      </c>
      <c r="C62" s="3" t="s">
        <v>481</v>
      </c>
      <c r="D62" s="3" t="str">
        <f>IFERROR(__xludf.DUMMYFUNCTION("""COMPUTED_VALUE"""),"laviva")</f>
        <v>laviva</v>
      </c>
      <c r="E62" s="3" t="s">
        <v>427</v>
      </c>
    </row>
    <row r="63">
      <c r="A63" s="3" t="str">
        <f>IFERROR(__xludf.DUMMYFUNCTION("""COMPUTED_VALUE"""),"0020")</f>
        <v>0020</v>
      </c>
      <c r="B63" s="3" t="s">
        <v>169</v>
      </c>
      <c r="C63" s="3" t="s">
        <v>169</v>
      </c>
      <c r="D63" s="3" t="str">
        <f>IFERROR(__xludf.DUMMYFUNCTION("""COMPUTED_VALUE"""),"mm")</f>
        <v>mm</v>
      </c>
      <c r="E63" s="3" t="s">
        <v>427</v>
      </c>
    </row>
    <row r="64">
      <c r="A64" s="3" t="str">
        <f>IFERROR(__xludf.DUMMYFUNCTION("""COMPUTED_VALUE"""),"0019")</f>
        <v>0019</v>
      </c>
      <c r="B64" s="3" t="s">
        <v>172</v>
      </c>
      <c r="C64" s="3" t="s">
        <v>172</v>
      </c>
      <c r="D64" s="3" t="str">
        <f>IFERROR(__xludf.DUMMYFUNCTION("""COMPUTED_VALUE"""),"mrbite")</f>
        <v>mrbite</v>
      </c>
      <c r="E64" s="3" t="s">
        <v>427</v>
      </c>
    </row>
    <row r="65">
      <c r="A65" s="3" t="str">
        <f>IFERROR(__xludf.DUMMYFUNCTION("""COMPUTED_VALUE"""),"0018")</f>
        <v>0018</v>
      </c>
      <c r="B65" s="3" t="s">
        <v>175</v>
      </c>
      <c r="C65" s="3" t="s">
        <v>482</v>
      </c>
      <c r="D65" s="3" t="str">
        <f>IFERROR(__xludf.DUMMYFUNCTION("""COMPUTED_VALUE"""),"takis")</f>
        <v>takis</v>
      </c>
      <c r="E65" s="3" t="s">
        <v>427</v>
      </c>
    </row>
    <row r="66">
      <c r="A66" s="3" t="str">
        <f>IFERROR(__xludf.DUMMYFUNCTION("""COMPUTED_VALUE"""),"0017")</f>
        <v>0017</v>
      </c>
      <c r="B66" s="3" t="s">
        <v>178</v>
      </c>
      <c r="C66" s="3" t="s">
        <v>483</v>
      </c>
      <c r="D66" s="3" t="str">
        <f>IFERROR(__xludf.DUMMYFUNCTION("""COMPUTED_VALUE"""),"doritosdinamita")</f>
        <v>doritosdinamita</v>
      </c>
      <c r="E66" s="3" t="s">
        <v>427</v>
      </c>
    </row>
    <row r="67">
      <c r="A67" s="3" t="str">
        <f>IFERROR(__xludf.DUMMYFUNCTION("""COMPUTED_VALUE"""),"0016")</f>
        <v>0016</v>
      </c>
      <c r="B67" s="3" t="s">
        <v>181</v>
      </c>
      <c r="C67" s="3" t="s">
        <v>181</v>
      </c>
      <c r="D67" s="3" t="str">
        <f>IFERROR(__xludf.DUMMYFUNCTION("""COMPUTED_VALUE"""),"wafeup")</f>
        <v>wafeup</v>
      </c>
      <c r="E67" s="3" t="s">
        <v>427</v>
      </c>
    </row>
    <row r="68">
      <c r="A68" s="3" t="str">
        <f>IFERROR(__xludf.DUMMYFUNCTION("""COMPUTED_VALUE"""),"0015")</f>
        <v>0015</v>
      </c>
      <c r="B68" s="3" t="s">
        <v>184</v>
      </c>
      <c r="C68" s="3" t="s">
        <v>184</v>
      </c>
      <c r="D68" s="3" t="str">
        <f>IFERROR(__xludf.DUMMYFUNCTION("""COMPUTED_VALUE"""),"kinzalemon")</f>
        <v>kinzalemon</v>
      </c>
      <c r="E68" s="3" t="s">
        <v>427</v>
      </c>
    </row>
    <row r="69">
      <c r="A69" s="3" t="str">
        <f>IFERROR(__xludf.DUMMYFUNCTION("""COMPUTED_VALUE"""),"0014")</f>
        <v>0014</v>
      </c>
      <c r="B69" s="3" t="s">
        <v>187</v>
      </c>
      <c r="C69" s="3" t="s">
        <v>484</v>
      </c>
      <c r="D69" s="3" t="str">
        <f>IFERROR(__xludf.DUMMYFUNCTION("""COMPUTED_VALUE"""),"kinderbueno")</f>
        <v>kinderbueno</v>
      </c>
      <c r="E69" s="3" t="s">
        <v>427</v>
      </c>
    </row>
    <row r="70">
      <c r="A70" s="3" t="str">
        <f>IFERROR(__xludf.DUMMYFUNCTION("""COMPUTED_VALUE"""),"0012")</f>
        <v>0012</v>
      </c>
      <c r="B70" s="3" t="s">
        <v>190</v>
      </c>
      <c r="C70" s="3" t="s">
        <v>485</v>
      </c>
      <c r="D70" s="3" t="str">
        <f>IFERROR(__xludf.DUMMYFUNCTION("""COMPUTED_VALUE"""),"suntop")</f>
        <v>suntop</v>
      </c>
      <c r="E70" s="3" t="s">
        <v>427</v>
      </c>
    </row>
    <row r="71">
      <c r="A71" s="3" t="str">
        <f>IFERROR(__xludf.DUMMYFUNCTION("""COMPUTED_VALUE"""),"0011")</f>
        <v>0011</v>
      </c>
      <c r="B71" s="3" t="s">
        <v>193</v>
      </c>
      <c r="C71" s="3" t="s">
        <v>486</v>
      </c>
      <c r="D71" s="3" t="str">
        <f>IFERROR(__xludf.DUMMYFUNCTION("""COMPUTED_VALUE"""),"xr")</f>
        <v>xr</v>
      </c>
      <c r="E71" s="3" t="s">
        <v>427</v>
      </c>
    </row>
    <row r="72">
      <c r="A72" s="3" t="str">
        <f>IFERROR(__xludf.DUMMYFUNCTION("""COMPUTED_VALUE"""),"0010")</f>
        <v>0010</v>
      </c>
      <c r="B72" s="3" t="s">
        <v>196</v>
      </c>
      <c r="C72" s="3" t="s">
        <v>487</v>
      </c>
      <c r="D72" s="3" t="str">
        <f>IFERROR(__xludf.DUMMYFUNCTION("""COMPUTED_VALUE"""),"skittles")</f>
        <v>skittles</v>
      </c>
      <c r="E72" s="3" t="s">
        <v>427</v>
      </c>
    </row>
    <row r="73">
      <c r="A73" s="3" t="str">
        <f>IFERROR(__xludf.DUMMYFUNCTION("""COMPUTED_VALUE"""),"0009")</f>
        <v>0009</v>
      </c>
      <c r="B73" s="3" t="s">
        <v>199</v>
      </c>
      <c r="C73" s="3" t="s">
        <v>488</v>
      </c>
      <c r="D73" s="3" t="str">
        <f>IFERROR(__xludf.DUMMYFUNCTION("""COMPUTED_VALUE"""),"pepsi500ml")</f>
        <v>pepsi500ml</v>
      </c>
      <c r="E73" s="3" t="s">
        <v>427</v>
      </c>
    </row>
    <row r="74">
      <c r="A74" s="3" t="str">
        <f>IFERROR(__xludf.DUMMYFUNCTION("""COMPUTED_VALUE"""),"0008")</f>
        <v>0008</v>
      </c>
      <c r="B74" s="3" t="s">
        <v>201</v>
      </c>
      <c r="C74" s="3" t="s">
        <v>489</v>
      </c>
      <c r="D74" s="3" t="str">
        <f>IFERROR(__xludf.DUMMYFUNCTION("""COMPUTED_VALUE"""),"xoenergy")</f>
        <v>xoenergy</v>
      </c>
      <c r="E74" s="3" t="s">
        <v>427</v>
      </c>
    </row>
    <row r="75">
      <c r="A75" s="3" t="str">
        <f>IFERROR(__xludf.DUMMYFUNCTION("""COMPUTED_VALUE"""),"0006")</f>
        <v>0006</v>
      </c>
      <c r="B75" s="3" t="s">
        <v>203</v>
      </c>
      <c r="C75" s="3" t="s">
        <v>490</v>
      </c>
      <c r="D75" s="3" t="str">
        <f>IFERROR(__xludf.DUMMYFUNCTION("""COMPUTED_VALUE"""),"tiger12cheese")</f>
        <v>tiger12cheese</v>
      </c>
      <c r="E75" s="3" t="s">
        <v>427</v>
      </c>
    </row>
    <row r="76">
      <c r="A76" s="3" t="str">
        <f>IFERROR(__xludf.DUMMYFUNCTION("""COMPUTED_VALUE"""),"0005")</f>
        <v>0005</v>
      </c>
      <c r="B76" s="3" t="s">
        <v>207</v>
      </c>
      <c r="C76" s="3" t="s">
        <v>491</v>
      </c>
      <c r="D76" s="3" t="str">
        <f>IFERROR(__xludf.DUMMYFUNCTION("""COMPUTED_VALUE"""),"schweppes")</f>
        <v>schweppes</v>
      </c>
      <c r="E76" s="3" t="s">
        <v>427</v>
      </c>
    </row>
    <row r="77">
      <c r="A77" s="3" t="str">
        <f>IFERROR(__xludf.DUMMYFUNCTION("""COMPUTED_VALUE"""),"0004")</f>
        <v>0004</v>
      </c>
      <c r="B77" s="3" t="s">
        <v>210</v>
      </c>
      <c r="C77" s="3" t="s">
        <v>492</v>
      </c>
      <c r="D77" s="3" t="str">
        <f>IFERROR(__xludf.DUMMYFUNCTION("""COMPUTED_VALUE"""),"skittlesdrink")</f>
        <v>skittlesdrink</v>
      </c>
      <c r="E77" s="3" t="s">
        <v>427</v>
      </c>
    </row>
    <row r="78">
      <c r="A78" s="3" t="str">
        <f>IFERROR(__xludf.DUMMYFUNCTION("""COMPUTED_VALUE"""),"0003")</f>
        <v>0003</v>
      </c>
      <c r="B78" s="3" t="s">
        <v>212</v>
      </c>
      <c r="C78" s="3" t="s">
        <v>493</v>
      </c>
      <c r="D78" s="3" t="str">
        <f>IFERROR(__xludf.DUMMYFUNCTION("""COMPUTED_VALUE"""),"maltesers")</f>
        <v>maltesers</v>
      </c>
      <c r="E78" s="3" t="s">
        <v>427</v>
      </c>
    </row>
    <row r="79">
      <c r="A79" s="3" t="str">
        <f>IFERROR(__xludf.DUMMYFUNCTION("""COMPUTED_VALUE"""),"0002")</f>
        <v>0002</v>
      </c>
      <c r="B79" s="3" t="s">
        <v>215</v>
      </c>
      <c r="C79" s="3" t="s">
        <v>494</v>
      </c>
      <c r="D79" s="3" t="str">
        <f>IFERROR(__xludf.DUMMYFUNCTION("""COMPUTED_VALUE"""),"water")</f>
        <v>water</v>
      </c>
      <c r="E79" s="3" t="s">
        <v>427</v>
      </c>
    </row>
    <row r="80">
      <c r="A80" s="3" t="str">
        <f>IFERROR(__xludf.DUMMYFUNCTION("""COMPUTED_VALUE"""),"0001")</f>
        <v>0001</v>
      </c>
      <c r="B80" s="3" t="s">
        <v>218</v>
      </c>
      <c r="C80" s="3" t="s">
        <v>495</v>
      </c>
      <c r="D80" s="3" t="str">
        <f>IFERROR(__xludf.DUMMYFUNCTION("""COMPUTED_VALUE"""),"doritos")</f>
        <v>doritos</v>
      </c>
      <c r="E80" s="3" t="s">
        <v>427</v>
      </c>
    </row>
    <row r="81">
      <c r="A81" s="3" t="str">
        <f>IFERROR(__xludf.DUMMYFUNCTION("""COMPUTED_VALUE"""),"e7e30487")</f>
        <v>e7e30487</v>
      </c>
      <c r="B81" s="3" t="s">
        <v>221</v>
      </c>
      <c r="C81" s="3" t="s">
        <v>496</v>
      </c>
      <c r="D81" s="3" t="str">
        <f>IFERROR(__xludf.DUMMYFUNCTION("""COMPUTED_VALUE"""),"tigerpaprika")</f>
        <v>tigerpaprika</v>
      </c>
      <c r="E81" s="3" t="s">
        <v>427</v>
      </c>
    </row>
    <row r="82">
      <c r="A82" s="3" t="str">
        <f>IFERROR(__xludf.DUMMYFUNCTION("""COMPUTED_VALUE"""),"52c15a06")</f>
        <v>52c15a06</v>
      </c>
      <c r="B82" s="3" t="s">
        <v>224</v>
      </c>
      <c r="C82" s="3" t="s">
        <v>497</v>
      </c>
      <c r="D82" s="3" t="str">
        <f>IFERROR(__xludf.DUMMYFUNCTION("""COMPUTED_VALUE"""),"tigerkebab")</f>
        <v>tigerkebab</v>
      </c>
      <c r="E82" s="3" t="s">
        <v>427</v>
      </c>
    </row>
    <row r="83">
      <c r="A83" s="3" t="str">
        <f>IFERROR(__xludf.DUMMYFUNCTION("""COMPUTED_VALUE"""),"9f3ec79c")</f>
        <v>9f3ec79c</v>
      </c>
      <c r="B83" s="3" t="s">
        <v>227</v>
      </c>
      <c r="C83" s="3" t="s">
        <v>498</v>
      </c>
      <c r="D83" s="3" t="str">
        <f>IFERROR(__xludf.DUMMYFUNCTION("""COMPUTED_VALUE"""),"tigerchiliandlemon")</f>
        <v>tigerchiliandlemon</v>
      </c>
      <c r="E83" s="3" t="s">
        <v>427</v>
      </c>
    </row>
    <row r="84">
      <c r="A84" s="3" t="str">
        <f>IFERROR(__xludf.DUMMYFUNCTION("""COMPUTED_VALUE"""),"492147d3")</f>
        <v>492147d3</v>
      </c>
      <c r="B84" s="3" t="s">
        <v>230</v>
      </c>
      <c r="C84" s="3" t="s">
        <v>499</v>
      </c>
      <c r="D84" s="3" t="str">
        <f>IFERROR(__xludf.DUMMYFUNCTION("""COMPUTED_VALUE"""),"tigertomato")</f>
        <v>tigertomato</v>
      </c>
      <c r="E84" s="3" t="s">
        <v>427</v>
      </c>
    </row>
    <row r="85">
      <c r="A85" s="3" t="str">
        <f>IFERROR(__xludf.DUMMYFUNCTION("""COMPUTED_VALUE"""),"e509f31d")</f>
        <v>e509f31d</v>
      </c>
      <c r="B85" s="3" t="s">
        <v>233</v>
      </c>
      <c r="C85" s="3" t="s">
        <v>500</v>
      </c>
      <c r="D85" s="3" t="str">
        <f>IFERROR(__xludf.DUMMYFUNCTION("""COMPUTED_VALUE"""),"tigersweetchili")</f>
        <v>tigersweetchili</v>
      </c>
      <c r="E85" s="3" t="s">
        <v>427</v>
      </c>
    </row>
    <row r="86">
      <c r="A86" s="3" t="str">
        <f>IFERROR(__xludf.DUMMYFUNCTION("""COMPUTED_VALUE"""),"308fcfb2")</f>
        <v>308fcfb2</v>
      </c>
      <c r="B86" s="3" t="s">
        <v>236</v>
      </c>
      <c r="C86" s="3" t="s">
        <v>501</v>
      </c>
      <c r="D86" s="3" t="str">
        <f>IFERROR(__xludf.DUMMYFUNCTION("""COMPUTED_VALUE"""),"mrcrunchcrunchyfries")</f>
        <v>mrcrunchcrunchyfries</v>
      </c>
      <c r="E86" s="3" t="s">
        <v>427</v>
      </c>
    </row>
    <row r="87">
      <c r="A87" s="3" t="str">
        <f>IFERROR(__xludf.DUMMYFUNCTION("""COMPUTED_VALUE"""),"e28d366b")</f>
        <v>e28d366b</v>
      </c>
      <c r="B87" s="3" t="s">
        <v>239</v>
      </c>
      <c r="C87" s="3" t="s">
        <v>502</v>
      </c>
      <c r="D87" s="3" t="str">
        <f>IFERROR(__xludf.DUMMYFUNCTION("""COMPUTED_VALUE"""),"mrcrunchveggys")</f>
        <v>mrcrunchveggys</v>
      </c>
      <c r="E87" s="3" t="s">
        <v>427</v>
      </c>
    </row>
    <row r="88">
      <c r="A88" s="3" t="str">
        <f>IFERROR(__xludf.DUMMYFUNCTION("""COMPUTED_VALUE"""),"6670c5c1")</f>
        <v>6670c5c1</v>
      </c>
      <c r="B88" s="3" t="s">
        <v>242</v>
      </c>
      <c r="C88" s="3" t="s">
        <v>503</v>
      </c>
      <c r="D88" s="3" t="str">
        <f>IFERROR(__xludf.DUMMYFUNCTION("""COMPUTED_VALUE"""),"vitago")</f>
        <v>vitago</v>
      </c>
      <c r="E88" s="3" t="s">
        <v>427</v>
      </c>
    </row>
    <row r="89">
      <c r="A89" s="3" t="str">
        <f>IFERROR(__xludf.DUMMYFUNCTION("""COMPUTED_VALUE"""),"2a5b5163")</f>
        <v>2a5b5163</v>
      </c>
      <c r="B89" s="3" t="s">
        <v>245</v>
      </c>
      <c r="C89" s="3" t="s">
        <v>504</v>
      </c>
      <c r="D89" s="3" t="str">
        <f>IFERROR(__xludf.DUMMYFUNCTION("""COMPUTED_VALUE"""),"cocomix")</f>
        <v>cocomix</v>
      </c>
      <c r="E89" s="3" t="s">
        <v>427</v>
      </c>
    </row>
    <row r="90">
      <c r="A90" s="3" t="str">
        <f>IFERROR(__xludf.DUMMYFUNCTION("""COMPUTED_VALUE"""),"364fe321")</f>
        <v>364fe321</v>
      </c>
      <c r="B90" s="3" t="s">
        <v>248</v>
      </c>
      <c r="C90" s="3" t="s">
        <v>505</v>
      </c>
      <c r="D90" s="3" t="str">
        <f>IFERROR(__xludf.DUMMYFUNCTION("""COMPUTED_VALUE"""),"caesarmango")</f>
        <v>caesarmango</v>
      </c>
      <c r="E90" s="3" t="s">
        <v>427</v>
      </c>
    </row>
    <row r="91">
      <c r="A91" s="3" t="str">
        <f>IFERROR(__xludf.DUMMYFUNCTION("""COMPUTED_VALUE"""),"69692785")</f>
        <v>69692785</v>
      </c>
      <c r="B91" s="3" t="s">
        <v>251</v>
      </c>
      <c r="C91" s="3" t="s">
        <v>506</v>
      </c>
      <c r="D91" s="3" t="str">
        <f>IFERROR(__xludf.DUMMYFUNCTION("""COMPUTED_VALUE"""),"bebeto")</f>
        <v>bebeto</v>
      </c>
      <c r="E91" s="3" t="s">
        <v>427</v>
      </c>
    </row>
    <row r="92">
      <c r="A92" s="3" t="str">
        <f>IFERROR(__xludf.DUMMYFUNCTION("""COMPUTED_VALUE"""),"f3465619")</f>
        <v>f3465619</v>
      </c>
      <c r="B92" s="3" t="s">
        <v>254</v>
      </c>
      <c r="C92" s="3" t="s">
        <v>507</v>
      </c>
      <c r="D92" s="3" t="str">
        <f>IFERROR(__xludf.DUMMYFUNCTION("""COMPUTED_VALUE"""),"sweeto")</f>
        <v>sweeto</v>
      </c>
      <c r="E92" s="3" t="s">
        <v>427</v>
      </c>
    </row>
    <row r="93">
      <c r="A93" s="3" t="str">
        <f>IFERROR(__xludf.DUMMYFUNCTION("""COMPUTED_VALUE"""),"52149040")</f>
        <v>52149040</v>
      </c>
      <c r="B93" s="3" t="s">
        <v>257</v>
      </c>
      <c r="C93" s="3" t="s">
        <v>257</v>
      </c>
      <c r="D93" s="3" t="str">
        <f>IFERROR(__xludf.DUMMYFUNCTION("""COMPUTED_VALUE"""),"test2")</f>
        <v>test2</v>
      </c>
      <c r="E93" s="3" t="s">
        <v>427</v>
      </c>
    </row>
    <row r="94">
      <c r="A94" s="3" t="str">
        <f>IFERROR(__xludf.DUMMYFUNCTION("""COMPUTED_VALUE"""),"f2959682")</f>
        <v>f2959682</v>
      </c>
      <c r="B94" s="3" t="s">
        <v>260</v>
      </c>
      <c r="C94" s="3" t="s">
        <v>260</v>
      </c>
      <c r="D94" s="3" t="str">
        <f>IFERROR(__xludf.DUMMYFUNCTION("""COMPUTED_VALUE"""),"test")</f>
        <v>test</v>
      </c>
      <c r="E94" s="3" t="s">
        <v>427</v>
      </c>
    </row>
    <row r="95">
      <c r="A95" s="3" t="str">
        <f>IFERROR(__xludf.DUMMYFUNCTION("""COMPUTED_VALUE"""),"d0a21a3b")</f>
        <v>d0a21a3b</v>
      </c>
      <c r="B95" s="3" t="s">
        <v>263</v>
      </c>
      <c r="C95" s="3" t="s">
        <v>508</v>
      </c>
      <c r="D95" s="3" t="str">
        <f>IFERROR(__xludf.DUMMYFUNCTION("""COMPUTED_VALUE"""),"brownizmoulin")</f>
        <v>brownizmoulin</v>
      </c>
      <c r="E95" s="3" t="s">
        <v>427</v>
      </c>
    </row>
    <row r="96">
      <c r="A96" s="3" t="str">
        <f>IFERROR(__xludf.DUMMYFUNCTION("""COMPUTED_VALUE"""),"d0f577e2")</f>
        <v>d0f577e2</v>
      </c>
      <c r="B96" s="3" t="s">
        <v>266</v>
      </c>
      <c r="C96" s="3" t="s">
        <v>509</v>
      </c>
      <c r="D96" s="3" t="str">
        <f>IFERROR(__xludf.DUMMYFUNCTION("""COMPUTED_VALUE"""),"mariebiscuit")</f>
        <v>mariebiscuit</v>
      </c>
      <c r="E96" s="3" t="s">
        <v>427</v>
      </c>
    </row>
    <row r="97">
      <c r="A97" s="3" t="str">
        <f>IFERROR(__xludf.DUMMYFUNCTION("""COMPUTED_VALUE"""),"2f2e7440")</f>
        <v>2f2e7440</v>
      </c>
      <c r="B97" s="3" t="s">
        <v>269</v>
      </c>
      <c r="C97" s="3" t="s">
        <v>510</v>
      </c>
      <c r="D97" s="3" t="str">
        <f>IFERROR(__xludf.DUMMYFUNCTION("""COMPUTED_VALUE"""),"crico")</f>
        <v>crico</v>
      </c>
      <c r="E97" s="3" t="s">
        <v>427</v>
      </c>
    </row>
    <row r="98">
      <c r="A98" s="3" t="str">
        <f>IFERROR(__xludf.DUMMYFUNCTION("""COMPUTED_VALUE"""),"12b96290")</f>
        <v>12b96290</v>
      </c>
      <c r="B98" s="3" t="s">
        <v>272</v>
      </c>
      <c r="C98" s="3" t="s">
        <v>511</v>
      </c>
      <c r="D98" s="3" t="str">
        <f>IFERROR(__xludf.DUMMYFUNCTION("""COMPUTED_VALUE"""),"doritosnacho")</f>
        <v>doritosnacho</v>
      </c>
      <c r="E98" s="3" t="s">
        <v>427</v>
      </c>
    </row>
    <row r="99">
      <c r="A99" s="3" t="str">
        <f>IFERROR(__xludf.DUMMYFUNCTION("""COMPUTED_VALUE"""),"73c36157")</f>
        <v>73c36157</v>
      </c>
      <c r="B99" s="3" t="s">
        <v>275</v>
      </c>
      <c r="C99" s="3" t="s">
        <v>512</v>
      </c>
      <c r="D99" s="3" t="str">
        <f>IFERROR(__xludf.DUMMYFUNCTION("""COMPUTED_VALUE"""),"alainminicola")</f>
        <v>alainminicola</v>
      </c>
      <c r="E99" s="3" t="s">
        <v>427</v>
      </c>
    </row>
    <row r="100">
      <c r="A100" s="3" t="str">
        <f>IFERROR(__xludf.DUMMYFUNCTION("""COMPUTED_VALUE"""),"cc35c9db")</f>
        <v>cc35c9db</v>
      </c>
      <c r="B100" s="3" t="s">
        <v>278</v>
      </c>
      <c r="C100" s="3" t="s">
        <v>513</v>
      </c>
      <c r="D100" s="3" t="str">
        <f>IFERROR(__xludf.DUMMYFUNCTION("""COMPUTED_VALUE"""),"buldak")</f>
        <v>buldak</v>
      </c>
      <c r="E100" s="3" t="s">
        <v>427</v>
      </c>
    </row>
    <row r="101">
      <c r="A101" s="3" t="str">
        <f>IFERROR(__xludf.DUMMYFUNCTION("""COMPUTED_VALUE"""),"d5b5f9d1")</f>
        <v>d5b5f9d1</v>
      </c>
      <c r="B101" s="3" t="s">
        <v>281</v>
      </c>
      <c r="C101" s="3" t="s">
        <v>514</v>
      </c>
      <c r="D101" s="3" t="str">
        <f>IFERROR(__xludf.DUMMYFUNCTION("""COMPUTED_VALUE"""),"doritosgreenhot")</f>
        <v>doritosgreenhot</v>
      </c>
      <c r="E101" s="3" t="s">
        <v>427</v>
      </c>
    </row>
    <row r="102">
      <c r="A102" s="3" t="str">
        <f>IFERROR(__xludf.DUMMYFUNCTION("""COMPUTED_VALUE"""),"78233e6f")</f>
        <v>78233e6f</v>
      </c>
      <c r="B102" s="3" t="s">
        <v>284</v>
      </c>
      <c r="C102" s="3" t="s">
        <v>515</v>
      </c>
      <c r="D102" s="3" t="str">
        <f>IFERROR(__xludf.DUMMYFUNCTION("""COMPUTED_VALUE"""),"barbican")</f>
        <v>barbican</v>
      </c>
      <c r="E102" s="3" t="s">
        <v>427</v>
      </c>
    </row>
    <row r="103">
      <c r="A103" s="3" t="str">
        <f>IFERROR(__xludf.DUMMYFUNCTION("""COMPUTED_VALUE"""),"0af806f8")</f>
        <v>0af806f8</v>
      </c>
      <c r="B103" s="3" t="s">
        <v>287</v>
      </c>
      <c r="C103" s="3" t="s">
        <v>516</v>
      </c>
      <c r="D103" s="3" t="str">
        <f>IFERROR(__xludf.DUMMYFUNCTION("""COMPUTED_VALUE"""),"doritosredhot")</f>
        <v>doritosredhot</v>
      </c>
      <c r="E103" s="3" t="s">
        <v>427</v>
      </c>
    </row>
    <row r="104">
      <c r="A104" s="3" t="str">
        <f>IFERROR(__xludf.DUMMYFUNCTION("""COMPUTED_VALUE"""),"bb6c2490")</f>
        <v>bb6c2490</v>
      </c>
      <c r="B104" s="3" t="s">
        <v>290</v>
      </c>
      <c r="C104" s="3" t="s">
        <v>517</v>
      </c>
      <c r="D104" s="3" t="str">
        <f>IFERROR(__xludf.DUMMYFUNCTION("""COMPUTED_VALUE"""),"mrcrunchtarbouch")</f>
        <v>mrcrunchtarbouch</v>
      </c>
      <c r="E104" s="3" t="s">
        <v>427</v>
      </c>
    </row>
    <row r="105">
      <c r="A105" s="3" t="str">
        <f>IFERROR(__xludf.DUMMYFUNCTION("""COMPUTED_VALUE"""),"b77b1c64")</f>
        <v>b77b1c64</v>
      </c>
      <c r="B105" s="3" t="s">
        <v>293</v>
      </c>
      <c r="C105" s="3" t="s">
        <v>518</v>
      </c>
      <c r="D105" s="3" t="str">
        <f>IFERROR(__xludf.DUMMYFUNCTION("""COMPUTED_VALUE"""),"bonuccisouffle")</f>
        <v>bonuccisouffle</v>
      </c>
      <c r="E105" s="3" t="s">
        <v>427</v>
      </c>
    </row>
    <row r="106">
      <c r="A106" s="3" t="str">
        <f>IFERROR(__xludf.DUMMYFUNCTION("""COMPUTED_VALUE"""),"83dd14b5")</f>
        <v>83dd14b5</v>
      </c>
      <c r="B106" s="3" t="s">
        <v>296</v>
      </c>
      <c r="C106" s="3" t="s">
        <v>519</v>
      </c>
      <c r="D106" s="3" t="str">
        <f>IFERROR(__xludf.DUMMYFUNCTION("""COMPUTED_VALUE"""),"coachsuntop")</f>
        <v>coachsuntop</v>
      </c>
      <c r="E106" s="3" t="s">
        <v>427</v>
      </c>
    </row>
    <row r="107">
      <c r="A107" s="3" t="str">
        <f>IFERROR(__xludf.DUMMYFUNCTION("""COMPUTED_VALUE"""),"ccaf1c68")</f>
        <v>ccaf1c68</v>
      </c>
      <c r="B107" s="3" t="s">
        <v>299</v>
      </c>
      <c r="C107" s="3" t="s">
        <v>520</v>
      </c>
      <c r="D107" s="3" t="str">
        <f>IFERROR(__xludf.DUMMYFUNCTION("""COMPUTED_VALUE"""),"waferlaviva")</f>
        <v>waferlaviva</v>
      </c>
      <c r="E107" s="3" t="s">
        <v>427</v>
      </c>
    </row>
    <row r="108">
      <c r="A108" s="3" t="str">
        <f>IFERROR(__xludf.DUMMYFUNCTION("""COMPUTED_VALUE"""),"a3f74383")</f>
        <v>a3f74383</v>
      </c>
      <c r="B108" s="3" t="s">
        <v>302</v>
      </c>
      <c r="C108" s="3" t="s">
        <v>521</v>
      </c>
      <c r="D108" s="3" t="str">
        <f>IFERROR(__xludf.DUMMYFUNCTION("""COMPUTED_VALUE"""),"shani")</f>
        <v>shani</v>
      </c>
      <c r="E108" s="3" t="s">
        <v>427</v>
      </c>
    </row>
    <row r="109">
      <c r="A109" s="3" t="str">
        <f>IFERROR(__xludf.DUMMYFUNCTION("""COMPUTED_VALUE"""),"ed187a9e")</f>
        <v>ed187a9e</v>
      </c>
      <c r="B109" s="3" t="s">
        <v>305</v>
      </c>
      <c r="C109" s="3" t="s">
        <v>522</v>
      </c>
      <c r="D109" s="3" t="str">
        <f>IFERROR(__xludf.DUMMYFUNCTION("""COMPUTED_VALUE"""),"xrberry")</f>
        <v>xrberry</v>
      </c>
      <c r="E109" s="3" t="s">
        <v>427</v>
      </c>
    </row>
    <row r="110">
      <c r="A110" s="3" t="str">
        <f>IFERROR(__xludf.DUMMYFUNCTION("""COMPUTED_VALUE"""),"bfd1b639")</f>
        <v>bfd1b639</v>
      </c>
      <c r="B110" s="3" t="s">
        <v>308</v>
      </c>
      <c r="C110" s="3" t="s">
        <v>523</v>
      </c>
      <c r="D110" s="3" t="str">
        <f>IFERROR(__xludf.DUMMYFUNCTION("""COMPUTED_VALUE"""),"xrmango")</f>
        <v>xrmango</v>
      </c>
      <c r="E110" s="3" t="s">
        <v>427</v>
      </c>
    </row>
    <row r="111">
      <c r="A111" s="3" t="str">
        <f>IFERROR(__xludf.DUMMYFUNCTION("""COMPUTED_VALUE"""),"b112660a")</f>
        <v>b112660a</v>
      </c>
      <c r="B111" s="3" t="s">
        <v>311</v>
      </c>
      <c r="C111" s="3" t="s">
        <v>524</v>
      </c>
      <c r="D111" s="3" t="str">
        <f>IFERROR(__xludf.DUMMYFUNCTION("""COMPUTED_VALUE"""),"caesarberry")</f>
        <v>caesarberry</v>
      </c>
      <c r="E111" s="3" t="s">
        <v>427</v>
      </c>
    </row>
    <row r="112">
      <c r="A112" s="3" t="str">
        <f>IFERROR(__xludf.DUMMYFUNCTION("""COMPUTED_VALUE"""),"649eaeb5")</f>
        <v>649eaeb5</v>
      </c>
      <c r="B112" s="3" t="s">
        <v>314</v>
      </c>
      <c r="C112" s="3" t="s">
        <v>525</v>
      </c>
      <c r="D112" s="3" t="str">
        <f>IFERROR(__xludf.DUMMYFUNCTION("""COMPUTED_VALUE"""),"schwppes")</f>
        <v>schwppes</v>
      </c>
      <c r="E112" s="3" t="s">
        <v>427</v>
      </c>
    </row>
    <row r="113">
      <c r="A113" s="3" t="str">
        <f>IFERROR(__xludf.DUMMYFUNCTION("""COMPUTED_VALUE"""),"f38e69c5")</f>
        <v>f38e69c5</v>
      </c>
      <c r="B113" s="3" t="s">
        <v>207</v>
      </c>
      <c r="C113" s="3" t="s">
        <v>491</v>
      </c>
      <c r="D113" s="3" t="str">
        <f>IFERROR(__xludf.DUMMYFUNCTION("""COMPUTED_VALUE"""),"schweppes")</f>
        <v>schweppes</v>
      </c>
      <c r="E113" s="3" t="s">
        <v>427</v>
      </c>
    </row>
    <row r="114">
      <c r="A114" s="3" t="str">
        <f>IFERROR(__xludf.DUMMYFUNCTION("""COMPUTED_VALUE"""),"3e9fa8d9")</f>
        <v>3e9fa8d9</v>
      </c>
      <c r="B114" s="3" t="s">
        <v>319</v>
      </c>
      <c r="C114" s="3" t="s">
        <v>526</v>
      </c>
      <c r="D114" s="3" t="str">
        <f>IFERROR(__xludf.DUMMYFUNCTION("""COMPUTED_VALUE"""),"kinzacola")</f>
        <v>kinzacola</v>
      </c>
      <c r="E114" s="3" t="s">
        <v>427</v>
      </c>
    </row>
    <row r="115">
      <c r="A115" s="3" t="str">
        <f>IFERROR(__xludf.DUMMYFUNCTION("""COMPUTED_VALUE"""),"27febea6")</f>
        <v>27febea6</v>
      </c>
      <c r="B115" s="3" t="s">
        <v>322</v>
      </c>
      <c r="C115" s="3" t="s">
        <v>527</v>
      </c>
      <c r="D115" s="3" t="str">
        <f>IFERROR(__xludf.DUMMYFUNCTION("""COMPUTED_VALUE"""),"maxxxchips")</f>
        <v>maxxxchips</v>
      </c>
      <c r="E115" s="3" t="s">
        <v>427</v>
      </c>
    </row>
    <row r="116">
      <c r="A116" s="3" t="str">
        <f>IFERROR(__xludf.DUMMYFUNCTION("""COMPUTED_VALUE"""),"3945efc9")</f>
        <v>3945efc9</v>
      </c>
      <c r="B116" s="3" t="s">
        <v>325</v>
      </c>
      <c r="C116" s="3" t="s">
        <v>528</v>
      </c>
      <c r="D116" s="3" t="str">
        <f>IFERROR(__xludf.DUMMYFUNCTION("""COMPUTED_VALUE"""),"mulinooatcookies")</f>
        <v>mulinooatcookies</v>
      </c>
      <c r="E116" s="3" t="s">
        <v>427</v>
      </c>
    </row>
    <row r="117">
      <c r="A117" s="3" t="str">
        <f>IFERROR(__xludf.DUMMYFUNCTION("""COMPUTED_VALUE"""),"c099f042")</f>
        <v>c099f042</v>
      </c>
      <c r="B117" s="3" t="s">
        <v>328</v>
      </c>
      <c r="C117" s="3" t="s">
        <v>529</v>
      </c>
      <c r="D117" s="3" t="str">
        <f>IFERROR(__xludf.DUMMYFUNCTION("""COMPUTED_VALUE"""),"tigerexcellence")</f>
        <v>tigerexcellence</v>
      </c>
      <c r="E117" s="3" t="s">
        <v>427</v>
      </c>
    </row>
    <row r="118">
      <c r="A118" s="3" t="str">
        <f>IFERROR(__xludf.DUMMYFUNCTION("""COMPUTED_VALUE"""),"cd21eb57")</f>
        <v>cd21eb57</v>
      </c>
      <c r="B118" s="3" t="s">
        <v>331</v>
      </c>
      <c r="C118" s="3" t="s">
        <v>530</v>
      </c>
      <c r="D118" s="3" t="str">
        <f>IFERROR(__xludf.DUMMYFUNCTION("""COMPUTED_VALUE"""),"chillaxcornchips")</f>
        <v>chillaxcornchips</v>
      </c>
      <c r="E118" s="3" t="s">
        <v>427</v>
      </c>
    </row>
    <row r="119">
      <c r="A119" s="3" t="str">
        <f>IFERROR(__xludf.DUMMYFUNCTION("""COMPUTED_VALUE"""),"b3204174")</f>
        <v>b3204174</v>
      </c>
      <c r="B119" s="3" t="s">
        <v>334</v>
      </c>
      <c r="C119" s="3" t="s">
        <v>531</v>
      </c>
      <c r="D119" s="3" t="str">
        <f>IFERROR(__xludf.DUMMYFUNCTION("""COMPUTED_VALUE"""),"shockspotato")</f>
        <v>shockspotato</v>
      </c>
      <c r="E119" s="3" t="s">
        <v>427</v>
      </c>
    </row>
    <row r="120">
      <c r="A120" s="3" t="str">
        <f>IFERROR(__xludf.DUMMYFUNCTION("""COMPUTED_VALUE"""),"360bd4d4")</f>
        <v>360bd4d4</v>
      </c>
      <c r="B120" s="3" t="s">
        <v>337</v>
      </c>
      <c r="C120" s="3" t="s">
        <v>532</v>
      </c>
      <c r="D120" s="3" t="str">
        <f>IFERROR(__xludf.DUMMYFUNCTION("""COMPUTED_VALUE"""),"lexus")</f>
        <v>lexus</v>
      </c>
      <c r="E120" s="3" t="s">
        <v>427</v>
      </c>
    </row>
    <row r="121">
      <c r="A121" s="3" t="str">
        <f>IFERROR(__xludf.DUMMYFUNCTION("""COMPUTED_VALUE"""),"f30d8158")</f>
        <v>f30d8158</v>
      </c>
      <c r="B121" s="3" t="s">
        <v>340</v>
      </c>
      <c r="C121" s="3" t="s">
        <v>533</v>
      </c>
      <c r="D121" s="3" t="str">
        <f>IFERROR(__xludf.DUMMYFUNCTION("""COMPUTED_VALUE"""),"savistix")</f>
        <v>savistix</v>
      </c>
      <c r="E121" s="3" t="s">
        <v>427</v>
      </c>
    </row>
    <row r="122">
      <c r="A122" s="3" t="str">
        <f>IFERROR(__xludf.DUMMYFUNCTION("""COMPUTED_VALUE"""),"cf6c9481")</f>
        <v>cf6c9481</v>
      </c>
      <c r="B122" s="3" t="s">
        <v>343</v>
      </c>
      <c r="C122" s="3" t="s">
        <v>534</v>
      </c>
      <c r="D122" s="3" t="str">
        <f>IFERROR(__xludf.DUMMYFUNCTION("""COMPUTED_VALUE"""),"turbostrips")</f>
        <v>turbostrips</v>
      </c>
      <c r="E122" s="3" t="s">
        <v>427</v>
      </c>
    </row>
    <row r="123">
      <c r="A123" s="3" t="str">
        <f>IFERROR(__xludf.DUMMYFUNCTION("""COMPUTED_VALUE"""),"ee3cf870")</f>
        <v>ee3cf870</v>
      </c>
      <c r="B123" s="3" t="s">
        <v>346</v>
      </c>
      <c r="C123" s="3" t="s">
        <v>535</v>
      </c>
      <c r="D123" s="3" t="str">
        <f>IFERROR(__xludf.DUMMYFUNCTION("""COMPUTED_VALUE"""),"wellness")</f>
        <v>wellness</v>
      </c>
      <c r="E123" s="3" t="s">
        <v>427</v>
      </c>
    </row>
    <row r="124">
      <c r="A124" s="3" t="str">
        <f>IFERROR(__xludf.DUMMYFUNCTION("""COMPUTED_VALUE"""),"7cd3aac7")</f>
        <v>7cd3aac7</v>
      </c>
      <c r="B124" s="3" t="s">
        <v>349</v>
      </c>
      <c r="C124" s="3" t="s">
        <v>536</v>
      </c>
      <c r="D124" s="3" t="str">
        <f>IFERROR(__xludf.DUMMYFUNCTION("""COMPUTED_VALUE"""),"toblerone")</f>
        <v>toblerone</v>
      </c>
      <c r="E124" s="3" t="s">
        <v>427</v>
      </c>
    </row>
    <row r="125">
      <c r="A125" s="3" t="str">
        <f>IFERROR(__xludf.DUMMYFUNCTION("""COMPUTED_VALUE"""),"9d0be7b3")</f>
        <v>9d0be7b3</v>
      </c>
      <c r="B125" s="3" t="s">
        <v>352</v>
      </c>
      <c r="C125" s="3" t="s">
        <v>537</v>
      </c>
      <c r="D125" s="3" t="str">
        <f>IFERROR(__xludf.DUMMYFUNCTION("""COMPUTED_VALUE"""),"milkachococow")</f>
        <v>milkachococow</v>
      </c>
      <c r="E125" s="3" t="s">
        <v>427</v>
      </c>
    </row>
    <row r="126">
      <c r="A126" s="3" t="str">
        <f>IFERROR(__xludf.DUMMYFUNCTION("""COMPUTED_VALUE"""),"0f694cb5")</f>
        <v>0f694cb5</v>
      </c>
      <c r="B126" s="3" t="s">
        <v>355</v>
      </c>
      <c r="C126" s="3" t="s">
        <v>538</v>
      </c>
      <c r="D126" s="3" t="str">
        <f>IFERROR(__xludf.DUMMYFUNCTION("""COMPUTED_VALUE"""),"vitrac")</f>
        <v>vitrac</v>
      </c>
      <c r="E126" s="3" t="s">
        <v>427</v>
      </c>
    </row>
    <row r="127">
      <c r="A127" s="3" t="str">
        <f>IFERROR(__xludf.DUMMYFUNCTION("""COMPUTED_VALUE"""),"d8e8d66a")</f>
        <v>d8e8d66a</v>
      </c>
      <c r="B127" s="3" t="s">
        <v>358</v>
      </c>
      <c r="C127" s="3" t="s">
        <v>539</v>
      </c>
      <c r="D127" s="3" t="str">
        <f>IFERROR(__xludf.DUMMYFUNCTION("""COMPUTED_VALUE"""),"shada")</f>
        <v>shada</v>
      </c>
      <c r="E127" s="3" t="s">
        <v>427</v>
      </c>
    </row>
    <row r="128">
      <c r="A128" s="3" t="str">
        <f>IFERROR(__xludf.DUMMYFUNCTION("""COMPUTED_VALUE"""),"1b6b5ed6")</f>
        <v>1b6b5ed6</v>
      </c>
      <c r="B128" s="3" t="s">
        <v>361</v>
      </c>
      <c r="C128" s="3" t="s">
        <v>540</v>
      </c>
      <c r="D128" s="3" t="str">
        <f>IFERROR(__xludf.DUMMYFUNCTION("""COMPUTED_VALUE"""),"rayhan")</f>
        <v>rayhan</v>
      </c>
      <c r="E128" s="3" t="s">
        <v>427</v>
      </c>
    </row>
    <row r="129">
      <c r="A129" s="3" t="str">
        <f>IFERROR(__xludf.DUMMYFUNCTION("""COMPUTED_VALUE"""),"c80ae9f2")</f>
        <v>c80ae9f2</v>
      </c>
      <c r="B129" s="3" t="s">
        <v>364</v>
      </c>
      <c r="C129" s="3" t="s">
        <v>541</v>
      </c>
      <c r="D129" s="3" t="str">
        <f>IFERROR(__xludf.DUMMYFUNCTION("""COMPUTED_VALUE"""),"yumizak")</f>
        <v>yumizak</v>
      </c>
      <c r="E129" s="3" t="s">
        <v>427</v>
      </c>
    </row>
    <row r="130">
      <c r="A130" s="3" t="str">
        <f>IFERROR(__xludf.DUMMYFUNCTION("""COMPUTED_VALUE"""),"1039e79c")</f>
        <v>1039e79c</v>
      </c>
      <c r="B130" s="3" t="s">
        <v>367</v>
      </c>
      <c r="C130" s="3" t="s">
        <v>542</v>
      </c>
      <c r="D130" s="3" t="str">
        <f>IFERROR(__xludf.DUMMYFUNCTION("""COMPUTED_VALUE"""),"activ")</f>
        <v>activ</v>
      </c>
      <c r="E130" s="3" t="s">
        <v>427</v>
      </c>
    </row>
    <row r="131">
      <c r="A131" s="3" t="str">
        <f>IFERROR(__xludf.DUMMYFUNCTION("""COMPUTED_VALUE"""),"cb9e809e")</f>
        <v>cb9e809e</v>
      </c>
      <c r="B131" s="3" t="s">
        <v>370</v>
      </c>
      <c r="C131" s="3" t="s">
        <v>543</v>
      </c>
      <c r="D131" s="3" t="str">
        <f>IFERROR(__xludf.DUMMYFUNCTION("""COMPUTED_VALUE"""),"sweetojelly")</f>
        <v>sweetojelly</v>
      </c>
      <c r="E131" s="3" t="s">
        <v>427</v>
      </c>
    </row>
    <row r="132">
      <c r="A132" s="3" t="str">
        <f>IFERROR(__xludf.DUMMYFUNCTION("""COMPUTED_VALUE"""),"a19879cf")</f>
        <v>a19879cf</v>
      </c>
      <c r="B132" s="3" t="s">
        <v>373</v>
      </c>
      <c r="C132" s="3" t="s">
        <v>544</v>
      </c>
      <c r="D132" s="3" t="str">
        <f>IFERROR(__xludf.DUMMYFUNCTION("""COMPUTED_VALUE"""),"galaxywaferroll")</f>
        <v>galaxywaferroll</v>
      </c>
      <c r="E132" s="3" t="s">
        <v>427</v>
      </c>
    </row>
    <row r="133">
      <c r="A133" s="3" t="str">
        <f>IFERROR(__xludf.DUMMYFUNCTION("""COMPUTED_VALUE"""),"27c8f623")</f>
        <v>27c8f623</v>
      </c>
      <c r="B133" s="3" t="s">
        <v>376</v>
      </c>
      <c r="C133" s="3" t="s">
        <v>545</v>
      </c>
      <c r="D133" s="3" t="str">
        <f>IFERROR(__xludf.DUMMYFUNCTION("""COMPUTED_VALUE"""),"bountywaferroll")</f>
        <v>bountywaferroll</v>
      </c>
      <c r="E133" s="3" t="s">
        <v>427</v>
      </c>
    </row>
    <row r="134">
      <c r="A134" s="3" t="str">
        <f>IFERROR(__xludf.DUMMYFUNCTION("""COMPUTED_VALUE"""),"02d86a9b")</f>
        <v>02d86a9b</v>
      </c>
      <c r="B134" s="3" t="s">
        <v>379</v>
      </c>
      <c r="C134" s="3" t="s">
        <v>546</v>
      </c>
      <c r="D134" s="3" t="str">
        <f>IFERROR(__xludf.DUMMYFUNCTION("""COMPUTED_VALUE"""),"twixwaferroll")</f>
        <v>twixwaferroll</v>
      </c>
      <c r="E134" s="3" t="s">
        <v>427</v>
      </c>
    </row>
    <row r="135">
      <c r="A135" s="3" t="str">
        <f>IFERROR(__xludf.DUMMYFUNCTION("""COMPUTED_VALUE"""),"57a5617b")</f>
        <v>57a5617b</v>
      </c>
      <c r="B135" s="3" t="s">
        <v>382</v>
      </c>
      <c r="C135" s="3" t="s">
        <v>547</v>
      </c>
      <c r="D135" s="3" t="str">
        <f>IFERROR(__xludf.DUMMYFUNCTION("""COMPUTED_VALUE"""),"mirindaorange")</f>
        <v>mirindaorange</v>
      </c>
      <c r="E135" s="3" t="s">
        <v>427</v>
      </c>
    </row>
    <row r="136">
      <c r="A136" s="3" t="str">
        <f>IFERROR(__xludf.DUMMYFUNCTION("""COMPUTED_VALUE"""),"bb4d1bd1")</f>
        <v>bb4d1bd1</v>
      </c>
      <c r="B136" s="3" t="s">
        <v>385</v>
      </c>
      <c r="C136" s="3" t="s">
        <v>548</v>
      </c>
      <c r="D136" s="3" t="str">
        <f>IFERROR(__xludf.DUMMYFUNCTION("""COMPUTED_VALUE"""),"snickerswaferroll")</f>
        <v>snickerswaferroll</v>
      </c>
      <c r="E136" s="3" t="s">
        <v>427</v>
      </c>
    </row>
    <row r="137">
      <c r="A137" s="3" t="str">
        <f>IFERROR(__xludf.DUMMYFUNCTION("""COMPUTED_VALUE"""),"406a1fee")</f>
        <v>406a1fee</v>
      </c>
      <c r="B137" s="3" t="s">
        <v>388</v>
      </c>
      <c r="C137" s="3" t="s">
        <v>549</v>
      </c>
      <c r="D137" s="3" t="str">
        <f>IFERROR(__xludf.DUMMYFUNCTION("""COMPUTED_VALUE"""),"mirindabittersoda")</f>
        <v>mirindabittersoda</v>
      </c>
      <c r="E137" s="3" t="s">
        <v>427</v>
      </c>
    </row>
    <row r="138">
      <c r="A138" s="3" t="str">
        <f>IFERROR(__xludf.DUMMYFUNCTION("""COMPUTED_VALUE"""),"561399a6")</f>
        <v>561399a6</v>
      </c>
      <c r="B138" s="3" t="s">
        <v>391</v>
      </c>
      <c r="C138" s="3" t="s">
        <v>550</v>
      </c>
      <c r="D138" s="3" t="str">
        <f>IFERROR(__xludf.DUMMYFUNCTION("""COMPUTED_VALUE"""),"yupi")</f>
        <v>yupi</v>
      </c>
      <c r="E138" s="3" t="s">
        <v>427</v>
      </c>
    </row>
    <row r="139">
      <c r="A139" s="3" t="str">
        <f>IFERROR(__xludf.DUMMYFUNCTION("""COMPUTED_VALUE"""),"e9e2a383")</f>
        <v>e9e2a383</v>
      </c>
      <c r="B139" s="3" t="s">
        <v>394</v>
      </c>
      <c r="C139" s="3" t="s">
        <v>551</v>
      </c>
      <c r="D139" s="3" t="str">
        <f>IFERROR(__xludf.DUMMYFUNCTION("""COMPUTED_VALUE"""),"behappy")</f>
        <v>behappy</v>
      </c>
      <c r="E139" s="3" t="s">
        <v>427</v>
      </c>
    </row>
    <row r="140">
      <c r="A140" s="3" t="str">
        <f>IFERROR(__xludf.DUMMYFUNCTION("""COMPUTED_VALUE"""),"8ed00567")</f>
        <v>8ed00567</v>
      </c>
      <c r="B140" s="3" t="s">
        <v>397</v>
      </c>
      <c r="C140" s="3" t="s">
        <v>552</v>
      </c>
      <c r="D140" s="3" t="str">
        <f>IFERROR(__xludf.DUMMYFUNCTION("""COMPUTED_VALUE"""),"bembo")</f>
        <v>bembo</v>
      </c>
      <c r="E140" s="3" t="s">
        <v>427</v>
      </c>
    </row>
    <row r="141">
      <c r="A141" s="3" t="str">
        <f>IFERROR(__xludf.DUMMYFUNCTION("""COMPUTED_VALUE"""),"220a28b9")</f>
        <v>220a28b9</v>
      </c>
      <c r="B141" s="3" t="s">
        <v>400</v>
      </c>
      <c r="C141" s="3" t="s">
        <v>553</v>
      </c>
      <c r="D141" s="3" t="str">
        <f>IFERROR(__xludf.DUMMYFUNCTION("""COMPUTED_VALUE"""),"milka")</f>
        <v>milka</v>
      </c>
      <c r="E141" s="3" t="s">
        <v>427</v>
      </c>
    </row>
    <row r="142">
      <c r="A142" s="3" t="str">
        <f>IFERROR(__xludf.DUMMYFUNCTION("""COMPUTED_VALUE"""),"f998044c")</f>
        <v>f998044c</v>
      </c>
      <c r="B142" s="3" t="s">
        <v>403</v>
      </c>
      <c r="C142" s="3" t="s">
        <v>554</v>
      </c>
      <c r="D142" s="3" t="str">
        <f>IFERROR(__xludf.DUMMYFUNCTION("""COMPUTED_VALUE"""),"kinderschokolade")</f>
        <v>kinderschokolade</v>
      </c>
      <c r="E142" s="3" t="s">
        <v>427</v>
      </c>
    </row>
    <row r="143">
      <c r="A143" s="3" t="str">
        <f>IFERROR(__xludf.DUMMYFUNCTION("""COMPUTED_VALUE"""),"70bdbe11")</f>
        <v>70bdbe11</v>
      </c>
      <c r="B143" s="3" t="s">
        <v>406</v>
      </c>
      <c r="C143" s="3" t="s">
        <v>555</v>
      </c>
      <c r="D143" s="3" t="str">
        <f>IFERROR(__xludf.DUMMYFUNCTION("""COMPUTED_VALUE"""),"schweppespineapple")</f>
        <v>schweppespineapple</v>
      </c>
      <c r="E143" s="3" t="s">
        <v>427</v>
      </c>
    </row>
    <row r="144">
      <c r="A144" s="3" t="str">
        <f>IFERROR(__xludf.DUMMYFUNCTION("""COMPUTED_VALUE"""),"eda833ca")</f>
        <v>eda833ca</v>
      </c>
      <c r="B144" s="3" t="s">
        <v>409</v>
      </c>
      <c r="C144" s="3" t="s">
        <v>556</v>
      </c>
      <c r="D144" s="3" t="str">
        <f>IFERROR(__xludf.DUMMYFUNCTION("""COMPUTED_VALUE"""),"mrcrunchnormal")</f>
        <v>mrcrunchnormal</v>
      </c>
      <c r="E144" s="3" t="s">
        <v>427</v>
      </c>
    </row>
    <row r="145">
      <c r="A145" s="3" t="str">
        <f>IFERROR(__xludf.DUMMYFUNCTION("""COMPUTED_VALUE"""),"951a092f")</f>
        <v>951a092f</v>
      </c>
      <c r="B145" s="3" t="s">
        <v>412</v>
      </c>
      <c r="C145" s="3" t="s">
        <v>557</v>
      </c>
      <c r="D145" s="3" t="str">
        <f>IFERROR(__xludf.DUMMYFUNCTION("""COMPUTED_VALUE"""),"daddychips")</f>
        <v>daddychips</v>
      </c>
      <c r="E145" s="3" t="s">
        <v>427</v>
      </c>
    </row>
    <row r="146">
      <c r="A146" s="3" t="str">
        <f>IFERROR(__xludf.DUMMYFUNCTION("""COMPUTED_VALUE"""),"6c787857")</f>
        <v>6c787857</v>
      </c>
      <c r="B146" s="3" t="s">
        <v>415</v>
      </c>
      <c r="C146" s="3" t="s">
        <v>558</v>
      </c>
      <c r="D146" s="3" t="str">
        <f>IFERROR(__xludf.DUMMYFUNCTION("""COMPUTED_VALUE"""),"minicco")</f>
        <v>minicco</v>
      </c>
      <c r="E146" s="3" t="s">
        <v>427</v>
      </c>
    </row>
    <row r="147">
      <c r="A147" s="3" t="str">
        <f>IFERROR(__xludf.DUMMYFUNCTION("""COMPUTED_VALUE"""),"7221daf3")</f>
        <v>7221daf3</v>
      </c>
      <c r="B147" s="3" t="s">
        <v>400</v>
      </c>
      <c r="C147" s="3" t="s">
        <v>553</v>
      </c>
      <c r="D147" s="3" t="str">
        <f>IFERROR(__xludf.DUMMYFUNCTION("""COMPUTED_VALUE"""),"milka")</f>
        <v>milka</v>
      </c>
      <c r="E147" s="3" t="s">
        <v>427</v>
      </c>
    </row>
    <row r="148">
      <c r="A148" s="3" t="str">
        <f>IFERROR(__xludf.DUMMYFUNCTION("""COMPUTED_VALUE"""),"c22010ef")</f>
        <v>c22010ef</v>
      </c>
      <c r="B148" s="3" t="s">
        <v>420</v>
      </c>
      <c r="C148" s="3" t="s">
        <v>559</v>
      </c>
      <c r="D148" s="3" t="str">
        <f>IFERROR(__xludf.DUMMYFUNCTION("""COMPUTED_VALUE"""),"doritosketchupjalapeno")</f>
        <v>doritosketchupjalapeno</v>
      </c>
      <c r="E148" s="3" t="s">
        <v>427</v>
      </c>
    </row>
    <row r="149">
      <c r="B149" s="3" t="s">
        <v>427</v>
      </c>
      <c r="C149" s="3" t="s">
        <v>427</v>
      </c>
      <c r="D149" s="3" t="str">
        <f>IFERROR(__xludf.DUMMYFUNCTION("""COMPUTED_VALUE"""),"")</f>
        <v/>
      </c>
      <c r="E149" s="3" t="s">
        <v>427</v>
      </c>
    </row>
    <row r="150">
      <c r="B150" s="3" t="s">
        <v>427</v>
      </c>
      <c r="C150" s="3" t="s">
        <v>427</v>
      </c>
      <c r="D150" s="3" t="str">
        <f>IFERROR(__xludf.DUMMYFUNCTION("""COMPUTED_VALUE"""),"")</f>
        <v/>
      </c>
      <c r="E150" s="3" t="s">
        <v>427</v>
      </c>
    </row>
    <row r="151">
      <c r="B151" s="3" t="s">
        <v>427</v>
      </c>
      <c r="C151" s="3" t="s">
        <v>427</v>
      </c>
      <c r="D151" s="3" t="str">
        <f>IFERROR(__xludf.DUMMYFUNCTION("""COMPUTED_VALUE"""),"")</f>
        <v/>
      </c>
      <c r="E151" s="3" t="s">
        <v>427</v>
      </c>
    </row>
    <row r="152">
      <c r="B152" s="3" t="s">
        <v>427</v>
      </c>
      <c r="C152" s="3" t="s">
        <v>427</v>
      </c>
      <c r="D152" s="3" t="str">
        <f>IFERROR(__xludf.DUMMYFUNCTION("""COMPUTED_VALUE"""),"")</f>
        <v/>
      </c>
      <c r="E152" s="3" t="s">
        <v>427</v>
      </c>
    </row>
    <row r="153">
      <c r="B153" s="3" t="s">
        <v>427</v>
      </c>
      <c r="C153" s="3" t="s">
        <v>427</v>
      </c>
      <c r="D153" s="3" t="str">
        <f>IFERROR(__xludf.DUMMYFUNCTION("""COMPUTED_VALUE"""),"")</f>
        <v/>
      </c>
      <c r="E153" s="3" t="s">
        <v>427</v>
      </c>
    </row>
    <row r="154">
      <c r="B154" s="3" t="s">
        <v>427</v>
      </c>
      <c r="C154" s="3" t="s">
        <v>427</v>
      </c>
      <c r="D154" s="3" t="str">
        <f>IFERROR(__xludf.DUMMYFUNCTION("""COMPUTED_VALUE"""),"")</f>
        <v/>
      </c>
      <c r="E154" s="3" t="s">
        <v>427</v>
      </c>
    </row>
    <row r="155">
      <c r="B155" s="3" t="s">
        <v>427</v>
      </c>
      <c r="C155" s="3" t="s">
        <v>427</v>
      </c>
      <c r="D155" s="3" t="str">
        <f>IFERROR(__xludf.DUMMYFUNCTION("""COMPUTED_VALUE"""),"")</f>
        <v/>
      </c>
      <c r="E155" s="3" t="s">
        <v>427</v>
      </c>
    </row>
    <row r="156">
      <c r="B156" s="3" t="s">
        <v>427</v>
      </c>
      <c r="C156" s="3" t="s">
        <v>427</v>
      </c>
      <c r="D156" s="3" t="str">
        <f>IFERROR(__xludf.DUMMYFUNCTION("""COMPUTED_VALUE"""),"")</f>
        <v/>
      </c>
      <c r="E156" s="3" t="s">
        <v>427</v>
      </c>
    </row>
    <row r="157">
      <c r="B157" s="3" t="s">
        <v>427</v>
      </c>
      <c r="C157" s="3" t="s">
        <v>427</v>
      </c>
      <c r="D157" s="3" t="str">
        <f>IFERROR(__xludf.DUMMYFUNCTION("""COMPUTED_VALUE"""),"")</f>
        <v/>
      </c>
      <c r="E157" s="3" t="s">
        <v>427</v>
      </c>
    </row>
    <row r="158">
      <c r="B158" s="3" t="s">
        <v>427</v>
      </c>
      <c r="C158" s="3" t="s">
        <v>427</v>
      </c>
      <c r="D158" s="3" t="str">
        <f>IFERROR(__xludf.DUMMYFUNCTION("""COMPUTED_VALUE"""),"")</f>
        <v/>
      </c>
      <c r="E158" s="3" t="s">
        <v>427</v>
      </c>
    </row>
    <row r="159">
      <c r="B159" s="3" t="s">
        <v>427</v>
      </c>
      <c r="C159" s="3" t="s">
        <v>427</v>
      </c>
      <c r="D159" s="3" t="str">
        <f>IFERROR(__xludf.DUMMYFUNCTION("""COMPUTED_VALUE"""),"")</f>
        <v/>
      </c>
      <c r="E159" s="3" t="s">
        <v>427</v>
      </c>
    </row>
    <row r="160">
      <c r="B160" s="3" t="s">
        <v>427</v>
      </c>
      <c r="C160" s="3" t="s">
        <v>427</v>
      </c>
      <c r="D160" s="3" t="str">
        <f>IFERROR(__xludf.DUMMYFUNCTION("""COMPUTED_VALUE"""),"")</f>
        <v/>
      </c>
      <c r="E160" s="3" t="s">
        <v>427</v>
      </c>
    </row>
    <row r="161">
      <c r="B161" s="3" t="s">
        <v>427</v>
      </c>
      <c r="C161" s="3" t="s">
        <v>427</v>
      </c>
      <c r="D161" s="3" t="str">
        <f>IFERROR(__xludf.DUMMYFUNCTION("""COMPUTED_VALUE"""),"")</f>
        <v/>
      </c>
      <c r="E161" s="3" t="s">
        <v>427</v>
      </c>
    </row>
    <row r="162">
      <c r="B162" s="3" t="s">
        <v>427</v>
      </c>
      <c r="C162" s="3" t="s">
        <v>427</v>
      </c>
      <c r="D162" s="3" t="str">
        <f>IFERROR(__xludf.DUMMYFUNCTION("""COMPUTED_VALUE"""),"")</f>
        <v/>
      </c>
      <c r="E162" s="3" t="s">
        <v>427</v>
      </c>
    </row>
    <row r="163">
      <c r="B163" s="3" t="s">
        <v>427</v>
      </c>
      <c r="C163" s="3" t="s">
        <v>427</v>
      </c>
      <c r="D163" s="3" t="str">
        <f>IFERROR(__xludf.DUMMYFUNCTION("""COMPUTED_VALUE"""),"")</f>
        <v/>
      </c>
      <c r="E163" s="3" t="s">
        <v>427</v>
      </c>
    </row>
    <row r="164">
      <c r="B164" s="3" t="s">
        <v>427</v>
      </c>
      <c r="C164" s="3" t="s">
        <v>427</v>
      </c>
      <c r="D164" s="3" t="str">
        <f>IFERROR(__xludf.DUMMYFUNCTION("""COMPUTED_VALUE"""),"")</f>
        <v/>
      </c>
      <c r="E164" s="3" t="s">
        <v>427</v>
      </c>
    </row>
    <row r="165">
      <c r="B165" s="3" t="s">
        <v>427</v>
      </c>
      <c r="C165" s="3" t="s">
        <v>427</v>
      </c>
      <c r="D165" s="3" t="str">
        <f>IFERROR(__xludf.DUMMYFUNCTION("""COMPUTED_VALUE"""),"")</f>
        <v/>
      </c>
      <c r="E165" s="3" t="s">
        <v>427</v>
      </c>
    </row>
    <row r="166">
      <c r="B166" s="3" t="s">
        <v>427</v>
      </c>
      <c r="C166" s="3" t="s">
        <v>427</v>
      </c>
      <c r="D166" s="3" t="str">
        <f>IFERROR(__xludf.DUMMYFUNCTION("""COMPUTED_VALUE"""),"")</f>
        <v/>
      </c>
      <c r="E166" s="3" t="s">
        <v>427</v>
      </c>
    </row>
    <row r="167">
      <c r="B167" s="3" t="s">
        <v>427</v>
      </c>
      <c r="C167" s="3" t="s">
        <v>427</v>
      </c>
      <c r="D167" s="3" t="str">
        <f>IFERROR(__xludf.DUMMYFUNCTION("""COMPUTED_VALUE"""),"")</f>
        <v/>
      </c>
      <c r="E167" s="3" t="s">
        <v>427</v>
      </c>
    </row>
    <row r="168">
      <c r="B168" s="3" t="s">
        <v>427</v>
      </c>
      <c r="C168" s="3" t="s">
        <v>427</v>
      </c>
      <c r="D168" s="3" t="str">
        <f>IFERROR(__xludf.DUMMYFUNCTION("""COMPUTED_VALUE"""),"")</f>
        <v/>
      </c>
      <c r="E168" s="3" t="s">
        <v>427</v>
      </c>
    </row>
    <row r="169">
      <c r="B169" s="3" t="s">
        <v>427</v>
      </c>
      <c r="C169" s="3" t="s">
        <v>427</v>
      </c>
      <c r="D169" s="3" t="str">
        <f>IFERROR(__xludf.DUMMYFUNCTION("""COMPUTED_VALUE"""),"")</f>
        <v/>
      </c>
      <c r="E169" s="3" t="s">
        <v>427</v>
      </c>
    </row>
    <row r="170">
      <c r="B170" s="3" t="s">
        <v>427</v>
      </c>
      <c r="C170" s="3" t="s">
        <v>427</v>
      </c>
      <c r="D170" s="3" t="str">
        <f>IFERROR(__xludf.DUMMYFUNCTION("""COMPUTED_VALUE"""),"")</f>
        <v/>
      </c>
      <c r="E170" s="3" t="s">
        <v>427</v>
      </c>
    </row>
    <row r="171">
      <c r="B171" s="3" t="s">
        <v>427</v>
      </c>
      <c r="C171" s="3" t="s">
        <v>427</v>
      </c>
      <c r="D171" s="3" t="str">
        <f>IFERROR(__xludf.DUMMYFUNCTION("""COMPUTED_VALUE"""),"")</f>
        <v/>
      </c>
      <c r="E171" s="3" t="s">
        <v>427</v>
      </c>
    </row>
    <row r="172">
      <c r="B172" s="3" t="s">
        <v>427</v>
      </c>
      <c r="C172" s="3" t="s">
        <v>427</v>
      </c>
      <c r="D172" s="3" t="str">
        <f>IFERROR(__xludf.DUMMYFUNCTION("""COMPUTED_VALUE"""),"")</f>
        <v/>
      </c>
      <c r="E172" s="3" t="s">
        <v>427</v>
      </c>
    </row>
    <row r="173">
      <c r="B173" s="3" t="s">
        <v>427</v>
      </c>
      <c r="C173" s="3" t="s">
        <v>427</v>
      </c>
      <c r="D173" s="3" t="str">
        <f>IFERROR(__xludf.DUMMYFUNCTION("""COMPUTED_VALUE"""),"")</f>
        <v/>
      </c>
      <c r="E173" s="3" t="s">
        <v>427</v>
      </c>
    </row>
    <row r="174">
      <c r="B174" s="3" t="s">
        <v>427</v>
      </c>
      <c r="C174" s="3" t="s">
        <v>427</v>
      </c>
      <c r="D174" s="3" t="str">
        <f>IFERROR(__xludf.DUMMYFUNCTION("""COMPUTED_VALUE"""),"")</f>
        <v/>
      </c>
      <c r="E174" s="3" t="s">
        <v>427</v>
      </c>
    </row>
    <row r="175">
      <c r="B175" s="3" t="s">
        <v>427</v>
      </c>
      <c r="C175" s="3" t="s">
        <v>427</v>
      </c>
      <c r="D175" s="3" t="str">
        <f>IFERROR(__xludf.DUMMYFUNCTION("""COMPUTED_VALUE"""),"")</f>
        <v/>
      </c>
      <c r="E175" s="3" t="s">
        <v>427</v>
      </c>
    </row>
    <row r="176">
      <c r="B176" s="3" t="s">
        <v>427</v>
      </c>
      <c r="C176" s="3" t="s">
        <v>427</v>
      </c>
      <c r="D176" s="3" t="str">
        <f>IFERROR(__xludf.DUMMYFUNCTION("""COMPUTED_VALUE"""),"")</f>
        <v/>
      </c>
      <c r="E176" s="3" t="s">
        <v>427</v>
      </c>
    </row>
    <row r="177">
      <c r="B177" s="3" t="s">
        <v>427</v>
      </c>
      <c r="C177" s="3" t="s">
        <v>427</v>
      </c>
      <c r="D177" s="3" t="str">
        <f>IFERROR(__xludf.DUMMYFUNCTION("""COMPUTED_VALUE"""),"")</f>
        <v/>
      </c>
      <c r="E177" s="3" t="s">
        <v>427</v>
      </c>
    </row>
    <row r="178">
      <c r="B178" s="3" t="s">
        <v>427</v>
      </c>
      <c r="C178" s="3" t="s">
        <v>427</v>
      </c>
      <c r="D178" s="3" t="str">
        <f>IFERROR(__xludf.DUMMYFUNCTION("""COMPUTED_VALUE"""),"")</f>
        <v/>
      </c>
      <c r="E178" s="3" t="s">
        <v>427</v>
      </c>
    </row>
    <row r="179">
      <c r="B179" s="3" t="s">
        <v>427</v>
      </c>
      <c r="C179" s="3" t="s">
        <v>427</v>
      </c>
      <c r="D179" s="3" t="str">
        <f>IFERROR(__xludf.DUMMYFUNCTION("""COMPUTED_VALUE"""),"")</f>
        <v/>
      </c>
      <c r="E179" s="3" t="s">
        <v>427</v>
      </c>
    </row>
    <row r="180">
      <c r="B180" s="3" t="s">
        <v>427</v>
      </c>
      <c r="C180" s="3" t="s">
        <v>427</v>
      </c>
      <c r="D180" s="3" t="str">
        <f>IFERROR(__xludf.DUMMYFUNCTION("""COMPUTED_VALUE"""),"")</f>
        <v/>
      </c>
      <c r="E180" s="3" t="s">
        <v>427</v>
      </c>
    </row>
    <row r="181">
      <c r="B181" s="3" t="s">
        <v>427</v>
      </c>
      <c r="C181" s="3" t="s">
        <v>427</v>
      </c>
      <c r="D181" s="3" t="str">
        <f>IFERROR(__xludf.DUMMYFUNCTION("""COMPUTED_VALUE"""),"")</f>
        <v/>
      </c>
      <c r="E181" s="3" t="s">
        <v>427</v>
      </c>
    </row>
    <row r="182">
      <c r="B182" s="3" t="s">
        <v>427</v>
      </c>
      <c r="C182" s="3" t="s">
        <v>427</v>
      </c>
      <c r="D182" s="3" t="str">
        <f>IFERROR(__xludf.DUMMYFUNCTION("""COMPUTED_VALUE"""),"")</f>
        <v/>
      </c>
      <c r="E182" s="3" t="s">
        <v>427</v>
      </c>
    </row>
    <row r="183">
      <c r="B183" s="3" t="s">
        <v>427</v>
      </c>
      <c r="C183" s="3" t="s">
        <v>427</v>
      </c>
      <c r="D183" s="3" t="str">
        <f>IFERROR(__xludf.DUMMYFUNCTION("""COMPUTED_VALUE"""),"")</f>
        <v/>
      </c>
      <c r="E183" s="3" t="s">
        <v>427</v>
      </c>
    </row>
    <row r="184">
      <c r="B184" s="3" t="s">
        <v>427</v>
      </c>
      <c r="C184" s="3" t="s">
        <v>427</v>
      </c>
      <c r="D184" s="3" t="str">
        <f>IFERROR(__xludf.DUMMYFUNCTION("""COMPUTED_VALUE"""),"")</f>
        <v/>
      </c>
      <c r="E184" s="3" t="s">
        <v>427</v>
      </c>
    </row>
    <row r="185">
      <c r="B185" s="3" t="s">
        <v>427</v>
      </c>
      <c r="C185" s="3" t="s">
        <v>427</v>
      </c>
      <c r="D185" s="3" t="str">
        <f>IFERROR(__xludf.DUMMYFUNCTION("""COMPUTED_VALUE"""),"")</f>
        <v/>
      </c>
      <c r="E185" s="3" t="s">
        <v>427</v>
      </c>
    </row>
    <row r="186">
      <c r="B186" s="3" t="s">
        <v>427</v>
      </c>
      <c r="C186" s="3" t="s">
        <v>427</v>
      </c>
      <c r="D186" s="3" t="str">
        <f>IFERROR(__xludf.DUMMYFUNCTION("""COMPUTED_VALUE"""),"")</f>
        <v/>
      </c>
      <c r="E186" s="3" t="s">
        <v>427</v>
      </c>
    </row>
    <row r="187">
      <c r="B187" s="3" t="s">
        <v>427</v>
      </c>
      <c r="C187" s="3" t="s">
        <v>427</v>
      </c>
      <c r="D187" s="3" t="str">
        <f>IFERROR(__xludf.DUMMYFUNCTION("""COMPUTED_VALUE"""),"")</f>
        <v/>
      </c>
      <c r="E187" s="3" t="s">
        <v>427</v>
      </c>
    </row>
    <row r="188">
      <c r="B188" s="3" t="s">
        <v>427</v>
      </c>
      <c r="C188" s="3" t="s">
        <v>427</v>
      </c>
      <c r="D188" s="3" t="str">
        <f>IFERROR(__xludf.DUMMYFUNCTION("""COMPUTED_VALUE"""),"")</f>
        <v/>
      </c>
      <c r="E188" s="3" t="s">
        <v>427</v>
      </c>
    </row>
    <row r="189">
      <c r="B189" s="3" t="s">
        <v>427</v>
      </c>
      <c r="C189" s="3" t="s">
        <v>427</v>
      </c>
      <c r="D189" s="3" t="str">
        <f>IFERROR(__xludf.DUMMYFUNCTION("""COMPUTED_VALUE"""),"")</f>
        <v/>
      </c>
      <c r="E189" s="3" t="s">
        <v>427</v>
      </c>
    </row>
    <row r="190">
      <c r="B190" s="3" t="s">
        <v>427</v>
      </c>
      <c r="C190" s="3" t="s">
        <v>427</v>
      </c>
      <c r="D190" s="3" t="str">
        <f>IFERROR(__xludf.DUMMYFUNCTION("""COMPUTED_VALUE"""),"")</f>
        <v/>
      </c>
      <c r="E190" s="3" t="s">
        <v>427</v>
      </c>
    </row>
    <row r="191">
      <c r="B191" s="3" t="s">
        <v>427</v>
      </c>
      <c r="C191" s="3" t="s">
        <v>427</v>
      </c>
      <c r="D191" s="3" t="str">
        <f>IFERROR(__xludf.DUMMYFUNCTION("""COMPUTED_VALUE"""),"")</f>
        <v/>
      </c>
      <c r="E191" s="3" t="s">
        <v>427</v>
      </c>
    </row>
    <row r="192">
      <c r="B192" s="3" t="s">
        <v>427</v>
      </c>
      <c r="C192" s="3" t="s">
        <v>427</v>
      </c>
      <c r="D192" s="3" t="str">
        <f>IFERROR(__xludf.DUMMYFUNCTION("""COMPUTED_VALUE"""),"")</f>
        <v/>
      </c>
      <c r="E192" s="3" t="s">
        <v>427</v>
      </c>
    </row>
    <row r="193">
      <c r="B193" s="3" t="s">
        <v>427</v>
      </c>
      <c r="C193" s="3" t="s">
        <v>427</v>
      </c>
      <c r="D193" s="3" t="str">
        <f>IFERROR(__xludf.DUMMYFUNCTION("""COMPUTED_VALUE"""),"")</f>
        <v/>
      </c>
      <c r="E193" s="3" t="s">
        <v>427</v>
      </c>
    </row>
    <row r="194">
      <c r="B194" s="3" t="s">
        <v>427</v>
      </c>
      <c r="C194" s="3" t="s">
        <v>427</v>
      </c>
      <c r="D194" s="3" t="str">
        <f>IFERROR(__xludf.DUMMYFUNCTION("""COMPUTED_VALUE"""),"")</f>
        <v/>
      </c>
      <c r="E194" s="3" t="s">
        <v>427</v>
      </c>
    </row>
    <row r="195">
      <c r="B195" s="3" t="s">
        <v>427</v>
      </c>
      <c r="C195" s="3" t="s">
        <v>427</v>
      </c>
      <c r="D195" s="3" t="str">
        <f>IFERROR(__xludf.DUMMYFUNCTION("""COMPUTED_VALUE"""),"")</f>
        <v/>
      </c>
      <c r="E195" s="3" t="s">
        <v>427</v>
      </c>
    </row>
    <row r="196">
      <c r="B196" s="3" t="s">
        <v>427</v>
      </c>
      <c r="C196" s="3" t="s">
        <v>427</v>
      </c>
      <c r="D196" s="3" t="str">
        <f>IFERROR(__xludf.DUMMYFUNCTION("""COMPUTED_VALUE"""),"")</f>
        <v/>
      </c>
      <c r="E196" s="3" t="s">
        <v>427</v>
      </c>
    </row>
    <row r="197">
      <c r="B197" s="3" t="s">
        <v>427</v>
      </c>
      <c r="C197" s="3" t="s">
        <v>427</v>
      </c>
      <c r="D197" s="3" t="str">
        <f>IFERROR(__xludf.DUMMYFUNCTION("""COMPUTED_VALUE"""),"")</f>
        <v/>
      </c>
      <c r="E197" s="3" t="s">
        <v>427</v>
      </c>
    </row>
    <row r="198">
      <c r="B198" s="3" t="s">
        <v>427</v>
      </c>
      <c r="C198" s="3" t="s">
        <v>427</v>
      </c>
      <c r="D198" s="3" t="str">
        <f>IFERROR(__xludf.DUMMYFUNCTION("""COMPUTED_VALUE"""),"")</f>
        <v/>
      </c>
      <c r="E198" s="3" t="s">
        <v>427</v>
      </c>
    </row>
    <row r="199">
      <c r="B199" s="3" t="s">
        <v>427</v>
      </c>
      <c r="C199" s="3" t="s">
        <v>427</v>
      </c>
      <c r="D199" s="3" t="str">
        <f>IFERROR(__xludf.DUMMYFUNCTION("""COMPUTED_VALUE"""),"")</f>
        <v/>
      </c>
      <c r="E199" s="3" t="s">
        <v>427</v>
      </c>
    </row>
    <row r="200">
      <c r="B200" s="3" t="s">
        <v>427</v>
      </c>
      <c r="C200" s="3" t="s">
        <v>427</v>
      </c>
      <c r="D200" s="3" t="str">
        <f>IFERROR(__xludf.DUMMYFUNCTION("""COMPUTED_VALUE"""),"")</f>
        <v/>
      </c>
      <c r="E200" s="3" t="s">
        <v>427</v>
      </c>
    </row>
    <row r="201">
      <c r="B201" s="3" t="s">
        <v>427</v>
      </c>
      <c r="C201" s="3" t="s">
        <v>427</v>
      </c>
      <c r="D201" s="3" t="str">
        <f>IFERROR(__xludf.DUMMYFUNCTION("""COMPUTED_VALUE"""),"")</f>
        <v/>
      </c>
      <c r="E201" s="3" t="s">
        <v>427</v>
      </c>
    </row>
    <row r="202">
      <c r="B202" s="3" t="s">
        <v>427</v>
      </c>
      <c r="C202" s="3" t="s">
        <v>427</v>
      </c>
      <c r="D202" s="3" t="str">
        <f>IFERROR(__xludf.DUMMYFUNCTION("""COMPUTED_VALUE"""),"")</f>
        <v/>
      </c>
      <c r="E202" s="3" t="s">
        <v>427</v>
      </c>
    </row>
    <row r="203">
      <c r="B203" s="3" t="s">
        <v>427</v>
      </c>
      <c r="C203" s="3" t="s">
        <v>427</v>
      </c>
      <c r="D203" s="3" t="str">
        <f>IFERROR(__xludf.DUMMYFUNCTION("""COMPUTED_VALUE"""),"")</f>
        <v/>
      </c>
      <c r="E203" s="3" t="s">
        <v>427</v>
      </c>
    </row>
    <row r="204">
      <c r="B204" s="3" t="s">
        <v>427</v>
      </c>
      <c r="C204" s="3" t="s">
        <v>427</v>
      </c>
      <c r="D204" s="3" t="str">
        <f>IFERROR(__xludf.DUMMYFUNCTION("""COMPUTED_VALUE"""),"")</f>
        <v/>
      </c>
      <c r="E204" s="3" t="s">
        <v>427</v>
      </c>
    </row>
    <row r="205">
      <c r="B205" s="3" t="s">
        <v>427</v>
      </c>
      <c r="C205" s="3" t="s">
        <v>427</v>
      </c>
      <c r="D205" s="3" t="str">
        <f>IFERROR(__xludf.DUMMYFUNCTION("""COMPUTED_VALUE"""),"")</f>
        <v/>
      </c>
      <c r="E205" s="3" t="s">
        <v>427</v>
      </c>
    </row>
    <row r="206">
      <c r="B206" s="3" t="s">
        <v>427</v>
      </c>
      <c r="C206" s="3" t="s">
        <v>427</v>
      </c>
      <c r="D206" s="3" t="str">
        <f>IFERROR(__xludf.DUMMYFUNCTION("""COMPUTED_VALUE"""),"")</f>
        <v/>
      </c>
      <c r="E206" s="3" t="s">
        <v>427</v>
      </c>
    </row>
    <row r="207">
      <c r="B207" s="3" t="s">
        <v>427</v>
      </c>
      <c r="C207" s="3" t="s">
        <v>427</v>
      </c>
      <c r="D207" s="3" t="str">
        <f>IFERROR(__xludf.DUMMYFUNCTION("""COMPUTED_VALUE"""),"")</f>
        <v/>
      </c>
      <c r="E207" s="3" t="s">
        <v>427</v>
      </c>
    </row>
    <row r="208">
      <c r="B208" s="3" t="s">
        <v>427</v>
      </c>
      <c r="C208" s="3" t="s">
        <v>427</v>
      </c>
      <c r="D208" s="3" t="str">
        <f>IFERROR(__xludf.DUMMYFUNCTION("""COMPUTED_VALUE"""),"")</f>
        <v/>
      </c>
      <c r="E208" s="3" t="s">
        <v>427</v>
      </c>
    </row>
    <row r="209">
      <c r="B209" s="3" t="s">
        <v>427</v>
      </c>
      <c r="C209" s="3" t="s">
        <v>427</v>
      </c>
      <c r="D209" s="3" t="str">
        <f>IFERROR(__xludf.DUMMYFUNCTION("""COMPUTED_VALUE"""),"")</f>
        <v/>
      </c>
      <c r="E209" s="3" t="s">
        <v>427</v>
      </c>
    </row>
    <row r="210">
      <c r="B210" s="3" t="s">
        <v>427</v>
      </c>
      <c r="C210" s="3" t="s">
        <v>427</v>
      </c>
      <c r="D210" s="3" t="str">
        <f>IFERROR(__xludf.DUMMYFUNCTION("""COMPUTED_VALUE"""),"")</f>
        <v/>
      </c>
      <c r="E210" s="3" t="s">
        <v>427</v>
      </c>
    </row>
    <row r="211">
      <c r="B211" s="3" t="s">
        <v>427</v>
      </c>
      <c r="C211" s="3" t="s">
        <v>427</v>
      </c>
      <c r="D211" s="3" t="str">
        <f>IFERROR(__xludf.DUMMYFUNCTION("""COMPUTED_VALUE"""),"")</f>
        <v/>
      </c>
      <c r="E211" s="3" t="s">
        <v>427</v>
      </c>
    </row>
    <row r="212">
      <c r="B212" s="3" t="s">
        <v>427</v>
      </c>
      <c r="C212" s="3" t="s">
        <v>427</v>
      </c>
      <c r="D212" s="3" t="str">
        <f>IFERROR(__xludf.DUMMYFUNCTION("""COMPUTED_VALUE"""),"")</f>
        <v/>
      </c>
      <c r="E212" s="3" t="s">
        <v>427</v>
      </c>
    </row>
    <row r="213">
      <c r="B213" s="3" t="s">
        <v>427</v>
      </c>
      <c r="C213" s="3" t="s">
        <v>427</v>
      </c>
      <c r="D213" s="3" t="str">
        <f>IFERROR(__xludf.DUMMYFUNCTION("""COMPUTED_VALUE"""),"")</f>
        <v/>
      </c>
      <c r="E213" s="3" t="s">
        <v>427</v>
      </c>
    </row>
    <row r="214">
      <c r="B214" s="3" t="s">
        <v>427</v>
      </c>
      <c r="C214" s="3" t="s">
        <v>427</v>
      </c>
      <c r="D214" s="3" t="str">
        <f>IFERROR(__xludf.DUMMYFUNCTION("""COMPUTED_VALUE"""),"")</f>
        <v/>
      </c>
      <c r="E214" s="3" t="s">
        <v>427</v>
      </c>
    </row>
    <row r="215">
      <c r="B215" s="3" t="s">
        <v>427</v>
      </c>
      <c r="C215" s="3" t="s">
        <v>427</v>
      </c>
      <c r="D215" s="3" t="str">
        <f>IFERROR(__xludf.DUMMYFUNCTION("""COMPUTED_VALUE"""),"")</f>
        <v/>
      </c>
      <c r="E215" s="3" t="s">
        <v>427</v>
      </c>
    </row>
    <row r="216">
      <c r="B216" s="3" t="s">
        <v>427</v>
      </c>
      <c r="C216" s="3" t="s">
        <v>427</v>
      </c>
      <c r="D216" s="3" t="str">
        <f>IFERROR(__xludf.DUMMYFUNCTION("""COMPUTED_VALUE"""),"")</f>
        <v/>
      </c>
      <c r="E216" s="3" t="s">
        <v>427</v>
      </c>
    </row>
    <row r="217">
      <c r="B217" s="3" t="s">
        <v>427</v>
      </c>
      <c r="C217" s="3" t="s">
        <v>427</v>
      </c>
      <c r="D217" s="3" t="str">
        <f>IFERROR(__xludf.DUMMYFUNCTION("""COMPUTED_VALUE"""),"")</f>
        <v/>
      </c>
      <c r="E217" s="3" t="s">
        <v>427</v>
      </c>
    </row>
    <row r="218">
      <c r="B218" s="3" t="s">
        <v>427</v>
      </c>
      <c r="C218" s="3" t="s">
        <v>427</v>
      </c>
      <c r="D218" s="3" t="str">
        <f>IFERROR(__xludf.DUMMYFUNCTION("""COMPUTED_VALUE"""),"")</f>
        <v/>
      </c>
      <c r="E218" s="3" t="s">
        <v>427</v>
      </c>
    </row>
    <row r="219">
      <c r="B219" s="3" t="s">
        <v>427</v>
      </c>
      <c r="C219" s="3" t="s">
        <v>427</v>
      </c>
      <c r="D219" s="3" t="str">
        <f>IFERROR(__xludf.DUMMYFUNCTION("""COMPUTED_VALUE"""),"")</f>
        <v/>
      </c>
      <c r="E219" s="3" t="s">
        <v>427</v>
      </c>
    </row>
    <row r="220">
      <c r="B220" s="3" t="s">
        <v>427</v>
      </c>
      <c r="C220" s="3" t="s">
        <v>427</v>
      </c>
      <c r="D220" s="3" t="str">
        <f>IFERROR(__xludf.DUMMYFUNCTION("""COMPUTED_VALUE"""),"")</f>
        <v/>
      </c>
      <c r="E220" s="3" t="s">
        <v>427</v>
      </c>
    </row>
    <row r="221">
      <c r="B221" s="3" t="s">
        <v>427</v>
      </c>
      <c r="C221" s="3" t="s">
        <v>427</v>
      </c>
      <c r="D221" s="3" t="str">
        <f>IFERROR(__xludf.DUMMYFUNCTION("""COMPUTED_VALUE"""),"")</f>
        <v/>
      </c>
      <c r="E221" s="3" t="s">
        <v>427</v>
      </c>
    </row>
    <row r="222">
      <c r="B222" s="3" t="s">
        <v>427</v>
      </c>
      <c r="C222" s="3" t="s">
        <v>427</v>
      </c>
      <c r="D222" s="3" t="str">
        <f>IFERROR(__xludf.DUMMYFUNCTION("""COMPUTED_VALUE"""),"")</f>
        <v/>
      </c>
      <c r="E222" s="3" t="s">
        <v>427</v>
      </c>
    </row>
    <row r="223">
      <c r="B223" s="3" t="s">
        <v>427</v>
      </c>
      <c r="C223" s="3" t="s">
        <v>427</v>
      </c>
      <c r="D223" s="3" t="str">
        <f>IFERROR(__xludf.DUMMYFUNCTION("""COMPUTED_VALUE"""),"")</f>
        <v/>
      </c>
      <c r="E223" s="3" t="s">
        <v>427</v>
      </c>
    </row>
    <row r="224">
      <c r="B224" s="3" t="s">
        <v>427</v>
      </c>
      <c r="C224" s="3" t="s">
        <v>427</v>
      </c>
      <c r="D224" s="3" t="str">
        <f>IFERROR(__xludf.DUMMYFUNCTION("""COMPUTED_VALUE"""),"")</f>
        <v/>
      </c>
      <c r="E224" s="3" t="s">
        <v>427</v>
      </c>
    </row>
    <row r="225">
      <c r="B225" s="3" t="s">
        <v>427</v>
      </c>
      <c r="C225" s="3" t="s">
        <v>427</v>
      </c>
      <c r="D225" s="3" t="str">
        <f>IFERROR(__xludf.DUMMYFUNCTION("""COMPUTED_VALUE"""),"")</f>
        <v/>
      </c>
      <c r="E225" s="3" t="s">
        <v>427</v>
      </c>
    </row>
    <row r="226">
      <c r="B226" s="3" t="s">
        <v>427</v>
      </c>
      <c r="C226" s="3" t="s">
        <v>427</v>
      </c>
      <c r="D226" s="3" t="str">
        <f>IFERROR(__xludf.DUMMYFUNCTION("""COMPUTED_VALUE"""),"")</f>
        <v/>
      </c>
      <c r="E226" s="3" t="s">
        <v>427</v>
      </c>
    </row>
    <row r="227">
      <c r="B227" s="3" t="s">
        <v>427</v>
      </c>
      <c r="C227" s="3" t="s">
        <v>427</v>
      </c>
      <c r="D227" s="3" t="str">
        <f>IFERROR(__xludf.DUMMYFUNCTION("""COMPUTED_VALUE"""),"")</f>
        <v/>
      </c>
      <c r="E227" s="3" t="s">
        <v>427</v>
      </c>
    </row>
    <row r="228">
      <c r="B228" s="3" t="s">
        <v>427</v>
      </c>
      <c r="C228" s="3" t="s">
        <v>427</v>
      </c>
      <c r="D228" s="3" t="str">
        <f>IFERROR(__xludf.DUMMYFUNCTION("""COMPUTED_VALUE"""),"")</f>
        <v/>
      </c>
      <c r="E228" s="3" t="s">
        <v>427</v>
      </c>
    </row>
    <row r="229">
      <c r="B229" s="3" t="s">
        <v>427</v>
      </c>
      <c r="C229" s="3" t="s">
        <v>427</v>
      </c>
      <c r="D229" s="3" t="str">
        <f>IFERROR(__xludf.DUMMYFUNCTION("""COMPUTED_VALUE"""),"")</f>
        <v/>
      </c>
      <c r="E229" s="3" t="s">
        <v>427</v>
      </c>
    </row>
    <row r="230">
      <c r="B230" s="3" t="s">
        <v>427</v>
      </c>
      <c r="C230" s="3" t="s">
        <v>427</v>
      </c>
      <c r="D230" s="3" t="str">
        <f>IFERROR(__xludf.DUMMYFUNCTION("""COMPUTED_VALUE"""),"")</f>
        <v/>
      </c>
      <c r="E230" s="3" t="s">
        <v>427</v>
      </c>
    </row>
    <row r="231">
      <c r="B231" s="3" t="s">
        <v>427</v>
      </c>
      <c r="C231" s="3" t="s">
        <v>427</v>
      </c>
      <c r="D231" s="3" t="str">
        <f>IFERROR(__xludf.DUMMYFUNCTION("""COMPUTED_VALUE"""),"")</f>
        <v/>
      </c>
      <c r="E231" s="3" t="s">
        <v>427</v>
      </c>
    </row>
    <row r="232">
      <c r="B232" s="3" t="s">
        <v>427</v>
      </c>
      <c r="C232" s="3" t="s">
        <v>427</v>
      </c>
      <c r="D232" s="3" t="str">
        <f>IFERROR(__xludf.DUMMYFUNCTION("""COMPUTED_VALUE"""),"")</f>
        <v/>
      </c>
      <c r="E232" s="3" t="s">
        <v>427</v>
      </c>
    </row>
    <row r="233">
      <c r="B233" s="3" t="s">
        <v>427</v>
      </c>
      <c r="C233" s="3" t="s">
        <v>427</v>
      </c>
      <c r="D233" s="3" t="str">
        <f>IFERROR(__xludf.DUMMYFUNCTION("""COMPUTED_VALUE"""),"")</f>
        <v/>
      </c>
      <c r="E233" s="3" t="s">
        <v>427</v>
      </c>
    </row>
    <row r="234">
      <c r="B234" s="3" t="s">
        <v>427</v>
      </c>
      <c r="C234" s="3" t="s">
        <v>427</v>
      </c>
      <c r="D234" s="3" t="str">
        <f>IFERROR(__xludf.DUMMYFUNCTION("""COMPUTED_VALUE"""),"")</f>
        <v/>
      </c>
      <c r="E234" s="3" t="s">
        <v>427</v>
      </c>
    </row>
    <row r="235">
      <c r="B235" s="3" t="s">
        <v>427</v>
      </c>
      <c r="C235" s="3" t="s">
        <v>427</v>
      </c>
      <c r="D235" s="3" t="str">
        <f>IFERROR(__xludf.DUMMYFUNCTION("""COMPUTED_VALUE"""),"")</f>
        <v/>
      </c>
      <c r="E235" s="3" t="s">
        <v>427</v>
      </c>
    </row>
    <row r="236">
      <c r="B236" s="3" t="s">
        <v>427</v>
      </c>
      <c r="C236" s="3" t="s">
        <v>427</v>
      </c>
      <c r="D236" s="3" t="str">
        <f>IFERROR(__xludf.DUMMYFUNCTION("""COMPUTED_VALUE"""),"")</f>
        <v/>
      </c>
      <c r="E236" s="3" t="s">
        <v>427</v>
      </c>
    </row>
    <row r="237">
      <c r="B237" s="3" t="s">
        <v>427</v>
      </c>
      <c r="C237" s="3" t="s">
        <v>427</v>
      </c>
      <c r="D237" s="3" t="str">
        <f>IFERROR(__xludf.DUMMYFUNCTION("""COMPUTED_VALUE"""),"")</f>
        <v/>
      </c>
      <c r="E237" s="3" t="s">
        <v>427</v>
      </c>
    </row>
    <row r="238">
      <c r="B238" s="3" t="s">
        <v>427</v>
      </c>
      <c r="C238" s="3" t="s">
        <v>427</v>
      </c>
      <c r="D238" s="3" t="str">
        <f>IFERROR(__xludf.DUMMYFUNCTION("""COMPUTED_VALUE"""),"")</f>
        <v/>
      </c>
      <c r="E238" s="3" t="s">
        <v>427</v>
      </c>
    </row>
    <row r="239">
      <c r="B239" s="3" t="s">
        <v>427</v>
      </c>
      <c r="C239" s="3" t="s">
        <v>427</v>
      </c>
      <c r="D239" s="3" t="str">
        <f>IFERROR(__xludf.DUMMYFUNCTION("""COMPUTED_VALUE"""),"")</f>
        <v/>
      </c>
      <c r="E239" s="3" t="s">
        <v>427</v>
      </c>
    </row>
    <row r="240">
      <c r="B240" s="3" t="s">
        <v>427</v>
      </c>
      <c r="C240" s="3" t="s">
        <v>427</v>
      </c>
      <c r="D240" s="3" t="str">
        <f>IFERROR(__xludf.DUMMYFUNCTION("""COMPUTED_VALUE"""),"")</f>
        <v/>
      </c>
      <c r="E240" s="3" t="s">
        <v>427</v>
      </c>
    </row>
    <row r="241">
      <c r="B241" s="3" t="s">
        <v>427</v>
      </c>
      <c r="C241" s="3" t="s">
        <v>427</v>
      </c>
      <c r="D241" s="3" t="str">
        <f>IFERROR(__xludf.DUMMYFUNCTION("""COMPUTED_VALUE"""),"")</f>
        <v/>
      </c>
      <c r="E241" s="3" t="s">
        <v>427</v>
      </c>
    </row>
    <row r="242">
      <c r="B242" s="3" t="s">
        <v>427</v>
      </c>
      <c r="C242" s="3" t="s">
        <v>427</v>
      </c>
      <c r="D242" s="3" t="str">
        <f>IFERROR(__xludf.DUMMYFUNCTION("""COMPUTED_VALUE"""),"")</f>
        <v/>
      </c>
      <c r="E242" s="3" t="s">
        <v>427</v>
      </c>
    </row>
    <row r="243">
      <c r="B243" s="3" t="s">
        <v>427</v>
      </c>
      <c r="C243" s="3" t="s">
        <v>427</v>
      </c>
      <c r="D243" s="3" t="str">
        <f>IFERROR(__xludf.DUMMYFUNCTION("""COMPUTED_VALUE"""),"")</f>
        <v/>
      </c>
      <c r="E243" s="3" t="s">
        <v>427</v>
      </c>
    </row>
    <row r="244">
      <c r="B244" s="3" t="s">
        <v>427</v>
      </c>
      <c r="C244" s="3" t="s">
        <v>427</v>
      </c>
      <c r="D244" s="3" t="str">
        <f>IFERROR(__xludf.DUMMYFUNCTION("""COMPUTED_VALUE"""),"")</f>
        <v/>
      </c>
      <c r="E244" s="3" t="s">
        <v>427</v>
      </c>
    </row>
    <row r="245">
      <c r="B245" s="3" t="s">
        <v>427</v>
      </c>
      <c r="C245" s="3" t="s">
        <v>427</v>
      </c>
      <c r="D245" s="3" t="str">
        <f>IFERROR(__xludf.DUMMYFUNCTION("""COMPUTED_VALUE"""),"")</f>
        <v/>
      </c>
      <c r="E245" s="3" t="s">
        <v>427</v>
      </c>
    </row>
    <row r="246">
      <c r="B246" s="3" t="s">
        <v>427</v>
      </c>
      <c r="C246" s="3" t="s">
        <v>427</v>
      </c>
      <c r="D246" s="3" t="str">
        <f>IFERROR(__xludf.DUMMYFUNCTION("""COMPUTED_VALUE"""),"")</f>
        <v/>
      </c>
      <c r="E246" s="3" t="s">
        <v>427</v>
      </c>
    </row>
    <row r="247">
      <c r="B247" s="3" t="s">
        <v>427</v>
      </c>
      <c r="C247" s="3" t="s">
        <v>427</v>
      </c>
      <c r="D247" s="3" t="str">
        <f>IFERROR(__xludf.DUMMYFUNCTION("""COMPUTED_VALUE"""),"")</f>
        <v/>
      </c>
      <c r="E247" s="3" t="s">
        <v>427</v>
      </c>
    </row>
    <row r="248">
      <c r="B248" s="3" t="s">
        <v>427</v>
      </c>
      <c r="C248" s="3" t="s">
        <v>427</v>
      </c>
      <c r="D248" s="3" t="str">
        <f>IFERROR(__xludf.DUMMYFUNCTION("""COMPUTED_VALUE"""),"")</f>
        <v/>
      </c>
      <c r="E248" s="3" t="s">
        <v>427</v>
      </c>
    </row>
    <row r="249">
      <c r="B249" s="3" t="s">
        <v>427</v>
      </c>
      <c r="C249" s="3" t="s">
        <v>427</v>
      </c>
      <c r="D249" s="3" t="str">
        <f>IFERROR(__xludf.DUMMYFUNCTION("""COMPUTED_VALUE"""),"")</f>
        <v/>
      </c>
      <c r="E249" s="3" t="s">
        <v>427</v>
      </c>
    </row>
    <row r="250">
      <c r="B250" s="3" t="s">
        <v>427</v>
      </c>
      <c r="C250" s="3" t="s">
        <v>427</v>
      </c>
      <c r="D250" s="3" t="str">
        <f>IFERROR(__xludf.DUMMYFUNCTION("""COMPUTED_VALUE"""),"")</f>
        <v/>
      </c>
      <c r="E250" s="3" t="s">
        <v>427</v>
      </c>
    </row>
    <row r="251">
      <c r="B251" s="3" t="s">
        <v>427</v>
      </c>
      <c r="C251" s="3" t="s">
        <v>427</v>
      </c>
      <c r="D251" s="3" t="str">
        <f>IFERROR(__xludf.DUMMYFUNCTION("""COMPUTED_VALUE"""),"")</f>
        <v/>
      </c>
      <c r="E251" s="3" t="s">
        <v>427</v>
      </c>
    </row>
    <row r="252">
      <c r="B252" s="3" t="s">
        <v>427</v>
      </c>
      <c r="C252" s="3" t="s">
        <v>427</v>
      </c>
      <c r="D252" s="3" t="str">
        <f>IFERROR(__xludf.DUMMYFUNCTION("""COMPUTED_VALUE"""),"")</f>
        <v/>
      </c>
      <c r="E252" s="3" t="s">
        <v>427</v>
      </c>
    </row>
    <row r="253">
      <c r="B253" s="3" t="s">
        <v>427</v>
      </c>
      <c r="C253" s="3" t="s">
        <v>427</v>
      </c>
      <c r="D253" s="3" t="str">
        <f>IFERROR(__xludf.DUMMYFUNCTION("""COMPUTED_VALUE"""),"")</f>
        <v/>
      </c>
      <c r="E253" s="3" t="s">
        <v>427</v>
      </c>
    </row>
    <row r="254">
      <c r="B254" s="3" t="s">
        <v>427</v>
      </c>
      <c r="C254" s="3" t="s">
        <v>427</v>
      </c>
      <c r="D254" s="3" t="str">
        <f>IFERROR(__xludf.DUMMYFUNCTION("""COMPUTED_VALUE"""),"")</f>
        <v/>
      </c>
      <c r="E254" s="3" t="s">
        <v>427</v>
      </c>
    </row>
    <row r="255">
      <c r="B255" s="3" t="s">
        <v>427</v>
      </c>
      <c r="C255" s="3" t="s">
        <v>427</v>
      </c>
      <c r="D255" s="3" t="str">
        <f>IFERROR(__xludf.DUMMYFUNCTION("""COMPUTED_VALUE"""),"")</f>
        <v/>
      </c>
      <c r="E255" s="3" t="s">
        <v>427</v>
      </c>
    </row>
    <row r="256">
      <c r="B256" s="3" t="s">
        <v>427</v>
      </c>
      <c r="C256" s="3" t="s">
        <v>427</v>
      </c>
      <c r="D256" s="3" t="str">
        <f>IFERROR(__xludf.DUMMYFUNCTION("""COMPUTED_VALUE"""),"")</f>
        <v/>
      </c>
      <c r="E256" s="3" t="s">
        <v>427</v>
      </c>
    </row>
    <row r="257">
      <c r="B257" s="3" t="s">
        <v>427</v>
      </c>
      <c r="C257" s="3" t="s">
        <v>427</v>
      </c>
      <c r="D257" s="3" t="str">
        <f>IFERROR(__xludf.DUMMYFUNCTION("""COMPUTED_VALUE"""),"")</f>
        <v/>
      </c>
      <c r="E257" s="3" t="s">
        <v>427</v>
      </c>
    </row>
    <row r="258">
      <c r="B258" s="3" t="s">
        <v>427</v>
      </c>
      <c r="C258" s="3" t="s">
        <v>427</v>
      </c>
      <c r="D258" s="3" t="str">
        <f>IFERROR(__xludf.DUMMYFUNCTION("""COMPUTED_VALUE"""),"")</f>
        <v/>
      </c>
      <c r="E258" s="3" t="s">
        <v>427</v>
      </c>
    </row>
    <row r="259">
      <c r="B259" s="3" t="s">
        <v>427</v>
      </c>
      <c r="C259" s="3" t="s">
        <v>427</v>
      </c>
      <c r="D259" s="3" t="str">
        <f>IFERROR(__xludf.DUMMYFUNCTION("""COMPUTED_VALUE"""),"")</f>
        <v/>
      </c>
      <c r="E259" s="3" t="s">
        <v>427</v>
      </c>
    </row>
    <row r="260">
      <c r="B260" s="3" t="s">
        <v>427</v>
      </c>
      <c r="C260" s="3" t="s">
        <v>427</v>
      </c>
      <c r="D260" s="3" t="str">
        <f>IFERROR(__xludf.DUMMYFUNCTION("""COMPUTED_VALUE"""),"")</f>
        <v/>
      </c>
      <c r="E260" s="3" t="s">
        <v>427</v>
      </c>
    </row>
    <row r="261">
      <c r="B261" s="3" t="s">
        <v>427</v>
      </c>
      <c r="C261" s="3" t="s">
        <v>427</v>
      </c>
      <c r="D261" s="3" t="str">
        <f>IFERROR(__xludf.DUMMYFUNCTION("""COMPUTED_VALUE"""),"")</f>
        <v/>
      </c>
      <c r="E261" s="3" t="s">
        <v>427</v>
      </c>
    </row>
    <row r="262">
      <c r="B262" s="3" t="s">
        <v>427</v>
      </c>
      <c r="C262" s="3" t="s">
        <v>427</v>
      </c>
      <c r="D262" s="3" t="str">
        <f>IFERROR(__xludf.DUMMYFUNCTION("""COMPUTED_VALUE"""),"")</f>
        <v/>
      </c>
      <c r="E262" s="3" t="s">
        <v>427</v>
      </c>
    </row>
    <row r="263">
      <c r="B263" s="3" t="s">
        <v>427</v>
      </c>
      <c r="C263" s="3" t="s">
        <v>427</v>
      </c>
      <c r="D263" s="3" t="str">
        <f>IFERROR(__xludf.DUMMYFUNCTION("""COMPUTED_VALUE"""),"")</f>
        <v/>
      </c>
      <c r="E263" s="3" t="s">
        <v>427</v>
      </c>
    </row>
    <row r="264">
      <c r="B264" s="3" t="s">
        <v>427</v>
      </c>
      <c r="C264" s="3" t="s">
        <v>427</v>
      </c>
      <c r="D264" s="3" t="str">
        <f>IFERROR(__xludf.DUMMYFUNCTION("""COMPUTED_VALUE"""),"")</f>
        <v/>
      </c>
      <c r="E264" s="3" t="s">
        <v>427</v>
      </c>
    </row>
    <row r="265">
      <c r="B265" s="3" t="s">
        <v>427</v>
      </c>
      <c r="C265" s="3" t="s">
        <v>427</v>
      </c>
      <c r="D265" s="3" t="str">
        <f>IFERROR(__xludf.DUMMYFUNCTION("""COMPUTED_VALUE"""),"")</f>
        <v/>
      </c>
      <c r="E265" s="3" t="s">
        <v>427</v>
      </c>
    </row>
    <row r="266">
      <c r="B266" s="3" t="s">
        <v>427</v>
      </c>
      <c r="C266" s="3" t="s">
        <v>427</v>
      </c>
      <c r="D266" s="3" t="str">
        <f>IFERROR(__xludf.DUMMYFUNCTION("""COMPUTED_VALUE"""),"")</f>
        <v/>
      </c>
      <c r="E266" s="3" t="s">
        <v>427</v>
      </c>
    </row>
    <row r="267">
      <c r="B267" s="3" t="s">
        <v>427</v>
      </c>
      <c r="C267" s="3" t="s">
        <v>427</v>
      </c>
      <c r="D267" s="3" t="str">
        <f>IFERROR(__xludf.DUMMYFUNCTION("""COMPUTED_VALUE"""),"")</f>
        <v/>
      </c>
      <c r="E267" s="3" t="s">
        <v>427</v>
      </c>
    </row>
    <row r="268">
      <c r="B268" s="3" t="s">
        <v>427</v>
      </c>
      <c r="C268" s="3" t="s">
        <v>427</v>
      </c>
      <c r="D268" s="3" t="str">
        <f>IFERROR(__xludf.DUMMYFUNCTION("""COMPUTED_VALUE"""),"")</f>
        <v/>
      </c>
      <c r="E268" s="3" t="s">
        <v>427</v>
      </c>
    </row>
    <row r="269">
      <c r="B269" s="3" t="s">
        <v>427</v>
      </c>
      <c r="C269" s="3" t="s">
        <v>427</v>
      </c>
      <c r="D269" s="3" t="str">
        <f>IFERROR(__xludf.DUMMYFUNCTION("""COMPUTED_VALUE"""),"")</f>
        <v/>
      </c>
      <c r="E269" s="3" t="s">
        <v>427</v>
      </c>
    </row>
    <row r="270">
      <c r="B270" s="3" t="s">
        <v>427</v>
      </c>
      <c r="C270" s="3" t="s">
        <v>427</v>
      </c>
      <c r="D270" s="3" t="str">
        <f>IFERROR(__xludf.DUMMYFUNCTION("""COMPUTED_VALUE"""),"")</f>
        <v/>
      </c>
      <c r="E270" s="3" t="s">
        <v>427</v>
      </c>
    </row>
    <row r="271">
      <c r="B271" s="3" t="s">
        <v>427</v>
      </c>
      <c r="C271" s="3" t="s">
        <v>427</v>
      </c>
      <c r="D271" s="3" t="str">
        <f>IFERROR(__xludf.DUMMYFUNCTION("""COMPUTED_VALUE"""),"")</f>
        <v/>
      </c>
      <c r="E271" s="3" t="s">
        <v>427</v>
      </c>
    </row>
    <row r="272">
      <c r="B272" s="3" t="s">
        <v>427</v>
      </c>
      <c r="C272" s="3" t="s">
        <v>427</v>
      </c>
      <c r="D272" s="3" t="str">
        <f>IFERROR(__xludf.DUMMYFUNCTION("""COMPUTED_VALUE"""),"")</f>
        <v/>
      </c>
      <c r="E272" s="3" t="s">
        <v>427</v>
      </c>
    </row>
    <row r="273">
      <c r="B273" s="3" t="s">
        <v>427</v>
      </c>
      <c r="C273" s="3" t="s">
        <v>427</v>
      </c>
      <c r="D273" s="3" t="str">
        <f>IFERROR(__xludf.DUMMYFUNCTION("""COMPUTED_VALUE"""),"")</f>
        <v/>
      </c>
      <c r="E273" s="3" t="s">
        <v>427</v>
      </c>
    </row>
    <row r="274">
      <c r="B274" s="3" t="s">
        <v>427</v>
      </c>
      <c r="C274" s="3" t="s">
        <v>427</v>
      </c>
      <c r="D274" s="3" t="str">
        <f>IFERROR(__xludf.DUMMYFUNCTION("""COMPUTED_VALUE"""),"")</f>
        <v/>
      </c>
      <c r="E274" s="3" t="s">
        <v>427</v>
      </c>
    </row>
    <row r="275">
      <c r="B275" s="3" t="s">
        <v>427</v>
      </c>
      <c r="C275" s="3" t="s">
        <v>427</v>
      </c>
      <c r="D275" s="3" t="str">
        <f>IFERROR(__xludf.DUMMYFUNCTION("""COMPUTED_VALUE"""),"")</f>
        <v/>
      </c>
      <c r="E275" s="3" t="s">
        <v>427</v>
      </c>
    </row>
    <row r="276">
      <c r="B276" s="3" t="s">
        <v>427</v>
      </c>
      <c r="C276" s="3" t="s">
        <v>427</v>
      </c>
      <c r="D276" s="3" t="str">
        <f>IFERROR(__xludf.DUMMYFUNCTION("""COMPUTED_VALUE"""),"")</f>
        <v/>
      </c>
      <c r="E276" s="3" t="s">
        <v>427</v>
      </c>
    </row>
    <row r="277">
      <c r="B277" s="3" t="s">
        <v>427</v>
      </c>
      <c r="C277" s="3" t="s">
        <v>427</v>
      </c>
      <c r="D277" s="3" t="str">
        <f>IFERROR(__xludf.DUMMYFUNCTION("""COMPUTED_VALUE"""),"")</f>
        <v/>
      </c>
      <c r="E277" s="3" t="s">
        <v>427</v>
      </c>
    </row>
    <row r="278">
      <c r="B278" s="3" t="s">
        <v>427</v>
      </c>
      <c r="C278" s="3" t="s">
        <v>427</v>
      </c>
      <c r="D278" s="3" t="str">
        <f>IFERROR(__xludf.DUMMYFUNCTION("""COMPUTED_VALUE"""),"")</f>
        <v/>
      </c>
      <c r="E278" s="3" t="s">
        <v>427</v>
      </c>
    </row>
    <row r="279">
      <c r="B279" s="3" t="s">
        <v>427</v>
      </c>
      <c r="C279" s="3" t="s">
        <v>427</v>
      </c>
      <c r="D279" s="3" t="str">
        <f>IFERROR(__xludf.DUMMYFUNCTION("""COMPUTED_VALUE"""),"")</f>
        <v/>
      </c>
      <c r="E279" s="3" t="s">
        <v>427</v>
      </c>
    </row>
    <row r="280">
      <c r="B280" s="3" t="s">
        <v>427</v>
      </c>
      <c r="C280" s="3" t="s">
        <v>427</v>
      </c>
      <c r="D280" s="3" t="str">
        <f>IFERROR(__xludf.DUMMYFUNCTION("""COMPUTED_VALUE"""),"")</f>
        <v/>
      </c>
      <c r="E280" s="3" t="s">
        <v>427</v>
      </c>
    </row>
    <row r="281">
      <c r="B281" s="3" t="s">
        <v>427</v>
      </c>
      <c r="C281" s="3" t="s">
        <v>427</v>
      </c>
      <c r="D281" s="3" t="str">
        <f>IFERROR(__xludf.DUMMYFUNCTION("""COMPUTED_VALUE"""),"")</f>
        <v/>
      </c>
      <c r="E281" s="3" t="s">
        <v>427</v>
      </c>
    </row>
    <row r="282">
      <c r="B282" s="3" t="s">
        <v>427</v>
      </c>
      <c r="C282" s="3" t="s">
        <v>427</v>
      </c>
      <c r="D282" s="3" t="str">
        <f>IFERROR(__xludf.DUMMYFUNCTION("""COMPUTED_VALUE"""),"")</f>
        <v/>
      </c>
      <c r="E282" s="3" t="s">
        <v>427</v>
      </c>
    </row>
    <row r="283">
      <c r="B283" s="3" t="s">
        <v>427</v>
      </c>
      <c r="C283" s="3" t="s">
        <v>427</v>
      </c>
      <c r="D283" s="3" t="str">
        <f>IFERROR(__xludf.DUMMYFUNCTION("""COMPUTED_VALUE"""),"")</f>
        <v/>
      </c>
      <c r="E283" s="3" t="s">
        <v>427</v>
      </c>
    </row>
    <row r="284">
      <c r="B284" s="3" t="s">
        <v>427</v>
      </c>
      <c r="C284" s="3" t="s">
        <v>427</v>
      </c>
      <c r="D284" s="3" t="str">
        <f>IFERROR(__xludf.DUMMYFUNCTION("""COMPUTED_VALUE"""),"")</f>
        <v/>
      </c>
      <c r="E284" s="3" t="s">
        <v>427</v>
      </c>
    </row>
    <row r="285">
      <c r="B285" s="3" t="s">
        <v>427</v>
      </c>
      <c r="C285" s="3" t="s">
        <v>427</v>
      </c>
      <c r="D285" s="3" t="str">
        <f>IFERROR(__xludf.DUMMYFUNCTION("""COMPUTED_VALUE"""),"")</f>
        <v/>
      </c>
      <c r="E285" s="3" t="s">
        <v>427</v>
      </c>
    </row>
    <row r="286">
      <c r="B286" s="3" t="s">
        <v>427</v>
      </c>
      <c r="C286" s="3" t="s">
        <v>427</v>
      </c>
      <c r="D286" s="3" t="str">
        <f>IFERROR(__xludf.DUMMYFUNCTION("""COMPUTED_VALUE"""),"")</f>
        <v/>
      </c>
      <c r="E286" s="3" t="s">
        <v>427</v>
      </c>
    </row>
    <row r="287">
      <c r="B287" s="3" t="s">
        <v>427</v>
      </c>
      <c r="C287" s="3" t="s">
        <v>427</v>
      </c>
      <c r="D287" s="3" t="str">
        <f>IFERROR(__xludf.DUMMYFUNCTION("""COMPUTED_VALUE"""),"")</f>
        <v/>
      </c>
      <c r="E287" s="3" t="s">
        <v>427</v>
      </c>
    </row>
    <row r="288">
      <c r="B288" s="3" t="s">
        <v>427</v>
      </c>
      <c r="C288" s="3" t="s">
        <v>427</v>
      </c>
      <c r="D288" s="3" t="str">
        <f>IFERROR(__xludf.DUMMYFUNCTION("""COMPUTED_VALUE"""),"")</f>
        <v/>
      </c>
      <c r="E288" s="3" t="s">
        <v>427</v>
      </c>
    </row>
    <row r="289">
      <c r="B289" s="3" t="s">
        <v>427</v>
      </c>
      <c r="C289" s="3" t="s">
        <v>427</v>
      </c>
      <c r="D289" s="3" t="str">
        <f>IFERROR(__xludf.DUMMYFUNCTION("""COMPUTED_VALUE"""),"")</f>
        <v/>
      </c>
      <c r="E289" s="3" t="s">
        <v>427</v>
      </c>
    </row>
    <row r="290">
      <c r="B290" s="3" t="s">
        <v>427</v>
      </c>
      <c r="C290" s="3" t="s">
        <v>427</v>
      </c>
      <c r="D290" s="3" t="str">
        <f>IFERROR(__xludf.DUMMYFUNCTION("""COMPUTED_VALUE"""),"")</f>
        <v/>
      </c>
      <c r="E290" s="3" t="s">
        <v>427</v>
      </c>
    </row>
    <row r="291">
      <c r="B291" s="3" t="s">
        <v>427</v>
      </c>
      <c r="C291" s="3" t="s">
        <v>427</v>
      </c>
      <c r="D291" s="3" t="str">
        <f>IFERROR(__xludf.DUMMYFUNCTION("""COMPUTED_VALUE"""),"")</f>
        <v/>
      </c>
      <c r="E291" s="3" t="s">
        <v>427</v>
      </c>
    </row>
    <row r="292">
      <c r="B292" s="3" t="s">
        <v>427</v>
      </c>
      <c r="C292" s="3" t="s">
        <v>427</v>
      </c>
      <c r="D292" s="3" t="str">
        <f>IFERROR(__xludf.DUMMYFUNCTION("""COMPUTED_VALUE"""),"")</f>
        <v/>
      </c>
      <c r="E292" s="3" t="s">
        <v>427</v>
      </c>
    </row>
    <row r="293">
      <c r="B293" s="3" t="s">
        <v>427</v>
      </c>
      <c r="C293" s="3" t="s">
        <v>427</v>
      </c>
      <c r="D293" s="3" t="str">
        <f>IFERROR(__xludf.DUMMYFUNCTION("""COMPUTED_VALUE"""),"")</f>
        <v/>
      </c>
      <c r="E293" s="3" t="s">
        <v>427</v>
      </c>
    </row>
    <row r="294">
      <c r="B294" s="3" t="s">
        <v>427</v>
      </c>
      <c r="C294" s="3" t="s">
        <v>427</v>
      </c>
      <c r="D294" s="3" t="str">
        <f>IFERROR(__xludf.DUMMYFUNCTION("""COMPUTED_VALUE"""),"")</f>
        <v/>
      </c>
      <c r="E294" s="3" t="s">
        <v>427</v>
      </c>
    </row>
    <row r="295">
      <c r="B295" s="3" t="s">
        <v>427</v>
      </c>
      <c r="C295" s="3" t="s">
        <v>427</v>
      </c>
      <c r="D295" s="3" t="str">
        <f>IFERROR(__xludf.DUMMYFUNCTION("""COMPUTED_VALUE"""),"")</f>
        <v/>
      </c>
      <c r="E295" s="3" t="s">
        <v>427</v>
      </c>
    </row>
    <row r="296">
      <c r="B296" s="3" t="s">
        <v>427</v>
      </c>
      <c r="C296" s="3" t="s">
        <v>427</v>
      </c>
      <c r="D296" s="3" t="str">
        <f>IFERROR(__xludf.DUMMYFUNCTION("""COMPUTED_VALUE"""),"")</f>
        <v/>
      </c>
      <c r="E296" s="3" t="s">
        <v>427</v>
      </c>
    </row>
    <row r="297">
      <c r="B297" s="3" t="s">
        <v>427</v>
      </c>
      <c r="C297" s="3" t="s">
        <v>427</v>
      </c>
      <c r="D297" s="3" t="str">
        <f>IFERROR(__xludf.DUMMYFUNCTION("""COMPUTED_VALUE"""),"")</f>
        <v/>
      </c>
      <c r="E297" s="3" t="s">
        <v>427</v>
      </c>
    </row>
    <row r="298">
      <c r="B298" s="3" t="s">
        <v>427</v>
      </c>
      <c r="C298" s="3" t="s">
        <v>427</v>
      </c>
      <c r="D298" s="3" t="str">
        <f>IFERROR(__xludf.DUMMYFUNCTION("""COMPUTED_VALUE"""),"")</f>
        <v/>
      </c>
      <c r="E298" s="3" t="s">
        <v>427</v>
      </c>
    </row>
    <row r="299">
      <c r="B299" s="3" t="s">
        <v>427</v>
      </c>
      <c r="C299" s="3" t="s">
        <v>427</v>
      </c>
      <c r="D299" s="3" t="str">
        <f>IFERROR(__xludf.DUMMYFUNCTION("""COMPUTED_VALUE"""),"")</f>
        <v/>
      </c>
      <c r="E299" s="3" t="s">
        <v>427</v>
      </c>
    </row>
    <row r="300">
      <c r="B300" s="3" t="s">
        <v>427</v>
      </c>
      <c r="C300" s="3" t="s">
        <v>427</v>
      </c>
      <c r="D300" s="3" t="str">
        <f>IFERROR(__xludf.DUMMYFUNCTION("""COMPUTED_VALUE"""),"")</f>
        <v/>
      </c>
      <c r="E300" s="3" t="s">
        <v>427</v>
      </c>
    </row>
    <row r="301">
      <c r="B301" s="3" t="s">
        <v>427</v>
      </c>
      <c r="C301" s="3" t="s">
        <v>427</v>
      </c>
      <c r="D301" s="3" t="str">
        <f>IFERROR(__xludf.DUMMYFUNCTION("""COMPUTED_VALUE"""),"")</f>
        <v/>
      </c>
      <c r="E301" s="3" t="s">
        <v>427</v>
      </c>
    </row>
    <row r="302">
      <c r="B302" s="3" t="s">
        <v>427</v>
      </c>
      <c r="C302" s="3" t="s">
        <v>427</v>
      </c>
      <c r="D302" s="3" t="str">
        <f>IFERROR(__xludf.DUMMYFUNCTION("""COMPUTED_VALUE"""),"")</f>
        <v/>
      </c>
      <c r="E302" s="3" t="s">
        <v>427</v>
      </c>
    </row>
    <row r="303">
      <c r="B303" s="3" t="s">
        <v>427</v>
      </c>
      <c r="C303" s="3" t="s">
        <v>427</v>
      </c>
      <c r="D303" s="3" t="str">
        <f>IFERROR(__xludf.DUMMYFUNCTION("""COMPUTED_VALUE"""),"")</f>
        <v/>
      </c>
      <c r="E303" s="3" t="s">
        <v>427</v>
      </c>
    </row>
    <row r="304">
      <c r="B304" s="3" t="s">
        <v>427</v>
      </c>
      <c r="C304" s="3" t="s">
        <v>427</v>
      </c>
      <c r="D304" s="3" t="str">
        <f>IFERROR(__xludf.DUMMYFUNCTION("""COMPUTED_VALUE"""),"")</f>
        <v/>
      </c>
      <c r="E304" s="3" t="s">
        <v>427</v>
      </c>
    </row>
    <row r="305">
      <c r="B305" s="3" t="s">
        <v>427</v>
      </c>
      <c r="C305" s="3" t="s">
        <v>427</v>
      </c>
      <c r="D305" s="3" t="str">
        <f>IFERROR(__xludf.DUMMYFUNCTION("""COMPUTED_VALUE"""),"")</f>
        <v/>
      </c>
      <c r="E305" s="3" t="s">
        <v>427</v>
      </c>
    </row>
    <row r="306">
      <c r="B306" s="3" t="s">
        <v>427</v>
      </c>
      <c r="C306" s="3" t="s">
        <v>427</v>
      </c>
      <c r="D306" s="3" t="str">
        <f>IFERROR(__xludf.DUMMYFUNCTION("""COMPUTED_VALUE"""),"")</f>
        <v/>
      </c>
      <c r="E306" s="3" t="s">
        <v>427</v>
      </c>
    </row>
    <row r="307">
      <c r="B307" s="3" t="s">
        <v>427</v>
      </c>
      <c r="C307" s="3" t="s">
        <v>427</v>
      </c>
      <c r="D307" s="3" t="str">
        <f>IFERROR(__xludf.DUMMYFUNCTION("""COMPUTED_VALUE"""),"")</f>
        <v/>
      </c>
      <c r="E307" s="3" t="s">
        <v>427</v>
      </c>
    </row>
    <row r="308">
      <c r="B308" s="3" t="s">
        <v>427</v>
      </c>
      <c r="C308" s="3" t="s">
        <v>427</v>
      </c>
      <c r="D308" s="3" t="str">
        <f>IFERROR(__xludf.DUMMYFUNCTION("""COMPUTED_VALUE"""),"")</f>
        <v/>
      </c>
      <c r="E308" s="3" t="s">
        <v>427</v>
      </c>
    </row>
    <row r="309">
      <c r="B309" s="3" t="s">
        <v>427</v>
      </c>
      <c r="C309" s="3" t="s">
        <v>427</v>
      </c>
      <c r="D309" s="3" t="str">
        <f>IFERROR(__xludf.DUMMYFUNCTION("""COMPUTED_VALUE"""),"")</f>
        <v/>
      </c>
      <c r="E309" s="3" t="s">
        <v>427</v>
      </c>
    </row>
    <row r="310">
      <c r="B310" s="3" t="s">
        <v>427</v>
      </c>
      <c r="C310" s="3" t="s">
        <v>427</v>
      </c>
      <c r="D310" s="3" t="str">
        <f>IFERROR(__xludf.DUMMYFUNCTION("""COMPUTED_VALUE"""),"")</f>
        <v/>
      </c>
      <c r="E310" s="3" t="s">
        <v>427</v>
      </c>
    </row>
    <row r="311">
      <c r="B311" s="3" t="s">
        <v>427</v>
      </c>
      <c r="C311" s="3" t="s">
        <v>427</v>
      </c>
      <c r="D311" s="3" t="str">
        <f>IFERROR(__xludf.DUMMYFUNCTION("""COMPUTED_VALUE"""),"")</f>
        <v/>
      </c>
      <c r="E311" s="3" t="s">
        <v>427</v>
      </c>
    </row>
    <row r="312">
      <c r="B312" s="3" t="s">
        <v>427</v>
      </c>
      <c r="C312" s="3" t="s">
        <v>427</v>
      </c>
      <c r="D312" s="3" t="str">
        <f>IFERROR(__xludf.DUMMYFUNCTION("""COMPUTED_VALUE"""),"")</f>
        <v/>
      </c>
      <c r="E312" s="3" t="s">
        <v>427</v>
      </c>
    </row>
    <row r="313">
      <c r="B313" s="3" t="s">
        <v>427</v>
      </c>
      <c r="C313" s="3" t="s">
        <v>427</v>
      </c>
      <c r="D313" s="3" t="str">
        <f>IFERROR(__xludf.DUMMYFUNCTION("""COMPUTED_VALUE"""),"")</f>
        <v/>
      </c>
      <c r="E313" s="3" t="s">
        <v>427</v>
      </c>
    </row>
    <row r="314">
      <c r="B314" s="3" t="s">
        <v>427</v>
      </c>
      <c r="C314" s="3" t="s">
        <v>427</v>
      </c>
      <c r="D314" s="3" t="str">
        <f>IFERROR(__xludf.DUMMYFUNCTION("""COMPUTED_VALUE"""),"")</f>
        <v/>
      </c>
      <c r="E314" s="3" t="s">
        <v>427</v>
      </c>
    </row>
    <row r="315">
      <c r="B315" s="3" t="s">
        <v>427</v>
      </c>
      <c r="C315" s="3" t="s">
        <v>427</v>
      </c>
      <c r="D315" s="3" t="str">
        <f>IFERROR(__xludf.DUMMYFUNCTION("""COMPUTED_VALUE"""),"")</f>
        <v/>
      </c>
      <c r="E315" s="3" t="s">
        <v>427</v>
      </c>
    </row>
    <row r="316">
      <c r="B316" s="3" t="s">
        <v>427</v>
      </c>
      <c r="C316" s="3" t="s">
        <v>427</v>
      </c>
      <c r="D316" s="3" t="str">
        <f>IFERROR(__xludf.DUMMYFUNCTION("""COMPUTED_VALUE"""),"")</f>
        <v/>
      </c>
      <c r="E316" s="3" t="s">
        <v>427</v>
      </c>
    </row>
    <row r="317">
      <c r="B317" s="3" t="s">
        <v>427</v>
      </c>
      <c r="C317" s="3" t="s">
        <v>427</v>
      </c>
      <c r="D317" s="3" t="str">
        <f>IFERROR(__xludf.DUMMYFUNCTION("""COMPUTED_VALUE"""),"")</f>
        <v/>
      </c>
      <c r="E317" s="3" t="s">
        <v>427</v>
      </c>
    </row>
    <row r="318">
      <c r="B318" s="3" t="s">
        <v>427</v>
      </c>
      <c r="C318" s="3" t="s">
        <v>427</v>
      </c>
      <c r="D318" s="3" t="str">
        <f>IFERROR(__xludf.DUMMYFUNCTION("""COMPUTED_VALUE"""),"")</f>
        <v/>
      </c>
      <c r="E318" s="3" t="s">
        <v>427</v>
      </c>
    </row>
    <row r="319">
      <c r="B319" s="3" t="s">
        <v>427</v>
      </c>
      <c r="C319" s="3" t="s">
        <v>427</v>
      </c>
      <c r="D319" s="3" t="str">
        <f>IFERROR(__xludf.DUMMYFUNCTION("""COMPUTED_VALUE"""),"")</f>
        <v/>
      </c>
      <c r="E319" s="3" t="s">
        <v>427</v>
      </c>
    </row>
    <row r="320">
      <c r="B320" s="3" t="s">
        <v>427</v>
      </c>
      <c r="C320" s="3" t="s">
        <v>427</v>
      </c>
      <c r="D320" s="3" t="str">
        <f>IFERROR(__xludf.DUMMYFUNCTION("""COMPUTED_VALUE"""),"")</f>
        <v/>
      </c>
      <c r="E320" s="3" t="s">
        <v>427</v>
      </c>
    </row>
    <row r="321">
      <c r="B321" s="3" t="s">
        <v>427</v>
      </c>
      <c r="C321" s="3" t="s">
        <v>427</v>
      </c>
      <c r="D321" s="3" t="str">
        <f>IFERROR(__xludf.DUMMYFUNCTION("""COMPUTED_VALUE"""),"")</f>
        <v/>
      </c>
      <c r="E321" s="3" t="s">
        <v>427</v>
      </c>
    </row>
    <row r="322">
      <c r="B322" s="3" t="s">
        <v>427</v>
      </c>
      <c r="C322" s="3" t="s">
        <v>427</v>
      </c>
      <c r="D322" s="3" t="str">
        <f>IFERROR(__xludf.DUMMYFUNCTION("""COMPUTED_VALUE"""),"")</f>
        <v/>
      </c>
      <c r="E322" s="3" t="s">
        <v>427</v>
      </c>
    </row>
    <row r="323">
      <c r="B323" s="3" t="s">
        <v>427</v>
      </c>
      <c r="C323" s="3" t="s">
        <v>427</v>
      </c>
      <c r="D323" s="3" t="str">
        <f>IFERROR(__xludf.DUMMYFUNCTION("""COMPUTED_VALUE"""),"")</f>
        <v/>
      </c>
      <c r="E323" s="3" t="s">
        <v>427</v>
      </c>
    </row>
    <row r="324">
      <c r="B324" s="3" t="s">
        <v>427</v>
      </c>
      <c r="C324" s="3" t="s">
        <v>427</v>
      </c>
      <c r="D324" s="3" t="str">
        <f>IFERROR(__xludf.DUMMYFUNCTION("""COMPUTED_VALUE"""),"")</f>
        <v/>
      </c>
      <c r="E324" s="3" t="s">
        <v>427</v>
      </c>
    </row>
    <row r="325">
      <c r="B325" s="3" t="s">
        <v>427</v>
      </c>
      <c r="C325" s="3" t="s">
        <v>427</v>
      </c>
      <c r="D325" s="3" t="str">
        <f>IFERROR(__xludf.DUMMYFUNCTION("""COMPUTED_VALUE"""),"")</f>
        <v/>
      </c>
      <c r="E325" s="3" t="s">
        <v>427</v>
      </c>
    </row>
    <row r="326">
      <c r="B326" s="3" t="s">
        <v>427</v>
      </c>
      <c r="C326" s="3" t="s">
        <v>427</v>
      </c>
      <c r="D326" s="3" t="str">
        <f>IFERROR(__xludf.DUMMYFUNCTION("""COMPUTED_VALUE"""),"")</f>
        <v/>
      </c>
      <c r="E326" s="3" t="s">
        <v>427</v>
      </c>
    </row>
    <row r="327">
      <c r="B327" s="3" t="s">
        <v>427</v>
      </c>
      <c r="C327" s="3" t="s">
        <v>427</v>
      </c>
      <c r="D327" s="3" t="str">
        <f>IFERROR(__xludf.DUMMYFUNCTION("""COMPUTED_VALUE"""),"")</f>
        <v/>
      </c>
      <c r="E327" s="3" t="s">
        <v>427</v>
      </c>
    </row>
    <row r="328">
      <c r="B328" s="3" t="s">
        <v>427</v>
      </c>
      <c r="C328" s="3" t="s">
        <v>427</v>
      </c>
      <c r="D328" s="3" t="str">
        <f>IFERROR(__xludf.DUMMYFUNCTION("""COMPUTED_VALUE"""),"")</f>
        <v/>
      </c>
      <c r="E328" s="3" t="s">
        <v>427</v>
      </c>
    </row>
    <row r="329">
      <c r="B329" s="3" t="s">
        <v>427</v>
      </c>
      <c r="C329" s="3" t="s">
        <v>427</v>
      </c>
      <c r="D329" s="3" t="str">
        <f>IFERROR(__xludf.DUMMYFUNCTION("""COMPUTED_VALUE"""),"")</f>
        <v/>
      </c>
      <c r="E329" s="3" t="s">
        <v>427</v>
      </c>
    </row>
    <row r="330">
      <c r="B330" s="3" t="s">
        <v>427</v>
      </c>
      <c r="C330" s="3" t="s">
        <v>427</v>
      </c>
      <c r="D330" s="3" t="str">
        <f>IFERROR(__xludf.DUMMYFUNCTION("""COMPUTED_VALUE"""),"")</f>
        <v/>
      </c>
      <c r="E330" s="3" t="s">
        <v>427</v>
      </c>
    </row>
    <row r="331">
      <c r="B331" s="3" t="s">
        <v>427</v>
      </c>
      <c r="C331" s="3" t="s">
        <v>427</v>
      </c>
      <c r="D331" s="3" t="str">
        <f>IFERROR(__xludf.DUMMYFUNCTION("""COMPUTED_VALUE"""),"")</f>
        <v/>
      </c>
      <c r="E331" s="3" t="s">
        <v>427</v>
      </c>
    </row>
    <row r="332">
      <c r="B332" s="3" t="s">
        <v>427</v>
      </c>
      <c r="C332" s="3" t="s">
        <v>427</v>
      </c>
      <c r="D332" s="3" t="str">
        <f>IFERROR(__xludf.DUMMYFUNCTION("""COMPUTED_VALUE"""),"")</f>
        <v/>
      </c>
      <c r="E332" s="3" t="s">
        <v>427</v>
      </c>
    </row>
    <row r="333">
      <c r="B333" s="3" t="s">
        <v>427</v>
      </c>
      <c r="C333" s="3" t="s">
        <v>427</v>
      </c>
      <c r="D333" s="3" t="str">
        <f>IFERROR(__xludf.DUMMYFUNCTION("""COMPUTED_VALUE"""),"")</f>
        <v/>
      </c>
      <c r="E333" s="3" t="s">
        <v>427</v>
      </c>
    </row>
    <row r="334">
      <c r="B334" s="3" t="s">
        <v>427</v>
      </c>
      <c r="C334" s="3" t="s">
        <v>427</v>
      </c>
      <c r="D334" s="3" t="str">
        <f>IFERROR(__xludf.DUMMYFUNCTION("""COMPUTED_VALUE"""),"")</f>
        <v/>
      </c>
      <c r="E334" s="3" t="s">
        <v>427</v>
      </c>
    </row>
    <row r="335">
      <c r="B335" s="3" t="s">
        <v>427</v>
      </c>
      <c r="C335" s="3" t="s">
        <v>427</v>
      </c>
      <c r="D335" s="3" t="str">
        <f>IFERROR(__xludf.DUMMYFUNCTION("""COMPUTED_VALUE"""),"")</f>
        <v/>
      </c>
      <c r="E335" s="3" t="s">
        <v>427</v>
      </c>
    </row>
    <row r="336">
      <c r="B336" s="3" t="s">
        <v>427</v>
      </c>
      <c r="C336" s="3" t="s">
        <v>427</v>
      </c>
      <c r="D336" s="3" t="str">
        <f>IFERROR(__xludf.DUMMYFUNCTION("""COMPUTED_VALUE"""),"")</f>
        <v/>
      </c>
      <c r="E336" s="3" t="s">
        <v>427</v>
      </c>
    </row>
    <row r="337">
      <c r="B337" s="3" t="s">
        <v>427</v>
      </c>
      <c r="C337" s="3" t="s">
        <v>427</v>
      </c>
      <c r="D337" s="3" t="str">
        <f>IFERROR(__xludf.DUMMYFUNCTION("""COMPUTED_VALUE"""),"")</f>
        <v/>
      </c>
      <c r="E337" s="3" t="s">
        <v>427</v>
      </c>
    </row>
    <row r="338">
      <c r="B338" s="3" t="s">
        <v>427</v>
      </c>
      <c r="C338" s="3" t="s">
        <v>427</v>
      </c>
      <c r="D338" s="3" t="str">
        <f>IFERROR(__xludf.DUMMYFUNCTION("""COMPUTED_VALUE"""),"")</f>
        <v/>
      </c>
      <c r="E338" s="3" t="s">
        <v>427</v>
      </c>
    </row>
    <row r="339">
      <c r="B339" s="3" t="s">
        <v>427</v>
      </c>
      <c r="C339" s="3" t="s">
        <v>427</v>
      </c>
      <c r="D339" s="3" t="str">
        <f>IFERROR(__xludf.DUMMYFUNCTION("""COMPUTED_VALUE"""),"")</f>
        <v/>
      </c>
      <c r="E339" s="3" t="s">
        <v>427</v>
      </c>
    </row>
    <row r="340">
      <c r="B340" s="3" t="s">
        <v>427</v>
      </c>
      <c r="C340" s="3" t="s">
        <v>427</v>
      </c>
      <c r="D340" s="3" t="str">
        <f>IFERROR(__xludf.DUMMYFUNCTION("""COMPUTED_VALUE"""),"")</f>
        <v/>
      </c>
      <c r="E340" s="3" t="s">
        <v>427</v>
      </c>
    </row>
    <row r="341">
      <c r="B341" s="3" t="s">
        <v>427</v>
      </c>
      <c r="C341" s="3" t="s">
        <v>427</v>
      </c>
      <c r="D341" s="3" t="str">
        <f>IFERROR(__xludf.DUMMYFUNCTION("""COMPUTED_VALUE"""),"")</f>
        <v/>
      </c>
      <c r="E341" s="3" t="s">
        <v>427</v>
      </c>
    </row>
    <row r="342">
      <c r="B342" s="3" t="s">
        <v>427</v>
      </c>
      <c r="C342" s="3" t="s">
        <v>427</v>
      </c>
      <c r="D342" s="3" t="str">
        <f>IFERROR(__xludf.DUMMYFUNCTION("""COMPUTED_VALUE"""),"")</f>
        <v/>
      </c>
      <c r="E342" s="3" t="s">
        <v>427</v>
      </c>
    </row>
    <row r="343">
      <c r="B343" s="3" t="s">
        <v>427</v>
      </c>
      <c r="C343" s="3" t="s">
        <v>427</v>
      </c>
      <c r="D343" s="3" t="str">
        <f>IFERROR(__xludf.DUMMYFUNCTION("""COMPUTED_VALUE"""),"")</f>
        <v/>
      </c>
      <c r="E343" s="3" t="s">
        <v>427</v>
      </c>
    </row>
    <row r="344">
      <c r="B344" s="3" t="s">
        <v>427</v>
      </c>
      <c r="C344" s="3" t="s">
        <v>427</v>
      </c>
      <c r="D344" s="3" t="str">
        <f>IFERROR(__xludf.DUMMYFUNCTION("""COMPUTED_VALUE"""),"")</f>
        <v/>
      </c>
      <c r="E344" s="3" t="s">
        <v>427</v>
      </c>
    </row>
    <row r="345">
      <c r="B345" s="3" t="s">
        <v>427</v>
      </c>
      <c r="C345" s="3" t="s">
        <v>427</v>
      </c>
      <c r="D345" s="3" t="str">
        <f>IFERROR(__xludf.DUMMYFUNCTION("""COMPUTED_VALUE"""),"")</f>
        <v/>
      </c>
      <c r="E345" s="3" t="s">
        <v>427</v>
      </c>
    </row>
    <row r="346">
      <c r="B346" s="3" t="s">
        <v>427</v>
      </c>
      <c r="C346" s="3" t="s">
        <v>427</v>
      </c>
      <c r="D346" s="3" t="str">
        <f>IFERROR(__xludf.DUMMYFUNCTION("""COMPUTED_VALUE"""),"")</f>
        <v/>
      </c>
      <c r="E346" s="3" t="s">
        <v>427</v>
      </c>
    </row>
    <row r="347">
      <c r="B347" s="3" t="s">
        <v>427</v>
      </c>
      <c r="C347" s="3" t="s">
        <v>427</v>
      </c>
      <c r="D347" s="3" t="str">
        <f>IFERROR(__xludf.DUMMYFUNCTION("""COMPUTED_VALUE"""),"")</f>
        <v/>
      </c>
      <c r="E347" s="3" t="s">
        <v>427</v>
      </c>
    </row>
    <row r="348">
      <c r="B348" s="3" t="s">
        <v>427</v>
      </c>
      <c r="C348" s="3" t="s">
        <v>427</v>
      </c>
      <c r="D348" s="3" t="str">
        <f>IFERROR(__xludf.DUMMYFUNCTION("""COMPUTED_VALUE"""),"")</f>
        <v/>
      </c>
      <c r="E348" s="3" t="s">
        <v>427</v>
      </c>
    </row>
    <row r="349">
      <c r="B349" s="3" t="s">
        <v>427</v>
      </c>
      <c r="C349" s="3" t="s">
        <v>427</v>
      </c>
      <c r="D349" s="3" t="str">
        <f>IFERROR(__xludf.DUMMYFUNCTION("""COMPUTED_VALUE"""),"")</f>
        <v/>
      </c>
      <c r="E349" s="3" t="s">
        <v>427</v>
      </c>
    </row>
    <row r="350">
      <c r="B350" s="3" t="s">
        <v>427</v>
      </c>
      <c r="C350" s="3" t="s">
        <v>427</v>
      </c>
      <c r="D350" s="3" t="str">
        <f>IFERROR(__xludf.DUMMYFUNCTION("""COMPUTED_VALUE"""),"")</f>
        <v/>
      </c>
      <c r="E350" s="3" t="s">
        <v>427</v>
      </c>
    </row>
    <row r="351">
      <c r="B351" s="3" t="s">
        <v>427</v>
      </c>
      <c r="C351" s="3" t="s">
        <v>427</v>
      </c>
      <c r="D351" s="3" t="str">
        <f>IFERROR(__xludf.DUMMYFUNCTION("""COMPUTED_VALUE"""),"")</f>
        <v/>
      </c>
      <c r="E351" s="3" t="s">
        <v>427</v>
      </c>
    </row>
    <row r="352">
      <c r="B352" s="3" t="s">
        <v>427</v>
      </c>
      <c r="C352" s="3" t="s">
        <v>427</v>
      </c>
      <c r="D352" s="3" t="str">
        <f>IFERROR(__xludf.DUMMYFUNCTION("""COMPUTED_VALUE"""),"")</f>
        <v/>
      </c>
      <c r="E352" s="3" t="s">
        <v>427</v>
      </c>
    </row>
    <row r="353">
      <c r="B353" s="3" t="s">
        <v>427</v>
      </c>
      <c r="C353" s="3" t="s">
        <v>427</v>
      </c>
      <c r="D353" s="3" t="str">
        <f>IFERROR(__xludf.DUMMYFUNCTION("""COMPUTED_VALUE"""),"")</f>
        <v/>
      </c>
      <c r="E353" s="3" t="s">
        <v>427</v>
      </c>
    </row>
    <row r="354">
      <c r="B354" s="3" t="s">
        <v>427</v>
      </c>
      <c r="C354" s="3" t="s">
        <v>427</v>
      </c>
      <c r="D354" s="3" t="str">
        <f>IFERROR(__xludf.DUMMYFUNCTION("""COMPUTED_VALUE"""),"")</f>
        <v/>
      </c>
      <c r="E354" s="3" t="s">
        <v>427</v>
      </c>
    </row>
    <row r="355">
      <c r="B355" s="3" t="s">
        <v>427</v>
      </c>
      <c r="C355" s="3" t="s">
        <v>427</v>
      </c>
      <c r="D355" s="3" t="str">
        <f>IFERROR(__xludf.DUMMYFUNCTION("""COMPUTED_VALUE"""),"")</f>
        <v/>
      </c>
      <c r="E355" s="3" t="s">
        <v>427</v>
      </c>
    </row>
    <row r="356">
      <c r="B356" s="3" t="s">
        <v>427</v>
      </c>
      <c r="C356" s="3" t="s">
        <v>427</v>
      </c>
      <c r="D356" s="3" t="str">
        <f>IFERROR(__xludf.DUMMYFUNCTION("""COMPUTED_VALUE"""),"")</f>
        <v/>
      </c>
      <c r="E356" s="3" t="s">
        <v>427</v>
      </c>
    </row>
    <row r="357">
      <c r="B357" s="3" t="s">
        <v>427</v>
      </c>
      <c r="C357" s="3" t="s">
        <v>427</v>
      </c>
      <c r="D357" s="3" t="str">
        <f>IFERROR(__xludf.DUMMYFUNCTION("""COMPUTED_VALUE"""),"")</f>
        <v/>
      </c>
      <c r="E357" s="3" t="s">
        <v>427</v>
      </c>
    </row>
    <row r="358">
      <c r="B358" s="3" t="s">
        <v>427</v>
      </c>
      <c r="C358" s="3" t="s">
        <v>427</v>
      </c>
      <c r="D358" s="3" t="str">
        <f>IFERROR(__xludf.DUMMYFUNCTION("""COMPUTED_VALUE"""),"")</f>
        <v/>
      </c>
      <c r="E358" s="3" t="s">
        <v>427</v>
      </c>
    </row>
    <row r="359">
      <c r="B359" s="3" t="s">
        <v>427</v>
      </c>
      <c r="C359" s="3" t="s">
        <v>427</v>
      </c>
      <c r="D359" s="3" t="str">
        <f>IFERROR(__xludf.DUMMYFUNCTION("""COMPUTED_VALUE"""),"")</f>
        <v/>
      </c>
      <c r="E359" s="3" t="s">
        <v>427</v>
      </c>
    </row>
    <row r="360">
      <c r="B360" s="3" t="s">
        <v>427</v>
      </c>
      <c r="C360" s="3" t="s">
        <v>427</v>
      </c>
      <c r="D360" s="3" t="str">
        <f>IFERROR(__xludf.DUMMYFUNCTION("""COMPUTED_VALUE"""),"")</f>
        <v/>
      </c>
      <c r="E360" s="3" t="s">
        <v>427</v>
      </c>
    </row>
    <row r="361">
      <c r="B361" s="3" t="s">
        <v>427</v>
      </c>
      <c r="C361" s="3" t="s">
        <v>427</v>
      </c>
      <c r="D361" s="3" t="str">
        <f>IFERROR(__xludf.DUMMYFUNCTION("""COMPUTED_VALUE"""),"")</f>
        <v/>
      </c>
      <c r="E361" s="3" t="s">
        <v>427</v>
      </c>
    </row>
    <row r="362">
      <c r="B362" s="3" t="s">
        <v>427</v>
      </c>
      <c r="C362" s="3" t="s">
        <v>427</v>
      </c>
      <c r="D362" s="3" t="str">
        <f>IFERROR(__xludf.DUMMYFUNCTION("""COMPUTED_VALUE"""),"")</f>
        <v/>
      </c>
      <c r="E362" s="3" t="s">
        <v>427</v>
      </c>
    </row>
    <row r="363">
      <c r="B363" s="3" t="s">
        <v>427</v>
      </c>
      <c r="C363" s="3" t="s">
        <v>427</v>
      </c>
      <c r="D363" s="3" t="str">
        <f>IFERROR(__xludf.DUMMYFUNCTION("""COMPUTED_VALUE"""),"")</f>
        <v/>
      </c>
      <c r="E363" s="3" t="s">
        <v>427</v>
      </c>
    </row>
    <row r="364">
      <c r="B364" s="3" t="s">
        <v>427</v>
      </c>
      <c r="C364" s="3" t="s">
        <v>427</v>
      </c>
      <c r="D364" s="3" t="str">
        <f>IFERROR(__xludf.DUMMYFUNCTION("""COMPUTED_VALUE"""),"")</f>
        <v/>
      </c>
      <c r="E364" s="3" t="s">
        <v>427</v>
      </c>
    </row>
    <row r="365">
      <c r="B365" s="3" t="s">
        <v>427</v>
      </c>
      <c r="C365" s="3" t="s">
        <v>427</v>
      </c>
      <c r="D365" s="3" t="str">
        <f>IFERROR(__xludf.DUMMYFUNCTION("""COMPUTED_VALUE"""),"")</f>
        <v/>
      </c>
      <c r="E365" s="3" t="s">
        <v>427</v>
      </c>
    </row>
    <row r="366">
      <c r="B366" s="3" t="s">
        <v>427</v>
      </c>
      <c r="C366" s="3" t="s">
        <v>427</v>
      </c>
      <c r="D366" s="3" t="str">
        <f>IFERROR(__xludf.DUMMYFUNCTION("""COMPUTED_VALUE"""),"")</f>
        <v/>
      </c>
      <c r="E366" s="3" t="s">
        <v>427</v>
      </c>
    </row>
    <row r="367">
      <c r="B367" s="3" t="s">
        <v>427</v>
      </c>
      <c r="C367" s="3" t="s">
        <v>427</v>
      </c>
      <c r="D367" s="3" t="str">
        <f>IFERROR(__xludf.DUMMYFUNCTION("""COMPUTED_VALUE"""),"")</f>
        <v/>
      </c>
      <c r="E367" s="3" t="s">
        <v>427</v>
      </c>
    </row>
    <row r="368">
      <c r="B368" s="3" t="s">
        <v>427</v>
      </c>
      <c r="C368" s="3" t="s">
        <v>427</v>
      </c>
      <c r="D368" s="3" t="str">
        <f>IFERROR(__xludf.DUMMYFUNCTION("""COMPUTED_VALUE"""),"")</f>
        <v/>
      </c>
      <c r="E368" s="3" t="s">
        <v>427</v>
      </c>
    </row>
    <row r="369">
      <c r="B369" s="3" t="s">
        <v>427</v>
      </c>
      <c r="C369" s="3" t="s">
        <v>427</v>
      </c>
      <c r="D369" s="3" t="str">
        <f>IFERROR(__xludf.DUMMYFUNCTION("""COMPUTED_VALUE"""),"")</f>
        <v/>
      </c>
      <c r="E369" s="3" t="s">
        <v>427</v>
      </c>
    </row>
    <row r="370">
      <c r="B370" s="3" t="s">
        <v>427</v>
      </c>
      <c r="C370" s="3" t="s">
        <v>427</v>
      </c>
      <c r="D370" s="3" t="str">
        <f>IFERROR(__xludf.DUMMYFUNCTION("""COMPUTED_VALUE"""),"")</f>
        <v/>
      </c>
      <c r="E370" s="3" t="s">
        <v>427</v>
      </c>
    </row>
    <row r="371">
      <c r="B371" s="3" t="s">
        <v>427</v>
      </c>
      <c r="C371" s="3" t="s">
        <v>427</v>
      </c>
      <c r="D371" s="3" t="str">
        <f>IFERROR(__xludf.DUMMYFUNCTION("""COMPUTED_VALUE"""),"")</f>
        <v/>
      </c>
      <c r="E371" s="3" t="s">
        <v>427</v>
      </c>
    </row>
    <row r="372">
      <c r="B372" s="3" t="s">
        <v>427</v>
      </c>
      <c r="C372" s="3" t="s">
        <v>427</v>
      </c>
      <c r="D372" s="3" t="str">
        <f>IFERROR(__xludf.DUMMYFUNCTION("""COMPUTED_VALUE"""),"")</f>
        <v/>
      </c>
      <c r="E372" s="3" t="s">
        <v>427</v>
      </c>
    </row>
    <row r="373">
      <c r="B373" s="3" t="s">
        <v>427</v>
      </c>
      <c r="C373" s="3" t="s">
        <v>427</v>
      </c>
      <c r="D373" s="3" t="str">
        <f>IFERROR(__xludf.DUMMYFUNCTION("""COMPUTED_VALUE"""),"")</f>
        <v/>
      </c>
      <c r="E373" s="3" t="s">
        <v>427</v>
      </c>
    </row>
    <row r="374">
      <c r="B374" s="3" t="s">
        <v>427</v>
      </c>
      <c r="C374" s="3" t="s">
        <v>427</v>
      </c>
      <c r="D374" s="3" t="str">
        <f>IFERROR(__xludf.DUMMYFUNCTION("""COMPUTED_VALUE"""),"")</f>
        <v/>
      </c>
      <c r="E374" s="3" t="s">
        <v>427</v>
      </c>
    </row>
    <row r="375">
      <c r="B375" s="3" t="s">
        <v>427</v>
      </c>
      <c r="C375" s="3" t="s">
        <v>427</v>
      </c>
      <c r="D375" s="3" t="str">
        <f>IFERROR(__xludf.DUMMYFUNCTION("""COMPUTED_VALUE"""),"")</f>
        <v/>
      </c>
      <c r="E375" s="3" t="s">
        <v>427</v>
      </c>
    </row>
    <row r="376">
      <c r="B376" s="3" t="s">
        <v>427</v>
      </c>
      <c r="C376" s="3" t="s">
        <v>427</v>
      </c>
      <c r="D376" s="3" t="str">
        <f>IFERROR(__xludf.DUMMYFUNCTION("""COMPUTED_VALUE"""),"")</f>
        <v/>
      </c>
      <c r="E376" s="3" t="s">
        <v>427</v>
      </c>
    </row>
    <row r="377">
      <c r="B377" s="3" t="s">
        <v>427</v>
      </c>
      <c r="C377" s="3" t="s">
        <v>427</v>
      </c>
      <c r="D377" s="3" t="str">
        <f>IFERROR(__xludf.DUMMYFUNCTION("""COMPUTED_VALUE"""),"")</f>
        <v/>
      </c>
      <c r="E377" s="3" t="s">
        <v>427</v>
      </c>
    </row>
    <row r="378">
      <c r="B378" s="3" t="s">
        <v>427</v>
      </c>
      <c r="C378" s="3" t="s">
        <v>427</v>
      </c>
      <c r="D378" s="3" t="str">
        <f>IFERROR(__xludf.DUMMYFUNCTION("""COMPUTED_VALUE"""),"")</f>
        <v/>
      </c>
      <c r="E378" s="3" t="s">
        <v>427</v>
      </c>
    </row>
    <row r="379">
      <c r="B379" s="3" t="s">
        <v>427</v>
      </c>
      <c r="C379" s="3" t="s">
        <v>427</v>
      </c>
      <c r="D379" s="3" t="str">
        <f>IFERROR(__xludf.DUMMYFUNCTION("""COMPUTED_VALUE"""),"")</f>
        <v/>
      </c>
      <c r="E379" s="3" t="s">
        <v>427</v>
      </c>
    </row>
    <row r="380">
      <c r="B380" s="3" t="s">
        <v>427</v>
      </c>
      <c r="C380" s="3" t="s">
        <v>427</v>
      </c>
      <c r="D380" s="3" t="str">
        <f>IFERROR(__xludf.DUMMYFUNCTION("""COMPUTED_VALUE"""),"")</f>
        <v/>
      </c>
      <c r="E380" s="3" t="s">
        <v>427</v>
      </c>
    </row>
    <row r="381">
      <c r="B381" s="3" t="s">
        <v>427</v>
      </c>
      <c r="C381" s="3" t="s">
        <v>427</v>
      </c>
      <c r="D381" s="3" t="str">
        <f>IFERROR(__xludf.DUMMYFUNCTION("""COMPUTED_VALUE"""),"")</f>
        <v/>
      </c>
      <c r="E381" s="3" t="s">
        <v>427</v>
      </c>
    </row>
    <row r="382">
      <c r="B382" s="3" t="s">
        <v>427</v>
      </c>
      <c r="C382" s="3" t="s">
        <v>427</v>
      </c>
      <c r="D382" s="3" t="str">
        <f>IFERROR(__xludf.DUMMYFUNCTION("""COMPUTED_VALUE"""),"")</f>
        <v/>
      </c>
      <c r="E382" s="3" t="s">
        <v>427</v>
      </c>
    </row>
    <row r="383">
      <c r="B383" s="3" t="s">
        <v>427</v>
      </c>
      <c r="C383" s="3" t="s">
        <v>427</v>
      </c>
      <c r="D383" s="3" t="str">
        <f>IFERROR(__xludf.DUMMYFUNCTION("""COMPUTED_VALUE"""),"")</f>
        <v/>
      </c>
      <c r="E383" s="3" t="s">
        <v>427</v>
      </c>
    </row>
    <row r="384">
      <c r="B384" s="3" t="s">
        <v>427</v>
      </c>
      <c r="C384" s="3" t="s">
        <v>427</v>
      </c>
      <c r="D384" s="3" t="str">
        <f>IFERROR(__xludf.DUMMYFUNCTION("""COMPUTED_VALUE"""),"")</f>
        <v/>
      </c>
      <c r="E384" s="3" t="s">
        <v>427</v>
      </c>
    </row>
    <row r="385">
      <c r="B385" s="3" t="s">
        <v>427</v>
      </c>
      <c r="C385" s="3" t="s">
        <v>427</v>
      </c>
      <c r="D385" s="3" t="str">
        <f>IFERROR(__xludf.DUMMYFUNCTION("""COMPUTED_VALUE"""),"")</f>
        <v/>
      </c>
      <c r="E385" s="3" t="s">
        <v>427</v>
      </c>
    </row>
    <row r="386">
      <c r="B386" s="3" t="s">
        <v>427</v>
      </c>
      <c r="C386" s="3" t="s">
        <v>427</v>
      </c>
      <c r="D386" s="3" t="str">
        <f>IFERROR(__xludf.DUMMYFUNCTION("""COMPUTED_VALUE"""),"")</f>
        <v/>
      </c>
      <c r="E386" s="3" t="s">
        <v>427</v>
      </c>
    </row>
    <row r="387">
      <c r="B387" s="3" t="s">
        <v>427</v>
      </c>
      <c r="C387" s="3" t="s">
        <v>427</v>
      </c>
      <c r="D387" s="3" t="str">
        <f>IFERROR(__xludf.DUMMYFUNCTION("""COMPUTED_VALUE"""),"")</f>
        <v/>
      </c>
      <c r="E387" s="3" t="s">
        <v>427</v>
      </c>
    </row>
    <row r="388">
      <c r="B388" s="3" t="s">
        <v>427</v>
      </c>
      <c r="C388" s="3" t="s">
        <v>427</v>
      </c>
      <c r="D388" s="3" t="str">
        <f>IFERROR(__xludf.DUMMYFUNCTION("""COMPUTED_VALUE"""),"")</f>
        <v/>
      </c>
      <c r="E388" s="3" t="s">
        <v>427</v>
      </c>
    </row>
    <row r="389">
      <c r="B389" s="3" t="s">
        <v>427</v>
      </c>
      <c r="C389" s="3" t="s">
        <v>427</v>
      </c>
      <c r="D389" s="3" t="str">
        <f>IFERROR(__xludf.DUMMYFUNCTION("""COMPUTED_VALUE"""),"")</f>
        <v/>
      </c>
      <c r="E389" s="3" t="s">
        <v>427</v>
      </c>
    </row>
    <row r="390">
      <c r="B390" s="3" t="s">
        <v>427</v>
      </c>
      <c r="C390" s="3" t="s">
        <v>427</v>
      </c>
      <c r="D390" s="3" t="str">
        <f>IFERROR(__xludf.DUMMYFUNCTION("""COMPUTED_VALUE"""),"")</f>
        <v/>
      </c>
      <c r="E390" s="3" t="s">
        <v>427</v>
      </c>
    </row>
    <row r="391">
      <c r="B391" s="3" t="s">
        <v>427</v>
      </c>
      <c r="C391" s="3" t="s">
        <v>427</v>
      </c>
      <c r="D391" s="3" t="str">
        <f>IFERROR(__xludf.DUMMYFUNCTION("""COMPUTED_VALUE"""),"")</f>
        <v/>
      </c>
      <c r="E391" s="3" t="s">
        <v>427</v>
      </c>
    </row>
    <row r="392">
      <c r="B392" s="3" t="s">
        <v>427</v>
      </c>
      <c r="C392" s="3" t="s">
        <v>427</v>
      </c>
      <c r="D392" s="3" t="str">
        <f>IFERROR(__xludf.DUMMYFUNCTION("""COMPUTED_VALUE"""),"")</f>
        <v/>
      </c>
      <c r="E392" s="3" t="s">
        <v>427</v>
      </c>
    </row>
    <row r="393">
      <c r="B393" s="3" t="s">
        <v>427</v>
      </c>
      <c r="C393" s="3" t="s">
        <v>427</v>
      </c>
      <c r="D393" s="3" t="str">
        <f>IFERROR(__xludf.DUMMYFUNCTION("""COMPUTED_VALUE"""),"")</f>
        <v/>
      </c>
      <c r="E393" s="3" t="s">
        <v>427</v>
      </c>
    </row>
    <row r="394">
      <c r="B394" s="3" t="s">
        <v>427</v>
      </c>
      <c r="C394" s="3" t="s">
        <v>427</v>
      </c>
      <c r="D394" s="3" t="str">
        <f>IFERROR(__xludf.DUMMYFUNCTION("""COMPUTED_VALUE"""),"")</f>
        <v/>
      </c>
      <c r="E394" s="3" t="s">
        <v>427</v>
      </c>
    </row>
    <row r="395">
      <c r="B395" s="3" t="s">
        <v>427</v>
      </c>
      <c r="C395" s="3" t="s">
        <v>427</v>
      </c>
      <c r="D395" s="3" t="str">
        <f>IFERROR(__xludf.DUMMYFUNCTION("""COMPUTED_VALUE"""),"")</f>
        <v/>
      </c>
      <c r="E395" s="3" t="s">
        <v>427</v>
      </c>
    </row>
    <row r="396">
      <c r="B396" s="3" t="s">
        <v>427</v>
      </c>
      <c r="C396" s="3" t="s">
        <v>427</v>
      </c>
      <c r="D396" s="3" t="str">
        <f>IFERROR(__xludf.DUMMYFUNCTION("""COMPUTED_VALUE"""),"")</f>
        <v/>
      </c>
      <c r="E396" s="3" t="s">
        <v>427</v>
      </c>
    </row>
    <row r="397">
      <c r="B397" s="3" t="s">
        <v>427</v>
      </c>
      <c r="C397" s="3" t="s">
        <v>427</v>
      </c>
      <c r="D397" s="3" t="str">
        <f>IFERROR(__xludf.DUMMYFUNCTION("""COMPUTED_VALUE"""),"")</f>
        <v/>
      </c>
      <c r="E397" s="3" t="s">
        <v>427</v>
      </c>
    </row>
    <row r="398">
      <c r="B398" s="3" t="s">
        <v>427</v>
      </c>
      <c r="C398" s="3" t="s">
        <v>427</v>
      </c>
      <c r="D398" s="3" t="str">
        <f>IFERROR(__xludf.DUMMYFUNCTION("""COMPUTED_VALUE"""),"")</f>
        <v/>
      </c>
      <c r="E398" s="3" t="s">
        <v>427</v>
      </c>
    </row>
    <row r="399">
      <c r="B399" s="3" t="s">
        <v>427</v>
      </c>
      <c r="C399" s="3" t="s">
        <v>427</v>
      </c>
      <c r="D399" s="3" t="str">
        <f>IFERROR(__xludf.DUMMYFUNCTION("""COMPUTED_VALUE"""),"")</f>
        <v/>
      </c>
      <c r="E399" s="3" t="s">
        <v>427</v>
      </c>
    </row>
    <row r="400">
      <c r="B400" s="3" t="s">
        <v>427</v>
      </c>
      <c r="C400" s="3" t="s">
        <v>427</v>
      </c>
      <c r="D400" s="3" t="str">
        <f>IFERROR(__xludf.DUMMYFUNCTION("""COMPUTED_VALUE"""),"")</f>
        <v/>
      </c>
      <c r="E400" s="3" t="s">
        <v>427</v>
      </c>
    </row>
    <row r="401">
      <c r="B401" s="3" t="s">
        <v>427</v>
      </c>
      <c r="C401" s="3" t="s">
        <v>427</v>
      </c>
      <c r="D401" s="3" t="str">
        <f>IFERROR(__xludf.DUMMYFUNCTION("""COMPUTED_VALUE"""),"")</f>
        <v/>
      </c>
      <c r="E401" s="3" t="s">
        <v>427</v>
      </c>
    </row>
    <row r="402">
      <c r="B402" s="3" t="s">
        <v>427</v>
      </c>
      <c r="C402" s="3" t="s">
        <v>427</v>
      </c>
      <c r="D402" s="3" t="str">
        <f>IFERROR(__xludf.DUMMYFUNCTION("""COMPUTED_VALUE"""),"")</f>
        <v/>
      </c>
      <c r="E402" s="3" t="s">
        <v>427</v>
      </c>
    </row>
    <row r="403">
      <c r="B403" s="3" t="s">
        <v>427</v>
      </c>
      <c r="C403" s="3" t="s">
        <v>427</v>
      </c>
      <c r="D403" s="3" t="str">
        <f>IFERROR(__xludf.DUMMYFUNCTION("""COMPUTED_VALUE"""),"")</f>
        <v/>
      </c>
      <c r="E403" s="3" t="s">
        <v>427</v>
      </c>
    </row>
    <row r="404">
      <c r="B404" s="3" t="s">
        <v>427</v>
      </c>
      <c r="C404" s="3" t="s">
        <v>427</v>
      </c>
      <c r="D404" s="3" t="str">
        <f>IFERROR(__xludf.DUMMYFUNCTION("""COMPUTED_VALUE"""),"")</f>
        <v/>
      </c>
      <c r="E404" s="3" t="s">
        <v>427</v>
      </c>
    </row>
    <row r="405">
      <c r="B405" s="3" t="s">
        <v>427</v>
      </c>
      <c r="C405" s="3" t="s">
        <v>427</v>
      </c>
      <c r="D405" s="3" t="str">
        <f>IFERROR(__xludf.DUMMYFUNCTION("""COMPUTED_VALUE"""),"")</f>
        <v/>
      </c>
      <c r="E405" s="3" t="s">
        <v>427</v>
      </c>
    </row>
    <row r="406">
      <c r="B406" s="3" t="s">
        <v>427</v>
      </c>
      <c r="C406" s="3" t="s">
        <v>427</v>
      </c>
      <c r="D406" s="3" t="str">
        <f>IFERROR(__xludf.DUMMYFUNCTION("""COMPUTED_VALUE"""),"")</f>
        <v/>
      </c>
      <c r="E406" s="3" t="s">
        <v>427</v>
      </c>
    </row>
    <row r="407">
      <c r="B407" s="3" t="s">
        <v>427</v>
      </c>
      <c r="C407" s="3" t="s">
        <v>427</v>
      </c>
      <c r="D407" s="3" t="str">
        <f>IFERROR(__xludf.DUMMYFUNCTION("""COMPUTED_VALUE"""),"")</f>
        <v/>
      </c>
      <c r="E407" s="3" t="s">
        <v>427</v>
      </c>
    </row>
    <row r="408">
      <c r="B408" s="3" t="s">
        <v>427</v>
      </c>
      <c r="C408" s="3" t="s">
        <v>427</v>
      </c>
      <c r="D408" s="3" t="str">
        <f>IFERROR(__xludf.DUMMYFUNCTION("""COMPUTED_VALUE"""),"")</f>
        <v/>
      </c>
      <c r="E408" s="3" t="s">
        <v>427</v>
      </c>
    </row>
    <row r="409">
      <c r="B409" s="3" t="s">
        <v>427</v>
      </c>
      <c r="C409" s="3" t="s">
        <v>427</v>
      </c>
      <c r="D409" s="3" t="str">
        <f>IFERROR(__xludf.DUMMYFUNCTION("""COMPUTED_VALUE"""),"")</f>
        <v/>
      </c>
      <c r="E409" s="3" t="s">
        <v>427</v>
      </c>
    </row>
    <row r="410">
      <c r="B410" s="3" t="s">
        <v>427</v>
      </c>
      <c r="C410" s="3" t="s">
        <v>427</v>
      </c>
      <c r="D410" s="3" t="str">
        <f>IFERROR(__xludf.DUMMYFUNCTION("""COMPUTED_VALUE"""),"")</f>
        <v/>
      </c>
      <c r="E410" s="3" t="s">
        <v>427</v>
      </c>
    </row>
    <row r="411">
      <c r="B411" s="3" t="s">
        <v>427</v>
      </c>
      <c r="C411" s="3" t="s">
        <v>427</v>
      </c>
      <c r="D411" s="3" t="str">
        <f>IFERROR(__xludf.DUMMYFUNCTION("""COMPUTED_VALUE"""),"")</f>
        <v/>
      </c>
      <c r="E411" s="3" t="s">
        <v>427</v>
      </c>
    </row>
    <row r="412">
      <c r="B412" s="3" t="s">
        <v>427</v>
      </c>
      <c r="C412" s="3" t="s">
        <v>427</v>
      </c>
      <c r="D412" s="3" t="str">
        <f>IFERROR(__xludf.DUMMYFUNCTION("""COMPUTED_VALUE"""),"")</f>
        <v/>
      </c>
      <c r="E412" s="3" t="s">
        <v>427</v>
      </c>
    </row>
    <row r="413">
      <c r="B413" s="3" t="s">
        <v>427</v>
      </c>
      <c r="C413" s="3" t="s">
        <v>427</v>
      </c>
      <c r="D413" s="3" t="str">
        <f>IFERROR(__xludf.DUMMYFUNCTION("""COMPUTED_VALUE"""),"")</f>
        <v/>
      </c>
      <c r="E413" s="3" t="s">
        <v>427</v>
      </c>
    </row>
    <row r="414">
      <c r="B414" s="3" t="s">
        <v>427</v>
      </c>
      <c r="C414" s="3" t="s">
        <v>427</v>
      </c>
      <c r="D414" s="3" t="str">
        <f>IFERROR(__xludf.DUMMYFUNCTION("""COMPUTED_VALUE"""),"")</f>
        <v/>
      </c>
      <c r="E414" s="3" t="s">
        <v>427</v>
      </c>
    </row>
    <row r="415">
      <c r="B415" s="3" t="s">
        <v>427</v>
      </c>
      <c r="C415" s="3" t="s">
        <v>427</v>
      </c>
      <c r="D415" s="3" t="str">
        <f>IFERROR(__xludf.DUMMYFUNCTION("""COMPUTED_VALUE"""),"")</f>
        <v/>
      </c>
      <c r="E415" s="3" t="s">
        <v>427</v>
      </c>
    </row>
    <row r="416">
      <c r="B416" s="3" t="s">
        <v>427</v>
      </c>
      <c r="C416" s="3" t="s">
        <v>427</v>
      </c>
      <c r="D416" s="3" t="str">
        <f>IFERROR(__xludf.DUMMYFUNCTION("""COMPUTED_VALUE"""),"")</f>
        <v/>
      </c>
      <c r="E416" s="3" t="s">
        <v>427</v>
      </c>
    </row>
    <row r="417">
      <c r="B417" s="3" t="s">
        <v>427</v>
      </c>
      <c r="C417" s="3" t="s">
        <v>427</v>
      </c>
      <c r="D417" s="3" t="str">
        <f>IFERROR(__xludf.DUMMYFUNCTION("""COMPUTED_VALUE"""),"")</f>
        <v/>
      </c>
      <c r="E417" s="3" t="s">
        <v>427</v>
      </c>
    </row>
    <row r="418">
      <c r="B418" s="3" t="s">
        <v>427</v>
      </c>
      <c r="C418" s="3" t="s">
        <v>427</v>
      </c>
      <c r="D418" s="3" t="str">
        <f>IFERROR(__xludf.DUMMYFUNCTION("""COMPUTED_VALUE"""),"")</f>
        <v/>
      </c>
      <c r="E418" s="3" t="s">
        <v>427</v>
      </c>
    </row>
    <row r="419">
      <c r="B419" s="3" t="s">
        <v>427</v>
      </c>
      <c r="C419" s="3" t="s">
        <v>427</v>
      </c>
      <c r="D419" s="3" t="str">
        <f>IFERROR(__xludf.DUMMYFUNCTION("""COMPUTED_VALUE"""),"")</f>
        <v/>
      </c>
      <c r="E419" s="3" t="s">
        <v>427</v>
      </c>
    </row>
    <row r="420">
      <c r="B420" s="3" t="s">
        <v>427</v>
      </c>
      <c r="C420" s="3" t="s">
        <v>427</v>
      </c>
      <c r="D420" s="3" t="str">
        <f>IFERROR(__xludf.DUMMYFUNCTION("""COMPUTED_VALUE"""),"")</f>
        <v/>
      </c>
      <c r="E420" s="3" t="s">
        <v>427</v>
      </c>
    </row>
    <row r="421">
      <c r="B421" s="3" t="s">
        <v>427</v>
      </c>
      <c r="C421" s="3" t="s">
        <v>427</v>
      </c>
      <c r="D421" s="3" t="str">
        <f>IFERROR(__xludf.DUMMYFUNCTION("""COMPUTED_VALUE"""),"")</f>
        <v/>
      </c>
      <c r="E421" s="3" t="s">
        <v>427</v>
      </c>
    </row>
    <row r="422">
      <c r="B422" s="3" t="s">
        <v>427</v>
      </c>
      <c r="C422" s="3" t="s">
        <v>427</v>
      </c>
      <c r="D422" s="3" t="str">
        <f>IFERROR(__xludf.DUMMYFUNCTION("""COMPUTED_VALUE"""),"")</f>
        <v/>
      </c>
      <c r="E422" s="3" t="s">
        <v>427</v>
      </c>
    </row>
    <row r="423">
      <c r="B423" s="3" t="s">
        <v>427</v>
      </c>
      <c r="C423" s="3" t="s">
        <v>427</v>
      </c>
      <c r="D423" s="3" t="str">
        <f>IFERROR(__xludf.DUMMYFUNCTION("""COMPUTED_VALUE"""),"")</f>
        <v/>
      </c>
      <c r="E423" s="3" t="s">
        <v>427</v>
      </c>
    </row>
    <row r="424">
      <c r="B424" s="3" t="s">
        <v>427</v>
      </c>
      <c r="C424" s="3" t="s">
        <v>427</v>
      </c>
      <c r="D424" s="3" t="str">
        <f>IFERROR(__xludf.DUMMYFUNCTION("""COMPUTED_VALUE"""),"")</f>
        <v/>
      </c>
      <c r="E424" s="3" t="s">
        <v>427</v>
      </c>
    </row>
    <row r="425">
      <c r="B425" s="3" t="s">
        <v>427</v>
      </c>
      <c r="C425" s="3" t="s">
        <v>427</v>
      </c>
      <c r="D425" s="3" t="str">
        <f>IFERROR(__xludf.DUMMYFUNCTION("""COMPUTED_VALUE"""),"")</f>
        <v/>
      </c>
      <c r="E425" s="3" t="s">
        <v>427</v>
      </c>
    </row>
    <row r="426">
      <c r="B426" s="3" t="s">
        <v>427</v>
      </c>
      <c r="C426" s="3" t="s">
        <v>427</v>
      </c>
      <c r="D426" s="3" t="str">
        <f>IFERROR(__xludf.DUMMYFUNCTION("""COMPUTED_VALUE"""),"")</f>
        <v/>
      </c>
      <c r="E426" s="3" t="s">
        <v>427</v>
      </c>
    </row>
    <row r="427">
      <c r="B427" s="3" t="s">
        <v>427</v>
      </c>
      <c r="C427" s="3" t="s">
        <v>427</v>
      </c>
      <c r="D427" s="3" t="str">
        <f>IFERROR(__xludf.DUMMYFUNCTION("""COMPUTED_VALUE"""),"")</f>
        <v/>
      </c>
      <c r="E427" s="3" t="s">
        <v>427</v>
      </c>
    </row>
    <row r="428">
      <c r="B428" s="3" t="s">
        <v>427</v>
      </c>
      <c r="C428" s="3" t="s">
        <v>427</v>
      </c>
      <c r="D428" s="3" t="str">
        <f>IFERROR(__xludf.DUMMYFUNCTION("""COMPUTED_VALUE"""),"")</f>
        <v/>
      </c>
      <c r="E428" s="3" t="s">
        <v>427</v>
      </c>
    </row>
    <row r="429">
      <c r="B429" s="3" t="s">
        <v>427</v>
      </c>
      <c r="C429" s="3" t="s">
        <v>427</v>
      </c>
      <c r="D429" s="3" t="str">
        <f>IFERROR(__xludf.DUMMYFUNCTION("""COMPUTED_VALUE"""),"")</f>
        <v/>
      </c>
      <c r="E429" s="3" t="s">
        <v>427</v>
      </c>
    </row>
    <row r="430">
      <c r="B430" s="3" t="s">
        <v>427</v>
      </c>
      <c r="C430" s="3" t="s">
        <v>427</v>
      </c>
      <c r="D430" s="3" t="str">
        <f>IFERROR(__xludf.DUMMYFUNCTION("""COMPUTED_VALUE"""),"")</f>
        <v/>
      </c>
      <c r="E430" s="3" t="s">
        <v>427</v>
      </c>
    </row>
    <row r="431">
      <c r="B431" s="3" t="s">
        <v>427</v>
      </c>
      <c r="C431" s="3" t="s">
        <v>427</v>
      </c>
      <c r="D431" s="3" t="str">
        <f>IFERROR(__xludf.DUMMYFUNCTION("""COMPUTED_VALUE"""),"")</f>
        <v/>
      </c>
      <c r="E431" s="3" t="s">
        <v>427</v>
      </c>
    </row>
    <row r="432">
      <c r="B432" s="3" t="s">
        <v>427</v>
      </c>
      <c r="C432" s="3" t="s">
        <v>427</v>
      </c>
      <c r="D432" s="3" t="str">
        <f>IFERROR(__xludf.DUMMYFUNCTION("""COMPUTED_VALUE"""),"")</f>
        <v/>
      </c>
      <c r="E432" s="3" t="s">
        <v>427</v>
      </c>
    </row>
    <row r="433">
      <c r="B433" s="3" t="s">
        <v>427</v>
      </c>
      <c r="C433" s="3" t="s">
        <v>427</v>
      </c>
      <c r="D433" s="3" t="str">
        <f>IFERROR(__xludf.DUMMYFUNCTION("""COMPUTED_VALUE"""),"")</f>
        <v/>
      </c>
      <c r="E433" s="3" t="s">
        <v>427</v>
      </c>
    </row>
    <row r="434">
      <c r="B434" s="3" t="s">
        <v>427</v>
      </c>
      <c r="C434" s="3" t="s">
        <v>427</v>
      </c>
      <c r="D434" s="3" t="str">
        <f>IFERROR(__xludf.DUMMYFUNCTION("""COMPUTED_VALUE"""),"")</f>
        <v/>
      </c>
      <c r="E434" s="3" t="s">
        <v>427</v>
      </c>
    </row>
    <row r="435">
      <c r="B435" s="3" t="s">
        <v>427</v>
      </c>
      <c r="C435" s="3" t="s">
        <v>427</v>
      </c>
      <c r="D435" s="3" t="str">
        <f>IFERROR(__xludf.DUMMYFUNCTION("""COMPUTED_VALUE"""),"")</f>
        <v/>
      </c>
      <c r="E435" s="3" t="s">
        <v>427</v>
      </c>
    </row>
    <row r="436">
      <c r="B436" s="3" t="s">
        <v>427</v>
      </c>
      <c r="C436" s="3" t="s">
        <v>427</v>
      </c>
      <c r="D436" s="3" t="str">
        <f>IFERROR(__xludf.DUMMYFUNCTION("""COMPUTED_VALUE"""),"")</f>
        <v/>
      </c>
      <c r="E436" s="3" t="s">
        <v>427</v>
      </c>
    </row>
    <row r="437">
      <c r="B437" s="3" t="s">
        <v>427</v>
      </c>
      <c r="C437" s="3" t="s">
        <v>427</v>
      </c>
      <c r="D437" s="3" t="str">
        <f>IFERROR(__xludf.DUMMYFUNCTION("""COMPUTED_VALUE"""),"")</f>
        <v/>
      </c>
      <c r="E437" s="3" t="s">
        <v>427</v>
      </c>
    </row>
    <row r="438">
      <c r="B438" s="3" t="s">
        <v>427</v>
      </c>
      <c r="C438" s="3" t="s">
        <v>427</v>
      </c>
      <c r="D438" s="3" t="str">
        <f>IFERROR(__xludf.DUMMYFUNCTION("""COMPUTED_VALUE"""),"")</f>
        <v/>
      </c>
      <c r="E438" s="3" t="s">
        <v>427</v>
      </c>
    </row>
    <row r="439">
      <c r="B439" s="3" t="s">
        <v>427</v>
      </c>
      <c r="C439" s="3" t="s">
        <v>427</v>
      </c>
      <c r="D439" s="3" t="str">
        <f>IFERROR(__xludf.DUMMYFUNCTION("""COMPUTED_VALUE"""),"")</f>
        <v/>
      </c>
      <c r="E439" s="3" t="s">
        <v>427</v>
      </c>
    </row>
    <row r="440">
      <c r="B440" s="3" t="s">
        <v>427</v>
      </c>
      <c r="C440" s="3" t="s">
        <v>427</v>
      </c>
      <c r="D440" s="3" t="str">
        <f>IFERROR(__xludf.DUMMYFUNCTION("""COMPUTED_VALUE"""),"")</f>
        <v/>
      </c>
      <c r="E440" s="3" t="s">
        <v>427</v>
      </c>
    </row>
    <row r="441">
      <c r="B441" s="3" t="s">
        <v>427</v>
      </c>
      <c r="C441" s="3" t="s">
        <v>427</v>
      </c>
      <c r="D441" s="3" t="str">
        <f>IFERROR(__xludf.DUMMYFUNCTION("""COMPUTED_VALUE"""),"")</f>
        <v/>
      </c>
      <c r="E441" s="3" t="s">
        <v>427</v>
      </c>
    </row>
    <row r="442">
      <c r="B442" s="3" t="s">
        <v>427</v>
      </c>
      <c r="C442" s="3" t="s">
        <v>427</v>
      </c>
      <c r="D442" s="3" t="str">
        <f>IFERROR(__xludf.DUMMYFUNCTION("""COMPUTED_VALUE"""),"")</f>
        <v/>
      </c>
      <c r="E442" s="3" t="s">
        <v>427</v>
      </c>
    </row>
    <row r="443">
      <c r="B443" s="3" t="s">
        <v>427</v>
      </c>
      <c r="C443" s="3" t="s">
        <v>427</v>
      </c>
      <c r="D443" s="3" t="str">
        <f>IFERROR(__xludf.DUMMYFUNCTION("""COMPUTED_VALUE"""),"")</f>
        <v/>
      </c>
      <c r="E443" s="3" t="s">
        <v>427</v>
      </c>
    </row>
    <row r="444">
      <c r="B444" s="3" t="s">
        <v>427</v>
      </c>
      <c r="C444" s="3" t="s">
        <v>427</v>
      </c>
      <c r="D444" s="3" t="str">
        <f>IFERROR(__xludf.DUMMYFUNCTION("""COMPUTED_VALUE"""),"")</f>
        <v/>
      </c>
      <c r="E444" s="3" t="s">
        <v>427</v>
      </c>
    </row>
    <row r="445">
      <c r="B445" s="3" t="s">
        <v>427</v>
      </c>
      <c r="C445" s="3" t="s">
        <v>427</v>
      </c>
      <c r="D445" s="3" t="str">
        <f>IFERROR(__xludf.DUMMYFUNCTION("""COMPUTED_VALUE"""),"")</f>
        <v/>
      </c>
      <c r="E445" s="3" t="s">
        <v>427</v>
      </c>
    </row>
    <row r="446">
      <c r="B446" s="3" t="s">
        <v>427</v>
      </c>
      <c r="C446" s="3" t="s">
        <v>427</v>
      </c>
      <c r="D446" s="3" t="str">
        <f>IFERROR(__xludf.DUMMYFUNCTION("""COMPUTED_VALUE"""),"")</f>
        <v/>
      </c>
      <c r="E446" s="3" t="s">
        <v>427</v>
      </c>
    </row>
    <row r="447">
      <c r="B447" s="3" t="s">
        <v>427</v>
      </c>
      <c r="C447" s="3" t="s">
        <v>427</v>
      </c>
      <c r="D447" s="3" t="str">
        <f>IFERROR(__xludf.DUMMYFUNCTION("""COMPUTED_VALUE"""),"")</f>
        <v/>
      </c>
      <c r="E447" s="3" t="s">
        <v>427</v>
      </c>
    </row>
    <row r="448">
      <c r="B448" s="3" t="s">
        <v>427</v>
      </c>
      <c r="C448" s="3" t="s">
        <v>427</v>
      </c>
      <c r="D448" s="3" t="str">
        <f>IFERROR(__xludf.DUMMYFUNCTION("""COMPUTED_VALUE"""),"")</f>
        <v/>
      </c>
      <c r="E448" s="3" t="s">
        <v>427</v>
      </c>
    </row>
    <row r="449">
      <c r="B449" s="3" t="s">
        <v>427</v>
      </c>
      <c r="C449" s="3" t="s">
        <v>427</v>
      </c>
      <c r="D449" s="3" t="str">
        <f>IFERROR(__xludf.DUMMYFUNCTION("""COMPUTED_VALUE"""),"")</f>
        <v/>
      </c>
      <c r="E449" s="3" t="s">
        <v>427</v>
      </c>
    </row>
    <row r="450">
      <c r="B450" s="3" t="s">
        <v>427</v>
      </c>
      <c r="C450" s="3" t="s">
        <v>427</v>
      </c>
      <c r="D450" s="3" t="str">
        <f>IFERROR(__xludf.DUMMYFUNCTION("""COMPUTED_VALUE"""),"")</f>
        <v/>
      </c>
      <c r="E450" s="3" t="s">
        <v>427</v>
      </c>
    </row>
    <row r="451">
      <c r="B451" s="3" t="s">
        <v>427</v>
      </c>
      <c r="C451" s="3" t="s">
        <v>427</v>
      </c>
      <c r="D451" s="3" t="str">
        <f>IFERROR(__xludf.DUMMYFUNCTION("""COMPUTED_VALUE"""),"")</f>
        <v/>
      </c>
      <c r="E451" s="3" t="s">
        <v>427</v>
      </c>
    </row>
    <row r="452">
      <c r="B452" s="3" t="s">
        <v>427</v>
      </c>
      <c r="C452" s="3" t="s">
        <v>427</v>
      </c>
      <c r="D452" s="3" t="str">
        <f>IFERROR(__xludf.DUMMYFUNCTION("""COMPUTED_VALUE"""),"")</f>
        <v/>
      </c>
      <c r="E452" s="3" t="s">
        <v>427</v>
      </c>
    </row>
    <row r="453">
      <c r="B453" s="3" t="s">
        <v>427</v>
      </c>
      <c r="C453" s="3" t="s">
        <v>427</v>
      </c>
      <c r="D453" s="3" t="str">
        <f>IFERROR(__xludf.DUMMYFUNCTION("""COMPUTED_VALUE"""),"")</f>
        <v/>
      </c>
      <c r="E453" s="3" t="s">
        <v>427</v>
      </c>
    </row>
    <row r="454">
      <c r="B454" s="3" t="s">
        <v>427</v>
      </c>
      <c r="C454" s="3" t="s">
        <v>427</v>
      </c>
      <c r="D454" s="3" t="str">
        <f>IFERROR(__xludf.DUMMYFUNCTION("""COMPUTED_VALUE"""),"")</f>
        <v/>
      </c>
      <c r="E454" s="3" t="s">
        <v>427</v>
      </c>
    </row>
    <row r="455">
      <c r="B455" s="3" t="s">
        <v>427</v>
      </c>
      <c r="C455" s="3" t="s">
        <v>427</v>
      </c>
      <c r="D455" s="3" t="str">
        <f>IFERROR(__xludf.DUMMYFUNCTION("""COMPUTED_VALUE"""),"")</f>
        <v/>
      </c>
      <c r="E455" s="3" t="s">
        <v>427</v>
      </c>
    </row>
    <row r="456">
      <c r="B456" s="3" t="s">
        <v>427</v>
      </c>
      <c r="C456" s="3" t="s">
        <v>427</v>
      </c>
      <c r="D456" s="3" t="str">
        <f>IFERROR(__xludf.DUMMYFUNCTION("""COMPUTED_VALUE"""),"")</f>
        <v/>
      </c>
      <c r="E456" s="3" t="s">
        <v>427</v>
      </c>
    </row>
    <row r="457">
      <c r="B457" s="3" t="s">
        <v>427</v>
      </c>
      <c r="C457" s="3" t="s">
        <v>427</v>
      </c>
      <c r="D457" s="3" t="str">
        <f>IFERROR(__xludf.DUMMYFUNCTION("""COMPUTED_VALUE"""),"")</f>
        <v/>
      </c>
      <c r="E457" s="3" t="s">
        <v>427</v>
      </c>
    </row>
    <row r="458">
      <c r="B458" s="3" t="s">
        <v>427</v>
      </c>
      <c r="C458" s="3" t="s">
        <v>427</v>
      </c>
      <c r="D458" s="3" t="str">
        <f>IFERROR(__xludf.DUMMYFUNCTION("""COMPUTED_VALUE"""),"")</f>
        <v/>
      </c>
      <c r="E458" s="3" t="s">
        <v>427</v>
      </c>
    </row>
    <row r="459">
      <c r="B459" s="3" t="s">
        <v>427</v>
      </c>
      <c r="C459" s="3" t="s">
        <v>427</v>
      </c>
      <c r="D459" s="3" t="str">
        <f>IFERROR(__xludf.DUMMYFUNCTION("""COMPUTED_VALUE"""),"")</f>
        <v/>
      </c>
      <c r="E459" s="3" t="s">
        <v>427</v>
      </c>
    </row>
    <row r="460">
      <c r="B460" s="3" t="s">
        <v>427</v>
      </c>
      <c r="C460" s="3" t="s">
        <v>427</v>
      </c>
      <c r="D460" s="3" t="str">
        <f>IFERROR(__xludf.DUMMYFUNCTION("""COMPUTED_VALUE"""),"")</f>
        <v/>
      </c>
      <c r="E460" s="3" t="s">
        <v>427</v>
      </c>
    </row>
    <row r="461">
      <c r="B461" s="3" t="s">
        <v>427</v>
      </c>
      <c r="C461" s="3" t="s">
        <v>427</v>
      </c>
      <c r="D461" s="3" t="str">
        <f>IFERROR(__xludf.DUMMYFUNCTION("""COMPUTED_VALUE"""),"")</f>
        <v/>
      </c>
      <c r="E461" s="3" t="s">
        <v>427</v>
      </c>
    </row>
    <row r="462">
      <c r="B462" s="3" t="s">
        <v>427</v>
      </c>
      <c r="C462" s="3" t="s">
        <v>427</v>
      </c>
      <c r="D462" s="3" t="str">
        <f>IFERROR(__xludf.DUMMYFUNCTION("""COMPUTED_VALUE"""),"")</f>
        <v/>
      </c>
      <c r="E462" s="3" t="s">
        <v>427</v>
      </c>
    </row>
    <row r="463">
      <c r="B463" s="3" t="s">
        <v>427</v>
      </c>
      <c r="C463" s="3" t="s">
        <v>427</v>
      </c>
      <c r="D463" s="3" t="str">
        <f>IFERROR(__xludf.DUMMYFUNCTION("""COMPUTED_VALUE"""),"")</f>
        <v/>
      </c>
      <c r="E463" s="3" t="s">
        <v>427</v>
      </c>
    </row>
    <row r="464">
      <c r="B464" s="3" t="s">
        <v>427</v>
      </c>
      <c r="C464" s="3" t="s">
        <v>427</v>
      </c>
      <c r="D464" s="3" t="str">
        <f>IFERROR(__xludf.DUMMYFUNCTION("""COMPUTED_VALUE"""),"")</f>
        <v/>
      </c>
      <c r="E464" s="3" t="s">
        <v>427</v>
      </c>
    </row>
    <row r="465">
      <c r="B465" s="3" t="s">
        <v>427</v>
      </c>
      <c r="C465" s="3" t="s">
        <v>427</v>
      </c>
      <c r="D465" s="3" t="str">
        <f>IFERROR(__xludf.DUMMYFUNCTION("""COMPUTED_VALUE"""),"")</f>
        <v/>
      </c>
      <c r="E465" s="3" t="s">
        <v>427</v>
      </c>
    </row>
    <row r="466">
      <c r="B466" s="3" t="s">
        <v>427</v>
      </c>
      <c r="C466" s="3" t="s">
        <v>427</v>
      </c>
      <c r="D466" s="3" t="str">
        <f>IFERROR(__xludf.DUMMYFUNCTION("""COMPUTED_VALUE"""),"")</f>
        <v/>
      </c>
      <c r="E466" s="3" t="s">
        <v>427</v>
      </c>
    </row>
    <row r="467">
      <c r="B467" s="3" t="s">
        <v>427</v>
      </c>
      <c r="C467" s="3" t="s">
        <v>427</v>
      </c>
      <c r="D467" s="3" t="str">
        <f>IFERROR(__xludf.DUMMYFUNCTION("""COMPUTED_VALUE"""),"")</f>
        <v/>
      </c>
      <c r="E467" s="3" t="s">
        <v>427</v>
      </c>
    </row>
    <row r="468">
      <c r="B468" s="3" t="s">
        <v>427</v>
      </c>
      <c r="C468" s="3" t="s">
        <v>427</v>
      </c>
      <c r="D468" s="3" t="str">
        <f>IFERROR(__xludf.DUMMYFUNCTION("""COMPUTED_VALUE"""),"")</f>
        <v/>
      </c>
      <c r="E468" s="3" t="s">
        <v>427</v>
      </c>
    </row>
    <row r="469">
      <c r="B469" s="3" t="s">
        <v>427</v>
      </c>
      <c r="C469" s="3" t="s">
        <v>427</v>
      </c>
      <c r="D469" s="3" t="str">
        <f>IFERROR(__xludf.DUMMYFUNCTION("""COMPUTED_VALUE"""),"")</f>
        <v/>
      </c>
      <c r="E469" s="3" t="s">
        <v>427</v>
      </c>
    </row>
    <row r="470">
      <c r="B470" s="3" t="s">
        <v>427</v>
      </c>
      <c r="C470" s="3" t="s">
        <v>427</v>
      </c>
      <c r="D470" s="3" t="str">
        <f>IFERROR(__xludf.DUMMYFUNCTION("""COMPUTED_VALUE"""),"")</f>
        <v/>
      </c>
      <c r="E470" s="3" t="s">
        <v>427</v>
      </c>
    </row>
    <row r="471">
      <c r="B471" s="3" t="s">
        <v>427</v>
      </c>
      <c r="C471" s="3" t="s">
        <v>427</v>
      </c>
      <c r="D471" s="3" t="str">
        <f>IFERROR(__xludf.DUMMYFUNCTION("""COMPUTED_VALUE"""),"")</f>
        <v/>
      </c>
      <c r="E471" s="3" t="s">
        <v>427</v>
      </c>
    </row>
    <row r="472">
      <c r="B472" s="3" t="s">
        <v>427</v>
      </c>
      <c r="C472" s="3" t="s">
        <v>427</v>
      </c>
      <c r="D472" s="3" t="str">
        <f>IFERROR(__xludf.DUMMYFUNCTION("""COMPUTED_VALUE"""),"")</f>
        <v/>
      </c>
      <c r="E472" s="3" t="s">
        <v>427</v>
      </c>
    </row>
    <row r="473">
      <c r="B473" s="3" t="s">
        <v>427</v>
      </c>
      <c r="C473" s="3" t="s">
        <v>427</v>
      </c>
      <c r="D473" s="3" t="str">
        <f>IFERROR(__xludf.DUMMYFUNCTION("""COMPUTED_VALUE"""),"")</f>
        <v/>
      </c>
      <c r="E473" s="3" t="s">
        <v>427</v>
      </c>
    </row>
    <row r="474">
      <c r="B474" s="3" t="s">
        <v>427</v>
      </c>
      <c r="C474" s="3" t="s">
        <v>427</v>
      </c>
      <c r="D474" s="3" t="str">
        <f>IFERROR(__xludf.DUMMYFUNCTION("""COMPUTED_VALUE"""),"")</f>
        <v/>
      </c>
      <c r="E474" s="3" t="s">
        <v>427</v>
      </c>
    </row>
    <row r="475">
      <c r="B475" s="3" t="s">
        <v>427</v>
      </c>
      <c r="C475" s="3" t="s">
        <v>427</v>
      </c>
      <c r="D475" s="3" t="str">
        <f>IFERROR(__xludf.DUMMYFUNCTION("""COMPUTED_VALUE"""),"")</f>
        <v/>
      </c>
      <c r="E475" s="3" t="s">
        <v>427</v>
      </c>
    </row>
    <row r="476">
      <c r="B476" s="3" t="s">
        <v>427</v>
      </c>
      <c r="C476" s="3" t="s">
        <v>427</v>
      </c>
      <c r="D476" s="3" t="str">
        <f>IFERROR(__xludf.DUMMYFUNCTION("""COMPUTED_VALUE"""),"")</f>
        <v/>
      </c>
      <c r="E476" s="3" t="s">
        <v>427</v>
      </c>
    </row>
    <row r="477">
      <c r="B477" s="3" t="s">
        <v>427</v>
      </c>
      <c r="C477" s="3" t="s">
        <v>427</v>
      </c>
      <c r="D477" s="3" t="str">
        <f>IFERROR(__xludf.DUMMYFUNCTION("""COMPUTED_VALUE"""),"")</f>
        <v/>
      </c>
      <c r="E477" s="3" t="s">
        <v>427</v>
      </c>
    </row>
    <row r="478">
      <c r="B478" s="3" t="s">
        <v>427</v>
      </c>
      <c r="C478" s="3" t="s">
        <v>427</v>
      </c>
      <c r="D478" s="3" t="str">
        <f>IFERROR(__xludf.DUMMYFUNCTION("""COMPUTED_VALUE"""),"")</f>
        <v/>
      </c>
      <c r="E478" s="3" t="s">
        <v>427</v>
      </c>
    </row>
    <row r="479">
      <c r="B479" s="3" t="s">
        <v>427</v>
      </c>
      <c r="C479" s="3" t="s">
        <v>427</v>
      </c>
      <c r="D479" s="3" t="str">
        <f>IFERROR(__xludf.DUMMYFUNCTION("""COMPUTED_VALUE"""),"")</f>
        <v/>
      </c>
      <c r="E479" s="3" t="s">
        <v>427</v>
      </c>
    </row>
    <row r="480">
      <c r="B480" s="3" t="s">
        <v>427</v>
      </c>
      <c r="C480" s="3" t="s">
        <v>427</v>
      </c>
      <c r="D480" s="3" t="str">
        <f>IFERROR(__xludf.DUMMYFUNCTION("""COMPUTED_VALUE"""),"")</f>
        <v/>
      </c>
      <c r="E480" s="3" t="s">
        <v>427</v>
      </c>
    </row>
    <row r="481">
      <c r="B481" s="3" t="s">
        <v>427</v>
      </c>
      <c r="C481" s="3" t="s">
        <v>427</v>
      </c>
      <c r="D481" s="3" t="str">
        <f>IFERROR(__xludf.DUMMYFUNCTION("""COMPUTED_VALUE"""),"")</f>
        <v/>
      </c>
      <c r="E481" s="3" t="s">
        <v>427</v>
      </c>
    </row>
    <row r="482">
      <c r="B482" s="3" t="s">
        <v>427</v>
      </c>
      <c r="C482" s="3" t="s">
        <v>427</v>
      </c>
      <c r="D482" s="3" t="str">
        <f>IFERROR(__xludf.DUMMYFUNCTION("""COMPUTED_VALUE"""),"")</f>
        <v/>
      </c>
      <c r="E482" s="3" t="s">
        <v>427</v>
      </c>
    </row>
    <row r="483">
      <c r="B483" s="3" t="s">
        <v>427</v>
      </c>
      <c r="C483" s="3" t="s">
        <v>427</v>
      </c>
      <c r="D483" s="3" t="str">
        <f>IFERROR(__xludf.DUMMYFUNCTION("""COMPUTED_VALUE"""),"")</f>
        <v/>
      </c>
      <c r="E483" s="3" t="s">
        <v>427</v>
      </c>
    </row>
    <row r="484">
      <c r="B484" s="3" t="s">
        <v>427</v>
      </c>
      <c r="C484" s="3" t="s">
        <v>427</v>
      </c>
      <c r="D484" s="3" t="str">
        <f>IFERROR(__xludf.DUMMYFUNCTION("""COMPUTED_VALUE"""),"")</f>
        <v/>
      </c>
      <c r="E484" s="3" t="s">
        <v>427</v>
      </c>
    </row>
    <row r="485">
      <c r="B485" s="3" t="s">
        <v>427</v>
      </c>
      <c r="C485" s="3" t="s">
        <v>427</v>
      </c>
      <c r="D485" s="3" t="str">
        <f>IFERROR(__xludf.DUMMYFUNCTION("""COMPUTED_VALUE"""),"")</f>
        <v/>
      </c>
      <c r="E485" s="3" t="s">
        <v>427</v>
      </c>
    </row>
    <row r="486">
      <c r="B486" s="3" t="s">
        <v>427</v>
      </c>
      <c r="C486" s="3" t="s">
        <v>427</v>
      </c>
      <c r="D486" s="3" t="str">
        <f>IFERROR(__xludf.DUMMYFUNCTION("""COMPUTED_VALUE"""),"")</f>
        <v/>
      </c>
      <c r="E486" s="3" t="s">
        <v>427</v>
      </c>
    </row>
    <row r="487">
      <c r="B487" s="3" t="s">
        <v>427</v>
      </c>
      <c r="C487" s="3" t="s">
        <v>427</v>
      </c>
      <c r="D487" s="3" t="str">
        <f>IFERROR(__xludf.DUMMYFUNCTION("""COMPUTED_VALUE"""),"")</f>
        <v/>
      </c>
      <c r="E487" s="3" t="s">
        <v>427</v>
      </c>
    </row>
    <row r="488">
      <c r="B488" s="3" t="s">
        <v>427</v>
      </c>
      <c r="C488" s="3" t="s">
        <v>427</v>
      </c>
      <c r="D488" s="3" t="str">
        <f>IFERROR(__xludf.DUMMYFUNCTION("""COMPUTED_VALUE"""),"")</f>
        <v/>
      </c>
      <c r="E488" s="3" t="s">
        <v>427</v>
      </c>
    </row>
    <row r="489">
      <c r="B489" s="3" t="s">
        <v>427</v>
      </c>
      <c r="C489" s="3" t="s">
        <v>427</v>
      </c>
      <c r="D489" s="3" t="str">
        <f>IFERROR(__xludf.DUMMYFUNCTION("""COMPUTED_VALUE"""),"")</f>
        <v/>
      </c>
      <c r="E489" s="3" t="s">
        <v>427</v>
      </c>
    </row>
    <row r="490">
      <c r="B490" s="3" t="s">
        <v>427</v>
      </c>
      <c r="C490" s="3" t="s">
        <v>427</v>
      </c>
      <c r="D490" s="3" t="str">
        <f>IFERROR(__xludf.DUMMYFUNCTION("""COMPUTED_VALUE"""),"")</f>
        <v/>
      </c>
      <c r="E490" s="3" t="s">
        <v>427</v>
      </c>
    </row>
    <row r="491">
      <c r="B491" s="3" t="s">
        <v>427</v>
      </c>
      <c r="C491" s="3" t="s">
        <v>427</v>
      </c>
      <c r="D491" s="3" t="str">
        <f>IFERROR(__xludf.DUMMYFUNCTION("""COMPUTED_VALUE"""),"")</f>
        <v/>
      </c>
      <c r="E491" s="3" t="s">
        <v>427</v>
      </c>
    </row>
    <row r="492">
      <c r="B492" s="3" t="s">
        <v>427</v>
      </c>
      <c r="C492" s="3" t="s">
        <v>427</v>
      </c>
      <c r="D492" s="3" t="str">
        <f>IFERROR(__xludf.DUMMYFUNCTION("""COMPUTED_VALUE"""),"")</f>
        <v/>
      </c>
      <c r="E492" s="3" t="s">
        <v>427</v>
      </c>
    </row>
    <row r="493">
      <c r="B493" s="3" t="s">
        <v>427</v>
      </c>
      <c r="C493" s="3" t="s">
        <v>427</v>
      </c>
      <c r="D493" s="3" t="str">
        <f>IFERROR(__xludf.DUMMYFUNCTION("""COMPUTED_VALUE"""),"")</f>
        <v/>
      </c>
      <c r="E493" s="3" t="s">
        <v>427</v>
      </c>
    </row>
    <row r="494">
      <c r="B494" s="3" t="s">
        <v>427</v>
      </c>
      <c r="C494" s="3" t="s">
        <v>427</v>
      </c>
      <c r="D494" s="3" t="str">
        <f>IFERROR(__xludf.DUMMYFUNCTION("""COMPUTED_VALUE"""),"")</f>
        <v/>
      </c>
      <c r="E494" s="3" t="s">
        <v>427</v>
      </c>
    </row>
    <row r="495">
      <c r="B495" s="3" t="s">
        <v>427</v>
      </c>
      <c r="C495" s="3" t="s">
        <v>427</v>
      </c>
      <c r="D495" s="3" t="str">
        <f>IFERROR(__xludf.DUMMYFUNCTION("""COMPUTED_VALUE"""),"")</f>
        <v/>
      </c>
      <c r="E495" s="3" t="s">
        <v>427</v>
      </c>
    </row>
    <row r="496">
      <c r="B496" s="3" t="s">
        <v>427</v>
      </c>
      <c r="C496" s="3" t="s">
        <v>427</v>
      </c>
      <c r="D496" s="3" t="str">
        <f>IFERROR(__xludf.DUMMYFUNCTION("""COMPUTED_VALUE"""),"")</f>
        <v/>
      </c>
      <c r="E496" s="3" t="s">
        <v>427</v>
      </c>
    </row>
    <row r="497">
      <c r="B497" s="3" t="s">
        <v>427</v>
      </c>
      <c r="C497" s="3" t="s">
        <v>427</v>
      </c>
      <c r="D497" s="3" t="str">
        <f>IFERROR(__xludf.DUMMYFUNCTION("""COMPUTED_VALUE"""),"")</f>
        <v/>
      </c>
      <c r="E497" s="3" t="s">
        <v>427</v>
      </c>
    </row>
    <row r="498">
      <c r="B498" s="3" t="s">
        <v>427</v>
      </c>
      <c r="C498" s="3" t="s">
        <v>427</v>
      </c>
      <c r="D498" s="3" t="str">
        <f>IFERROR(__xludf.DUMMYFUNCTION("""COMPUTED_VALUE"""),"")</f>
        <v/>
      </c>
      <c r="E498" s="3" t="s">
        <v>427</v>
      </c>
    </row>
    <row r="499">
      <c r="B499" s="3" t="s">
        <v>427</v>
      </c>
      <c r="C499" s="3" t="s">
        <v>427</v>
      </c>
      <c r="D499" s="3" t="str">
        <f>IFERROR(__xludf.DUMMYFUNCTION("""COMPUTED_VALUE"""),"")</f>
        <v/>
      </c>
      <c r="E499" s="3" t="s">
        <v>427</v>
      </c>
    </row>
    <row r="500">
      <c r="B500" s="3" t="s">
        <v>427</v>
      </c>
      <c r="C500" s="3" t="s">
        <v>427</v>
      </c>
      <c r="D500" s="3" t="str">
        <f>IFERROR(__xludf.DUMMYFUNCTION("""COMPUTED_VALUE"""),"")</f>
        <v/>
      </c>
      <c r="E500" s="3" t="s">
        <v>427</v>
      </c>
    </row>
    <row r="501">
      <c r="B501" s="3" t="s">
        <v>427</v>
      </c>
      <c r="C501" s="3" t="s">
        <v>427</v>
      </c>
      <c r="D501" s="3" t="str">
        <f>IFERROR(__xludf.DUMMYFUNCTION("""COMPUTED_VALUE"""),"")</f>
        <v/>
      </c>
      <c r="E501" s="3" t="s">
        <v>427</v>
      </c>
    </row>
    <row r="502">
      <c r="B502" s="3" t="s">
        <v>427</v>
      </c>
      <c r="C502" s="3" t="s">
        <v>427</v>
      </c>
      <c r="D502" s="3" t="str">
        <f>IFERROR(__xludf.DUMMYFUNCTION("""COMPUTED_VALUE"""),"")</f>
        <v/>
      </c>
      <c r="E502" s="3" t="s">
        <v>427</v>
      </c>
    </row>
    <row r="503">
      <c r="B503" s="3" t="s">
        <v>427</v>
      </c>
      <c r="C503" s="3" t="s">
        <v>427</v>
      </c>
      <c r="D503" s="3" t="str">
        <f>IFERROR(__xludf.DUMMYFUNCTION("""COMPUTED_VALUE"""),"")</f>
        <v/>
      </c>
      <c r="E503" s="3" t="s">
        <v>427</v>
      </c>
    </row>
    <row r="504">
      <c r="B504" s="3" t="s">
        <v>427</v>
      </c>
      <c r="C504" s="3" t="s">
        <v>427</v>
      </c>
      <c r="D504" s="3" t="str">
        <f>IFERROR(__xludf.DUMMYFUNCTION("""COMPUTED_VALUE"""),"")</f>
        <v/>
      </c>
      <c r="E504" s="3" t="s">
        <v>427</v>
      </c>
    </row>
    <row r="505">
      <c r="B505" s="3" t="s">
        <v>427</v>
      </c>
      <c r="C505" s="3" t="s">
        <v>427</v>
      </c>
      <c r="D505" s="3" t="str">
        <f>IFERROR(__xludf.DUMMYFUNCTION("""COMPUTED_VALUE"""),"")</f>
        <v/>
      </c>
      <c r="E505" s="3" t="s">
        <v>427</v>
      </c>
    </row>
    <row r="506">
      <c r="B506" s="3" t="s">
        <v>427</v>
      </c>
      <c r="C506" s="3" t="s">
        <v>427</v>
      </c>
      <c r="D506" s="3" t="str">
        <f>IFERROR(__xludf.DUMMYFUNCTION("""COMPUTED_VALUE"""),"")</f>
        <v/>
      </c>
      <c r="E506" s="3" t="s">
        <v>427</v>
      </c>
    </row>
    <row r="507">
      <c r="B507" s="3" t="s">
        <v>427</v>
      </c>
      <c r="C507" s="3" t="s">
        <v>427</v>
      </c>
      <c r="D507" s="3" t="str">
        <f>IFERROR(__xludf.DUMMYFUNCTION("""COMPUTED_VALUE"""),"")</f>
        <v/>
      </c>
      <c r="E507" s="3" t="s">
        <v>427</v>
      </c>
    </row>
    <row r="508">
      <c r="B508" s="3" t="s">
        <v>427</v>
      </c>
      <c r="C508" s="3" t="s">
        <v>427</v>
      </c>
      <c r="D508" s="3" t="str">
        <f>IFERROR(__xludf.DUMMYFUNCTION("""COMPUTED_VALUE"""),"")</f>
        <v/>
      </c>
      <c r="E508" s="3" t="s">
        <v>427</v>
      </c>
    </row>
    <row r="509">
      <c r="B509" s="3" t="s">
        <v>427</v>
      </c>
      <c r="C509" s="3" t="s">
        <v>427</v>
      </c>
      <c r="D509" s="3" t="str">
        <f>IFERROR(__xludf.DUMMYFUNCTION("""COMPUTED_VALUE"""),"")</f>
        <v/>
      </c>
      <c r="E509" s="3" t="s">
        <v>427</v>
      </c>
    </row>
    <row r="510">
      <c r="B510" s="3" t="s">
        <v>427</v>
      </c>
      <c r="C510" s="3" t="s">
        <v>427</v>
      </c>
      <c r="D510" s="3" t="str">
        <f>IFERROR(__xludf.DUMMYFUNCTION("""COMPUTED_VALUE"""),"")</f>
        <v/>
      </c>
      <c r="E510" s="3" t="s">
        <v>427</v>
      </c>
    </row>
    <row r="511">
      <c r="B511" s="3" t="s">
        <v>427</v>
      </c>
      <c r="C511" s="3" t="s">
        <v>427</v>
      </c>
      <c r="D511" s="3" t="str">
        <f>IFERROR(__xludf.DUMMYFUNCTION("""COMPUTED_VALUE"""),"")</f>
        <v/>
      </c>
      <c r="E511" s="3" t="s">
        <v>427</v>
      </c>
    </row>
    <row r="512">
      <c r="B512" s="3" t="s">
        <v>427</v>
      </c>
      <c r="C512" s="3" t="s">
        <v>427</v>
      </c>
      <c r="D512" s="3" t="str">
        <f>IFERROR(__xludf.DUMMYFUNCTION("""COMPUTED_VALUE"""),"")</f>
        <v/>
      </c>
      <c r="E512" s="3" t="s">
        <v>427</v>
      </c>
    </row>
    <row r="513">
      <c r="B513" s="3" t="s">
        <v>427</v>
      </c>
      <c r="C513" s="3" t="s">
        <v>427</v>
      </c>
      <c r="D513" s="3" t="str">
        <f>IFERROR(__xludf.DUMMYFUNCTION("""COMPUTED_VALUE"""),"")</f>
        <v/>
      </c>
      <c r="E513" s="3" t="s">
        <v>427</v>
      </c>
    </row>
    <row r="514">
      <c r="B514" s="3" t="s">
        <v>427</v>
      </c>
      <c r="C514" s="3" t="s">
        <v>427</v>
      </c>
      <c r="D514" s="3" t="str">
        <f>IFERROR(__xludf.DUMMYFUNCTION("""COMPUTED_VALUE"""),"")</f>
        <v/>
      </c>
      <c r="E514" s="3" t="s">
        <v>427</v>
      </c>
    </row>
    <row r="515">
      <c r="B515" s="3" t="s">
        <v>427</v>
      </c>
      <c r="C515" s="3" t="s">
        <v>427</v>
      </c>
      <c r="D515" s="3" t="str">
        <f>IFERROR(__xludf.DUMMYFUNCTION("""COMPUTED_VALUE"""),"")</f>
        <v/>
      </c>
      <c r="E515" s="3" t="s">
        <v>427</v>
      </c>
    </row>
    <row r="516">
      <c r="B516" s="3" t="s">
        <v>427</v>
      </c>
      <c r="C516" s="3" t="s">
        <v>427</v>
      </c>
      <c r="D516" s="3" t="str">
        <f>IFERROR(__xludf.DUMMYFUNCTION("""COMPUTED_VALUE"""),"")</f>
        <v/>
      </c>
      <c r="E516" s="3" t="s">
        <v>427</v>
      </c>
    </row>
    <row r="517">
      <c r="B517" s="3" t="s">
        <v>427</v>
      </c>
      <c r="C517" s="3" t="s">
        <v>427</v>
      </c>
      <c r="D517" s="3" t="str">
        <f>IFERROR(__xludf.DUMMYFUNCTION("""COMPUTED_VALUE"""),"")</f>
        <v/>
      </c>
      <c r="E517" s="3" t="s">
        <v>427</v>
      </c>
    </row>
    <row r="518">
      <c r="B518" s="3" t="s">
        <v>427</v>
      </c>
      <c r="C518" s="3" t="s">
        <v>427</v>
      </c>
      <c r="D518" s="3" t="str">
        <f>IFERROR(__xludf.DUMMYFUNCTION("""COMPUTED_VALUE"""),"")</f>
        <v/>
      </c>
      <c r="E518" s="3" t="s">
        <v>427</v>
      </c>
    </row>
    <row r="519">
      <c r="B519" s="3" t="s">
        <v>427</v>
      </c>
      <c r="C519" s="3" t="s">
        <v>427</v>
      </c>
      <c r="D519" s="3" t="str">
        <f>IFERROR(__xludf.DUMMYFUNCTION("""COMPUTED_VALUE"""),"")</f>
        <v/>
      </c>
      <c r="E519" s="3" t="s">
        <v>427</v>
      </c>
    </row>
    <row r="520">
      <c r="B520" s="3" t="s">
        <v>427</v>
      </c>
      <c r="C520" s="3" t="s">
        <v>427</v>
      </c>
      <c r="D520" s="3" t="str">
        <f>IFERROR(__xludf.DUMMYFUNCTION("""COMPUTED_VALUE"""),"")</f>
        <v/>
      </c>
      <c r="E520" s="3" t="s">
        <v>427</v>
      </c>
    </row>
    <row r="521">
      <c r="B521" s="3" t="s">
        <v>427</v>
      </c>
      <c r="C521" s="3" t="s">
        <v>427</v>
      </c>
      <c r="D521" s="3" t="str">
        <f>IFERROR(__xludf.DUMMYFUNCTION("""COMPUTED_VALUE"""),"")</f>
        <v/>
      </c>
      <c r="E521" s="3" t="s">
        <v>427</v>
      </c>
    </row>
    <row r="522">
      <c r="B522" s="3" t="s">
        <v>427</v>
      </c>
      <c r="C522" s="3" t="s">
        <v>427</v>
      </c>
      <c r="D522" s="3" t="str">
        <f>IFERROR(__xludf.DUMMYFUNCTION("""COMPUTED_VALUE"""),"")</f>
        <v/>
      </c>
      <c r="E522" s="3" t="s">
        <v>427</v>
      </c>
    </row>
    <row r="523">
      <c r="B523" s="3" t="s">
        <v>427</v>
      </c>
      <c r="C523" s="3" t="s">
        <v>427</v>
      </c>
      <c r="D523" s="3" t="str">
        <f>IFERROR(__xludf.DUMMYFUNCTION("""COMPUTED_VALUE"""),"")</f>
        <v/>
      </c>
      <c r="E523" s="3" t="s">
        <v>427</v>
      </c>
    </row>
    <row r="524">
      <c r="B524" s="3" t="s">
        <v>427</v>
      </c>
      <c r="C524" s="3" t="s">
        <v>427</v>
      </c>
      <c r="D524" s="3" t="str">
        <f>IFERROR(__xludf.DUMMYFUNCTION("""COMPUTED_VALUE"""),"")</f>
        <v/>
      </c>
      <c r="E524" s="3" t="s">
        <v>427</v>
      </c>
    </row>
    <row r="525">
      <c r="B525" s="3" t="s">
        <v>427</v>
      </c>
      <c r="C525" s="3" t="s">
        <v>427</v>
      </c>
      <c r="D525" s="3" t="str">
        <f>IFERROR(__xludf.DUMMYFUNCTION("""COMPUTED_VALUE"""),"")</f>
        <v/>
      </c>
      <c r="E525" s="3" t="s">
        <v>427</v>
      </c>
    </row>
    <row r="526">
      <c r="B526" s="3" t="s">
        <v>427</v>
      </c>
      <c r="C526" s="3" t="s">
        <v>427</v>
      </c>
      <c r="D526" s="3" t="str">
        <f>IFERROR(__xludf.DUMMYFUNCTION("""COMPUTED_VALUE"""),"")</f>
        <v/>
      </c>
      <c r="E526" s="3" t="s">
        <v>427</v>
      </c>
    </row>
    <row r="527">
      <c r="B527" s="3" t="s">
        <v>427</v>
      </c>
      <c r="C527" s="3" t="s">
        <v>427</v>
      </c>
      <c r="D527" s="3" t="str">
        <f>IFERROR(__xludf.DUMMYFUNCTION("""COMPUTED_VALUE"""),"")</f>
        <v/>
      </c>
      <c r="E527" s="3" t="s">
        <v>427</v>
      </c>
    </row>
    <row r="528">
      <c r="B528" s="3" t="s">
        <v>427</v>
      </c>
      <c r="C528" s="3" t="s">
        <v>427</v>
      </c>
      <c r="D528" s="3" t="str">
        <f>IFERROR(__xludf.DUMMYFUNCTION("""COMPUTED_VALUE"""),"")</f>
        <v/>
      </c>
      <c r="E528" s="3" t="s">
        <v>427</v>
      </c>
    </row>
    <row r="529">
      <c r="B529" s="3" t="s">
        <v>427</v>
      </c>
      <c r="C529" s="3" t="s">
        <v>427</v>
      </c>
      <c r="D529" s="3" t="str">
        <f>IFERROR(__xludf.DUMMYFUNCTION("""COMPUTED_VALUE"""),"")</f>
        <v/>
      </c>
      <c r="E529" s="3" t="s">
        <v>427</v>
      </c>
    </row>
    <row r="530">
      <c r="B530" s="3" t="s">
        <v>427</v>
      </c>
      <c r="C530" s="3" t="s">
        <v>427</v>
      </c>
      <c r="D530" s="3" t="str">
        <f>IFERROR(__xludf.DUMMYFUNCTION("""COMPUTED_VALUE"""),"")</f>
        <v/>
      </c>
      <c r="E530" s="3" t="s">
        <v>427</v>
      </c>
    </row>
    <row r="531">
      <c r="B531" s="3" t="s">
        <v>427</v>
      </c>
      <c r="C531" s="3" t="s">
        <v>427</v>
      </c>
      <c r="D531" s="3" t="str">
        <f>IFERROR(__xludf.DUMMYFUNCTION("""COMPUTED_VALUE"""),"")</f>
        <v/>
      </c>
      <c r="E531" s="3" t="s">
        <v>427</v>
      </c>
    </row>
    <row r="532">
      <c r="B532" s="3" t="s">
        <v>427</v>
      </c>
      <c r="C532" s="3" t="s">
        <v>427</v>
      </c>
      <c r="D532" s="3" t="str">
        <f>IFERROR(__xludf.DUMMYFUNCTION("""COMPUTED_VALUE"""),"")</f>
        <v/>
      </c>
      <c r="E532" s="3" t="s">
        <v>427</v>
      </c>
    </row>
    <row r="533">
      <c r="B533" s="3" t="s">
        <v>427</v>
      </c>
      <c r="C533" s="3" t="s">
        <v>427</v>
      </c>
      <c r="D533" s="3" t="str">
        <f>IFERROR(__xludf.DUMMYFUNCTION("""COMPUTED_VALUE"""),"")</f>
        <v/>
      </c>
      <c r="E533" s="3" t="s">
        <v>427</v>
      </c>
    </row>
    <row r="534">
      <c r="B534" s="3" t="s">
        <v>427</v>
      </c>
      <c r="C534" s="3" t="s">
        <v>427</v>
      </c>
      <c r="D534" s="3" t="str">
        <f>IFERROR(__xludf.DUMMYFUNCTION("""COMPUTED_VALUE"""),"")</f>
        <v/>
      </c>
      <c r="E534" s="3" t="s">
        <v>427</v>
      </c>
    </row>
    <row r="535">
      <c r="B535" s="3" t="s">
        <v>427</v>
      </c>
      <c r="C535" s="3" t="s">
        <v>427</v>
      </c>
      <c r="D535" s="3" t="str">
        <f>IFERROR(__xludf.DUMMYFUNCTION("""COMPUTED_VALUE"""),"")</f>
        <v/>
      </c>
      <c r="E535" s="3" t="s">
        <v>427</v>
      </c>
    </row>
    <row r="536">
      <c r="B536" s="3" t="s">
        <v>427</v>
      </c>
      <c r="C536" s="3" t="s">
        <v>427</v>
      </c>
      <c r="D536" s="3" t="str">
        <f>IFERROR(__xludf.DUMMYFUNCTION("""COMPUTED_VALUE"""),"")</f>
        <v/>
      </c>
      <c r="E536" s="3" t="s">
        <v>427</v>
      </c>
    </row>
    <row r="537">
      <c r="B537" s="3" t="s">
        <v>427</v>
      </c>
      <c r="C537" s="3" t="s">
        <v>427</v>
      </c>
      <c r="D537" s="3" t="str">
        <f>IFERROR(__xludf.DUMMYFUNCTION("""COMPUTED_VALUE"""),"")</f>
        <v/>
      </c>
      <c r="E537" s="3" t="s">
        <v>427</v>
      </c>
    </row>
    <row r="538">
      <c r="B538" s="3" t="s">
        <v>427</v>
      </c>
      <c r="C538" s="3" t="s">
        <v>427</v>
      </c>
      <c r="D538" s="3" t="str">
        <f>IFERROR(__xludf.DUMMYFUNCTION("""COMPUTED_VALUE"""),"")</f>
        <v/>
      </c>
      <c r="E538" s="3" t="s">
        <v>427</v>
      </c>
    </row>
    <row r="539">
      <c r="B539" s="3" t="s">
        <v>427</v>
      </c>
      <c r="C539" s="3" t="s">
        <v>427</v>
      </c>
      <c r="D539" s="3" t="str">
        <f>IFERROR(__xludf.DUMMYFUNCTION("""COMPUTED_VALUE"""),"")</f>
        <v/>
      </c>
      <c r="E539" s="3" t="s">
        <v>427</v>
      </c>
    </row>
    <row r="540">
      <c r="B540" s="3" t="s">
        <v>427</v>
      </c>
      <c r="C540" s="3" t="s">
        <v>427</v>
      </c>
      <c r="D540" s="3" t="str">
        <f>IFERROR(__xludf.DUMMYFUNCTION("""COMPUTED_VALUE"""),"")</f>
        <v/>
      </c>
      <c r="E540" s="3" t="s">
        <v>427</v>
      </c>
    </row>
    <row r="541">
      <c r="B541" s="3" t="s">
        <v>427</v>
      </c>
      <c r="C541" s="3" t="s">
        <v>427</v>
      </c>
      <c r="D541" s="3" t="str">
        <f>IFERROR(__xludf.DUMMYFUNCTION("""COMPUTED_VALUE"""),"")</f>
        <v/>
      </c>
      <c r="E541" s="3" t="s">
        <v>427</v>
      </c>
    </row>
    <row r="542">
      <c r="B542" s="3" t="s">
        <v>427</v>
      </c>
      <c r="C542" s="3" t="s">
        <v>427</v>
      </c>
      <c r="D542" s="3" t="str">
        <f>IFERROR(__xludf.DUMMYFUNCTION("""COMPUTED_VALUE"""),"")</f>
        <v/>
      </c>
      <c r="E542" s="3" t="s">
        <v>427</v>
      </c>
    </row>
    <row r="543">
      <c r="B543" s="3" t="s">
        <v>427</v>
      </c>
      <c r="C543" s="3" t="s">
        <v>427</v>
      </c>
      <c r="D543" s="3" t="str">
        <f>IFERROR(__xludf.DUMMYFUNCTION("""COMPUTED_VALUE"""),"")</f>
        <v/>
      </c>
      <c r="E543" s="3" t="s">
        <v>427</v>
      </c>
    </row>
    <row r="544">
      <c r="B544" s="3" t="s">
        <v>427</v>
      </c>
      <c r="C544" s="3" t="s">
        <v>427</v>
      </c>
      <c r="D544" s="3" t="str">
        <f>IFERROR(__xludf.DUMMYFUNCTION("""COMPUTED_VALUE"""),"")</f>
        <v/>
      </c>
      <c r="E544" s="3" t="s">
        <v>427</v>
      </c>
    </row>
    <row r="545">
      <c r="B545" s="3" t="s">
        <v>427</v>
      </c>
      <c r="C545" s="3" t="s">
        <v>427</v>
      </c>
      <c r="D545" s="3" t="str">
        <f>IFERROR(__xludf.DUMMYFUNCTION("""COMPUTED_VALUE"""),"")</f>
        <v/>
      </c>
      <c r="E545" s="3" t="s">
        <v>427</v>
      </c>
    </row>
    <row r="546">
      <c r="B546" s="3" t="s">
        <v>427</v>
      </c>
      <c r="C546" s="3" t="s">
        <v>427</v>
      </c>
      <c r="D546" s="3" t="str">
        <f>IFERROR(__xludf.DUMMYFUNCTION("""COMPUTED_VALUE"""),"")</f>
        <v/>
      </c>
      <c r="E546" s="3" t="s">
        <v>427</v>
      </c>
    </row>
    <row r="547">
      <c r="B547" s="3" t="s">
        <v>427</v>
      </c>
      <c r="C547" s="3" t="s">
        <v>427</v>
      </c>
      <c r="D547" s="3" t="str">
        <f>IFERROR(__xludf.DUMMYFUNCTION("""COMPUTED_VALUE"""),"")</f>
        <v/>
      </c>
      <c r="E547" s="3" t="s">
        <v>427</v>
      </c>
    </row>
    <row r="548">
      <c r="B548" s="3" t="s">
        <v>427</v>
      </c>
      <c r="C548" s="3" t="s">
        <v>427</v>
      </c>
      <c r="D548" s="3" t="str">
        <f>IFERROR(__xludf.DUMMYFUNCTION("""COMPUTED_VALUE"""),"")</f>
        <v/>
      </c>
      <c r="E548" s="3" t="s">
        <v>427</v>
      </c>
    </row>
    <row r="549">
      <c r="B549" s="3" t="s">
        <v>427</v>
      </c>
      <c r="C549" s="3" t="s">
        <v>427</v>
      </c>
      <c r="D549" s="3" t="str">
        <f>IFERROR(__xludf.DUMMYFUNCTION("""COMPUTED_VALUE"""),"")</f>
        <v/>
      </c>
      <c r="E549" s="3" t="s">
        <v>427</v>
      </c>
    </row>
    <row r="550">
      <c r="B550" s="3" t="s">
        <v>427</v>
      </c>
      <c r="C550" s="3" t="s">
        <v>427</v>
      </c>
      <c r="D550" s="3" t="str">
        <f>IFERROR(__xludf.DUMMYFUNCTION("""COMPUTED_VALUE"""),"")</f>
        <v/>
      </c>
      <c r="E550" s="3" t="s">
        <v>427</v>
      </c>
    </row>
    <row r="551">
      <c r="B551" s="3" t="s">
        <v>427</v>
      </c>
      <c r="C551" s="3" t="s">
        <v>427</v>
      </c>
      <c r="D551" s="3" t="str">
        <f>IFERROR(__xludf.DUMMYFUNCTION("""COMPUTED_VALUE"""),"")</f>
        <v/>
      </c>
      <c r="E551" s="3" t="s">
        <v>427</v>
      </c>
    </row>
    <row r="552">
      <c r="B552" s="3" t="s">
        <v>427</v>
      </c>
      <c r="C552" s="3" t="s">
        <v>427</v>
      </c>
      <c r="D552" s="3" t="str">
        <f>IFERROR(__xludf.DUMMYFUNCTION("""COMPUTED_VALUE"""),"")</f>
        <v/>
      </c>
      <c r="E552" s="3" t="s">
        <v>427</v>
      </c>
    </row>
    <row r="553">
      <c r="B553" s="3" t="s">
        <v>427</v>
      </c>
      <c r="C553" s="3" t="s">
        <v>427</v>
      </c>
      <c r="D553" s="3" t="str">
        <f>IFERROR(__xludf.DUMMYFUNCTION("""COMPUTED_VALUE"""),"")</f>
        <v/>
      </c>
      <c r="E553" s="3" t="s">
        <v>427</v>
      </c>
    </row>
    <row r="554">
      <c r="B554" s="3" t="s">
        <v>427</v>
      </c>
      <c r="C554" s="3" t="s">
        <v>427</v>
      </c>
      <c r="D554" s="3" t="str">
        <f>IFERROR(__xludf.DUMMYFUNCTION("""COMPUTED_VALUE"""),"")</f>
        <v/>
      </c>
      <c r="E554" s="3" t="s">
        <v>427</v>
      </c>
    </row>
    <row r="555">
      <c r="B555" s="3" t="s">
        <v>427</v>
      </c>
      <c r="C555" s="3" t="s">
        <v>427</v>
      </c>
      <c r="D555" s="3" t="str">
        <f>IFERROR(__xludf.DUMMYFUNCTION("""COMPUTED_VALUE"""),"")</f>
        <v/>
      </c>
      <c r="E555" s="3" t="s">
        <v>427</v>
      </c>
    </row>
    <row r="556">
      <c r="B556" s="3" t="s">
        <v>427</v>
      </c>
      <c r="C556" s="3" t="s">
        <v>427</v>
      </c>
      <c r="D556" s="3" t="str">
        <f>IFERROR(__xludf.DUMMYFUNCTION("""COMPUTED_VALUE"""),"")</f>
        <v/>
      </c>
      <c r="E556" s="3" t="s">
        <v>427</v>
      </c>
    </row>
    <row r="557">
      <c r="B557" s="3" t="s">
        <v>427</v>
      </c>
      <c r="C557" s="3" t="s">
        <v>427</v>
      </c>
      <c r="D557" s="3" t="str">
        <f>IFERROR(__xludf.DUMMYFUNCTION("""COMPUTED_VALUE"""),"")</f>
        <v/>
      </c>
      <c r="E557" s="3" t="s">
        <v>427</v>
      </c>
    </row>
    <row r="558">
      <c r="B558" s="3" t="s">
        <v>427</v>
      </c>
      <c r="C558" s="3" t="s">
        <v>427</v>
      </c>
      <c r="D558" s="3" t="str">
        <f>IFERROR(__xludf.DUMMYFUNCTION("""COMPUTED_VALUE"""),"")</f>
        <v/>
      </c>
      <c r="E558" s="3" t="s">
        <v>427</v>
      </c>
    </row>
    <row r="559">
      <c r="B559" s="3" t="s">
        <v>427</v>
      </c>
      <c r="C559" s="3" t="s">
        <v>427</v>
      </c>
      <c r="D559" s="3" t="str">
        <f>IFERROR(__xludf.DUMMYFUNCTION("""COMPUTED_VALUE"""),"")</f>
        <v/>
      </c>
      <c r="E559" s="3" t="s">
        <v>427</v>
      </c>
    </row>
    <row r="560">
      <c r="B560" s="3" t="s">
        <v>427</v>
      </c>
      <c r="C560" s="3" t="s">
        <v>427</v>
      </c>
      <c r="D560" s="3" t="str">
        <f>IFERROR(__xludf.DUMMYFUNCTION("""COMPUTED_VALUE"""),"")</f>
        <v/>
      </c>
      <c r="E560" s="3" t="s">
        <v>427</v>
      </c>
    </row>
    <row r="561">
      <c r="B561" s="3" t="s">
        <v>427</v>
      </c>
      <c r="C561" s="3" t="s">
        <v>427</v>
      </c>
      <c r="D561" s="3" t="str">
        <f>IFERROR(__xludf.DUMMYFUNCTION("""COMPUTED_VALUE"""),"")</f>
        <v/>
      </c>
      <c r="E561" s="3" t="s">
        <v>427</v>
      </c>
    </row>
    <row r="562">
      <c r="B562" s="3" t="s">
        <v>427</v>
      </c>
      <c r="C562" s="3" t="s">
        <v>427</v>
      </c>
      <c r="D562" s="3" t="str">
        <f>IFERROR(__xludf.DUMMYFUNCTION("""COMPUTED_VALUE"""),"")</f>
        <v/>
      </c>
      <c r="E562" s="3" t="s">
        <v>427</v>
      </c>
    </row>
    <row r="563">
      <c r="B563" s="3" t="s">
        <v>427</v>
      </c>
      <c r="C563" s="3" t="s">
        <v>427</v>
      </c>
      <c r="D563" s="3" t="str">
        <f>IFERROR(__xludf.DUMMYFUNCTION("""COMPUTED_VALUE"""),"")</f>
        <v/>
      </c>
      <c r="E563" s="3" t="s">
        <v>427</v>
      </c>
    </row>
    <row r="564">
      <c r="B564" s="3" t="s">
        <v>427</v>
      </c>
      <c r="C564" s="3" t="s">
        <v>427</v>
      </c>
      <c r="D564" s="3" t="str">
        <f>IFERROR(__xludf.DUMMYFUNCTION("""COMPUTED_VALUE"""),"")</f>
        <v/>
      </c>
      <c r="E564" s="3" t="s">
        <v>427</v>
      </c>
    </row>
    <row r="565">
      <c r="B565" s="3" t="s">
        <v>427</v>
      </c>
      <c r="C565" s="3" t="s">
        <v>427</v>
      </c>
      <c r="D565" s="3" t="str">
        <f>IFERROR(__xludf.DUMMYFUNCTION("""COMPUTED_VALUE"""),"")</f>
        <v/>
      </c>
      <c r="E565" s="3" t="s">
        <v>427</v>
      </c>
    </row>
    <row r="566">
      <c r="B566" s="3" t="s">
        <v>427</v>
      </c>
      <c r="C566" s="3" t="s">
        <v>427</v>
      </c>
      <c r="D566" s="3" t="str">
        <f>IFERROR(__xludf.DUMMYFUNCTION("""COMPUTED_VALUE"""),"")</f>
        <v/>
      </c>
      <c r="E566" s="3" t="s">
        <v>427</v>
      </c>
    </row>
    <row r="567">
      <c r="B567" s="3" t="s">
        <v>427</v>
      </c>
      <c r="C567" s="3" t="s">
        <v>427</v>
      </c>
      <c r="D567" s="3" t="str">
        <f>IFERROR(__xludf.DUMMYFUNCTION("""COMPUTED_VALUE"""),"")</f>
        <v/>
      </c>
      <c r="E567" s="3" t="s">
        <v>427</v>
      </c>
    </row>
    <row r="568">
      <c r="B568" s="3" t="s">
        <v>427</v>
      </c>
      <c r="C568" s="3" t="s">
        <v>427</v>
      </c>
      <c r="D568" s="3" t="str">
        <f>IFERROR(__xludf.DUMMYFUNCTION("""COMPUTED_VALUE"""),"")</f>
        <v/>
      </c>
      <c r="E568" s="3" t="s">
        <v>427</v>
      </c>
    </row>
    <row r="569">
      <c r="B569" s="3" t="s">
        <v>427</v>
      </c>
      <c r="C569" s="3" t="s">
        <v>427</v>
      </c>
      <c r="D569" s="3" t="str">
        <f>IFERROR(__xludf.DUMMYFUNCTION("""COMPUTED_VALUE"""),"")</f>
        <v/>
      </c>
      <c r="E569" s="3" t="s">
        <v>427</v>
      </c>
    </row>
    <row r="570">
      <c r="B570" s="3" t="s">
        <v>427</v>
      </c>
      <c r="C570" s="3" t="s">
        <v>427</v>
      </c>
      <c r="D570" s="3" t="str">
        <f>IFERROR(__xludf.DUMMYFUNCTION("""COMPUTED_VALUE"""),"")</f>
        <v/>
      </c>
      <c r="E570" s="3" t="s">
        <v>427</v>
      </c>
    </row>
    <row r="571">
      <c r="B571" s="3" t="s">
        <v>427</v>
      </c>
      <c r="C571" s="3" t="s">
        <v>427</v>
      </c>
      <c r="D571" s="3" t="str">
        <f>IFERROR(__xludf.DUMMYFUNCTION("""COMPUTED_VALUE"""),"")</f>
        <v/>
      </c>
      <c r="E571" s="3" t="s">
        <v>427</v>
      </c>
    </row>
    <row r="572">
      <c r="B572" s="3" t="s">
        <v>427</v>
      </c>
      <c r="C572" s="3" t="s">
        <v>427</v>
      </c>
      <c r="D572" s="3" t="str">
        <f>IFERROR(__xludf.DUMMYFUNCTION("""COMPUTED_VALUE"""),"")</f>
        <v/>
      </c>
      <c r="E572" s="3" t="s">
        <v>427</v>
      </c>
    </row>
    <row r="573">
      <c r="B573" s="3" t="s">
        <v>427</v>
      </c>
      <c r="C573" s="3" t="s">
        <v>427</v>
      </c>
      <c r="D573" s="3" t="str">
        <f>IFERROR(__xludf.DUMMYFUNCTION("""COMPUTED_VALUE"""),"")</f>
        <v/>
      </c>
      <c r="E573" s="3" t="s">
        <v>427</v>
      </c>
    </row>
    <row r="574">
      <c r="B574" s="3" t="s">
        <v>427</v>
      </c>
      <c r="C574" s="3" t="s">
        <v>427</v>
      </c>
      <c r="D574" s="3" t="str">
        <f>IFERROR(__xludf.DUMMYFUNCTION("""COMPUTED_VALUE"""),"")</f>
        <v/>
      </c>
      <c r="E574" s="3" t="s">
        <v>427</v>
      </c>
    </row>
    <row r="575">
      <c r="B575" s="3" t="s">
        <v>427</v>
      </c>
      <c r="C575" s="3" t="s">
        <v>427</v>
      </c>
      <c r="D575" s="3" t="str">
        <f>IFERROR(__xludf.DUMMYFUNCTION("""COMPUTED_VALUE"""),"")</f>
        <v/>
      </c>
      <c r="E575" s="3" t="s">
        <v>427</v>
      </c>
    </row>
    <row r="576">
      <c r="B576" s="3" t="s">
        <v>427</v>
      </c>
      <c r="C576" s="3" t="s">
        <v>427</v>
      </c>
      <c r="D576" s="3" t="str">
        <f>IFERROR(__xludf.DUMMYFUNCTION("""COMPUTED_VALUE"""),"")</f>
        <v/>
      </c>
      <c r="E576" s="3" t="s">
        <v>427</v>
      </c>
    </row>
    <row r="577">
      <c r="B577" s="3" t="s">
        <v>427</v>
      </c>
      <c r="C577" s="3" t="s">
        <v>427</v>
      </c>
      <c r="D577" s="3" t="str">
        <f>IFERROR(__xludf.DUMMYFUNCTION("""COMPUTED_VALUE"""),"")</f>
        <v/>
      </c>
      <c r="E577" s="3" t="s">
        <v>427</v>
      </c>
    </row>
    <row r="578">
      <c r="B578" s="3" t="s">
        <v>427</v>
      </c>
      <c r="C578" s="3" t="s">
        <v>427</v>
      </c>
      <c r="D578" s="3" t="str">
        <f>IFERROR(__xludf.DUMMYFUNCTION("""COMPUTED_VALUE"""),"")</f>
        <v/>
      </c>
      <c r="E578" s="3" t="s">
        <v>427</v>
      </c>
    </row>
    <row r="579">
      <c r="B579" s="3" t="s">
        <v>427</v>
      </c>
      <c r="C579" s="3" t="s">
        <v>427</v>
      </c>
      <c r="D579" s="3" t="str">
        <f>IFERROR(__xludf.DUMMYFUNCTION("""COMPUTED_VALUE"""),"")</f>
        <v/>
      </c>
      <c r="E579" s="3" t="s">
        <v>427</v>
      </c>
    </row>
    <row r="580">
      <c r="B580" s="3" t="s">
        <v>427</v>
      </c>
      <c r="C580" s="3" t="s">
        <v>427</v>
      </c>
      <c r="D580" s="3" t="str">
        <f>IFERROR(__xludf.DUMMYFUNCTION("""COMPUTED_VALUE"""),"")</f>
        <v/>
      </c>
      <c r="E580" s="3" t="s">
        <v>427</v>
      </c>
    </row>
    <row r="581">
      <c r="B581" s="3" t="s">
        <v>427</v>
      </c>
      <c r="C581" s="3" t="s">
        <v>427</v>
      </c>
      <c r="D581" s="3" t="str">
        <f>IFERROR(__xludf.DUMMYFUNCTION("""COMPUTED_VALUE"""),"")</f>
        <v/>
      </c>
      <c r="E581" s="3" t="s">
        <v>427</v>
      </c>
    </row>
    <row r="582">
      <c r="B582" s="3" t="s">
        <v>427</v>
      </c>
      <c r="C582" s="3" t="s">
        <v>427</v>
      </c>
      <c r="D582" s="3" t="str">
        <f>IFERROR(__xludf.DUMMYFUNCTION("""COMPUTED_VALUE"""),"")</f>
        <v/>
      </c>
      <c r="E582" s="3" t="s">
        <v>427</v>
      </c>
    </row>
    <row r="583">
      <c r="B583" s="3" t="s">
        <v>427</v>
      </c>
      <c r="C583" s="3" t="s">
        <v>427</v>
      </c>
      <c r="D583" s="3" t="str">
        <f>IFERROR(__xludf.DUMMYFUNCTION("""COMPUTED_VALUE"""),"")</f>
        <v/>
      </c>
      <c r="E583" s="3" t="s">
        <v>427</v>
      </c>
    </row>
    <row r="584">
      <c r="B584" s="3" t="s">
        <v>427</v>
      </c>
      <c r="C584" s="3" t="s">
        <v>427</v>
      </c>
      <c r="D584" s="3" t="str">
        <f>IFERROR(__xludf.DUMMYFUNCTION("""COMPUTED_VALUE"""),"")</f>
        <v/>
      </c>
      <c r="E584" s="3" t="s">
        <v>427</v>
      </c>
    </row>
    <row r="585">
      <c r="B585" s="3" t="s">
        <v>427</v>
      </c>
      <c r="C585" s="3" t="s">
        <v>427</v>
      </c>
      <c r="D585" s="3" t="str">
        <f>IFERROR(__xludf.DUMMYFUNCTION("""COMPUTED_VALUE"""),"")</f>
        <v/>
      </c>
      <c r="E585" s="3" t="s">
        <v>427</v>
      </c>
    </row>
    <row r="586">
      <c r="B586" s="3" t="s">
        <v>427</v>
      </c>
      <c r="C586" s="3" t="s">
        <v>427</v>
      </c>
      <c r="D586" s="3" t="str">
        <f>IFERROR(__xludf.DUMMYFUNCTION("""COMPUTED_VALUE"""),"")</f>
        <v/>
      </c>
      <c r="E586" s="3" t="s">
        <v>427</v>
      </c>
    </row>
    <row r="587">
      <c r="B587" s="3" t="s">
        <v>427</v>
      </c>
      <c r="C587" s="3" t="s">
        <v>427</v>
      </c>
      <c r="D587" s="3" t="str">
        <f>IFERROR(__xludf.DUMMYFUNCTION("""COMPUTED_VALUE"""),"")</f>
        <v/>
      </c>
      <c r="E587" s="3" t="s">
        <v>427</v>
      </c>
    </row>
    <row r="588">
      <c r="B588" s="3" t="s">
        <v>427</v>
      </c>
      <c r="C588" s="3" t="s">
        <v>427</v>
      </c>
      <c r="D588" s="3" t="str">
        <f>IFERROR(__xludf.DUMMYFUNCTION("""COMPUTED_VALUE"""),"")</f>
        <v/>
      </c>
      <c r="E588" s="3" t="s">
        <v>427</v>
      </c>
    </row>
    <row r="589">
      <c r="B589" s="3" t="s">
        <v>427</v>
      </c>
      <c r="C589" s="3" t="s">
        <v>427</v>
      </c>
      <c r="D589" s="3" t="str">
        <f>IFERROR(__xludf.DUMMYFUNCTION("""COMPUTED_VALUE"""),"")</f>
        <v/>
      </c>
      <c r="E589" s="3" t="s">
        <v>427</v>
      </c>
    </row>
    <row r="590">
      <c r="B590" s="3" t="s">
        <v>427</v>
      </c>
      <c r="C590" s="3" t="s">
        <v>427</v>
      </c>
      <c r="D590" s="3" t="str">
        <f>IFERROR(__xludf.DUMMYFUNCTION("""COMPUTED_VALUE"""),"")</f>
        <v/>
      </c>
      <c r="E590" s="3" t="s">
        <v>427</v>
      </c>
    </row>
    <row r="591">
      <c r="B591" s="3" t="s">
        <v>427</v>
      </c>
      <c r="C591" s="3" t="s">
        <v>427</v>
      </c>
      <c r="D591" s="3" t="str">
        <f>IFERROR(__xludf.DUMMYFUNCTION("""COMPUTED_VALUE"""),"")</f>
        <v/>
      </c>
      <c r="E591" s="3" t="s">
        <v>427</v>
      </c>
    </row>
    <row r="592">
      <c r="B592" s="3" t="s">
        <v>427</v>
      </c>
      <c r="C592" s="3" t="s">
        <v>427</v>
      </c>
      <c r="D592" s="3" t="str">
        <f>IFERROR(__xludf.DUMMYFUNCTION("""COMPUTED_VALUE"""),"")</f>
        <v/>
      </c>
      <c r="E592" s="3" t="s">
        <v>427</v>
      </c>
    </row>
    <row r="593">
      <c r="B593" s="3" t="s">
        <v>427</v>
      </c>
      <c r="C593" s="3" t="s">
        <v>427</v>
      </c>
      <c r="D593" s="3" t="str">
        <f>IFERROR(__xludf.DUMMYFUNCTION("""COMPUTED_VALUE"""),"")</f>
        <v/>
      </c>
      <c r="E593" s="3" t="s">
        <v>427</v>
      </c>
    </row>
    <row r="594">
      <c r="B594" s="3" t="s">
        <v>427</v>
      </c>
      <c r="C594" s="3" t="s">
        <v>427</v>
      </c>
      <c r="D594" s="3" t="str">
        <f>IFERROR(__xludf.DUMMYFUNCTION("""COMPUTED_VALUE"""),"")</f>
        <v/>
      </c>
      <c r="E594" s="3" t="s">
        <v>427</v>
      </c>
    </row>
    <row r="595">
      <c r="B595" s="3" t="s">
        <v>427</v>
      </c>
      <c r="C595" s="3" t="s">
        <v>427</v>
      </c>
      <c r="D595" s="3" t="str">
        <f>IFERROR(__xludf.DUMMYFUNCTION("""COMPUTED_VALUE"""),"")</f>
        <v/>
      </c>
      <c r="E595" s="3" t="s">
        <v>427</v>
      </c>
    </row>
    <row r="596">
      <c r="B596" s="3" t="s">
        <v>427</v>
      </c>
      <c r="C596" s="3" t="s">
        <v>427</v>
      </c>
      <c r="D596" s="3" t="str">
        <f>IFERROR(__xludf.DUMMYFUNCTION("""COMPUTED_VALUE"""),"")</f>
        <v/>
      </c>
      <c r="E596" s="3" t="s">
        <v>427</v>
      </c>
    </row>
    <row r="597">
      <c r="B597" s="3" t="s">
        <v>427</v>
      </c>
      <c r="C597" s="3" t="s">
        <v>427</v>
      </c>
      <c r="D597" s="3" t="str">
        <f>IFERROR(__xludf.DUMMYFUNCTION("""COMPUTED_VALUE"""),"")</f>
        <v/>
      </c>
      <c r="E597" s="3" t="s">
        <v>427</v>
      </c>
    </row>
    <row r="598">
      <c r="B598" s="3" t="s">
        <v>427</v>
      </c>
      <c r="C598" s="3" t="s">
        <v>427</v>
      </c>
      <c r="D598" s="3" t="str">
        <f>IFERROR(__xludf.DUMMYFUNCTION("""COMPUTED_VALUE"""),"")</f>
        <v/>
      </c>
      <c r="E598" s="3" t="s">
        <v>427</v>
      </c>
    </row>
    <row r="599">
      <c r="B599" s="3" t="s">
        <v>427</v>
      </c>
      <c r="C599" s="3" t="s">
        <v>427</v>
      </c>
      <c r="D599" s="3" t="str">
        <f>IFERROR(__xludf.DUMMYFUNCTION("""COMPUTED_VALUE"""),"")</f>
        <v/>
      </c>
      <c r="E599" s="3" t="s">
        <v>427</v>
      </c>
    </row>
    <row r="600">
      <c r="B600" s="3" t="s">
        <v>427</v>
      </c>
      <c r="C600" s="3" t="s">
        <v>427</v>
      </c>
      <c r="D600" s="3" t="str">
        <f>IFERROR(__xludf.DUMMYFUNCTION("""COMPUTED_VALUE"""),"")</f>
        <v/>
      </c>
      <c r="E600" s="3" t="s">
        <v>427</v>
      </c>
    </row>
    <row r="601">
      <c r="B601" s="3" t="s">
        <v>427</v>
      </c>
      <c r="C601" s="3" t="s">
        <v>427</v>
      </c>
      <c r="D601" s="3" t="str">
        <f>IFERROR(__xludf.DUMMYFUNCTION("""COMPUTED_VALUE"""),"")</f>
        <v/>
      </c>
      <c r="E601" s="3" t="s">
        <v>427</v>
      </c>
    </row>
    <row r="602">
      <c r="B602" s="3" t="s">
        <v>427</v>
      </c>
      <c r="C602" s="3" t="s">
        <v>427</v>
      </c>
      <c r="D602" s="3" t="str">
        <f>IFERROR(__xludf.DUMMYFUNCTION("""COMPUTED_VALUE"""),"")</f>
        <v/>
      </c>
      <c r="E602" s="3" t="s">
        <v>427</v>
      </c>
    </row>
    <row r="603">
      <c r="B603" s="3" t="s">
        <v>427</v>
      </c>
      <c r="C603" s="3" t="s">
        <v>427</v>
      </c>
      <c r="D603" s="3" t="str">
        <f>IFERROR(__xludf.DUMMYFUNCTION("""COMPUTED_VALUE"""),"")</f>
        <v/>
      </c>
      <c r="E603" s="3" t="s">
        <v>427</v>
      </c>
    </row>
    <row r="604">
      <c r="B604" s="3" t="s">
        <v>427</v>
      </c>
      <c r="C604" s="3" t="s">
        <v>427</v>
      </c>
      <c r="D604" s="3" t="str">
        <f>IFERROR(__xludf.DUMMYFUNCTION("""COMPUTED_VALUE"""),"")</f>
        <v/>
      </c>
      <c r="E604" s="3" t="s">
        <v>427</v>
      </c>
    </row>
    <row r="605">
      <c r="B605" s="3" t="s">
        <v>427</v>
      </c>
      <c r="C605" s="3" t="s">
        <v>427</v>
      </c>
      <c r="D605" s="3" t="str">
        <f>IFERROR(__xludf.DUMMYFUNCTION("""COMPUTED_VALUE"""),"")</f>
        <v/>
      </c>
      <c r="E605" s="3" t="s">
        <v>427</v>
      </c>
    </row>
    <row r="606">
      <c r="B606" s="3" t="s">
        <v>427</v>
      </c>
      <c r="C606" s="3" t="s">
        <v>427</v>
      </c>
      <c r="D606" s="3" t="str">
        <f>IFERROR(__xludf.DUMMYFUNCTION("""COMPUTED_VALUE"""),"")</f>
        <v/>
      </c>
      <c r="E606" s="3" t="s">
        <v>427</v>
      </c>
    </row>
    <row r="607">
      <c r="B607" s="3" t="s">
        <v>427</v>
      </c>
      <c r="C607" s="3" t="s">
        <v>427</v>
      </c>
      <c r="D607" s="3" t="str">
        <f>IFERROR(__xludf.DUMMYFUNCTION("""COMPUTED_VALUE"""),"")</f>
        <v/>
      </c>
      <c r="E607" s="3" t="s">
        <v>427</v>
      </c>
    </row>
    <row r="608">
      <c r="B608" s="3" t="s">
        <v>427</v>
      </c>
      <c r="C608" s="3" t="s">
        <v>427</v>
      </c>
      <c r="D608" s="3" t="str">
        <f>IFERROR(__xludf.DUMMYFUNCTION("""COMPUTED_VALUE"""),"")</f>
        <v/>
      </c>
      <c r="E608" s="3" t="s">
        <v>427</v>
      </c>
    </row>
    <row r="609">
      <c r="B609" s="3" t="s">
        <v>427</v>
      </c>
      <c r="C609" s="3" t="s">
        <v>427</v>
      </c>
      <c r="D609" s="3" t="str">
        <f>IFERROR(__xludf.DUMMYFUNCTION("""COMPUTED_VALUE"""),"")</f>
        <v/>
      </c>
      <c r="E609" s="3" t="s">
        <v>427</v>
      </c>
    </row>
    <row r="610">
      <c r="B610" s="3" t="s">
        <v>427</v>
      </c>
      <c r="C610" s="3" t="s">
        <v>427</v>
      </c>
      <c r="D610" s="3" t="str">
        <f>IFERROR(__xludf.DUMMYFUNCTION("""COMPUTED_VALUE"""),"")</f>
        <v/>
      </c>
      <c r="E610" s="3" t="s">
        <v>427</v>
      </c>
    </row>
    <row r="611">
      <c r="B611" s="3" t="s">
        <v>427</v>
      </c>
      <c r="C611" s="3" t="s">
        <v>427</v>
      </c>
      <c r="D611" s="3" t="str">
        <f>IFERROR(__xludf.DUMMYFUNCTION("""COMPUTED_VALUE"""),"")</f>
        <v/>
      </c>
      <c r="E611" s="3" t="s">
        <v>427</v>
      </c>
    </row>
    <row r="612">
      <c r="B612" s="3" t="s">
        <v>427</v>
      </c>
      <c r="C612" s="3" t="s">
        <v>427</v>
      </c>
      <c r="D612" s="3" t="str">
        <f>IFERROR(__xludf.DUMMYFUNCTION("""COMPUTED_VALUE"""),"")</f>
        <v/>
      </c>
      <c r="E612" s="3" t="s">
        <v>427</v>
      </c>
    </row>
    <row r="613">
      <c r="B613" s="3" t="s">
        <v>427</v>
      </c>
      <c r="C613" s="3" t="s">
        <v>427</v>
      </c>
      <c r="D613" s="3" t="str">
        <f>IFERROR(__xludf.DUMMYFUNCTION("""COMPUTED_VALUE"""),"")</f>
        <v/>
      </c>
      <c r="E613" s="3" t="s">
        <v>427</v>
      </c>
    </row>
    <row r="614">
      <c r="B614" s="3" t="s">
        <v>427</v>
      </c>
      <c r="C614" s="3" t="s">
        <v>427</v>
      </c>
      <c r="D614" s="3" t="str">
        <f>IFERROR(__xludf.DUMMYFUNCTION("""COMPUTED_VALUE"""),"")</f>
        <v/>
      </c>
      <c r="E614" s="3" t="s">
        <v>427</v>
      </c>
    </row>
    <row r="615">
      <c r="B615" s="3" t="s">
        <v>427</v>
      </c>
      <c r="C615" s="3" t="s">
        <v>427</v>
      </c>
      <c r="D615" s="3" t="str">
        <f>IFERROR(__xludf.DUMMYFUNCTION("""COMPUTED_VALUE"""),"")</f>
        <v/>
      </c>
      <c r="E615" s="3" t="s">
        <v>427</v>
      </c>
    </row>
    <row r="616">
      <c r="B616" s="3" t="s">
        <v>427</v>
      </c>
      <c r="C616" s="3" t="s">
        <v>427</v>
      </c>
      <c r="D616" s="3" t="str">
        <f>IFERROR(__xludf.DUMMYFUNCTION("""COMPUTED_VALUE"""),"")</f>
        <v/>
      </c>
      <c r="E616" s="3" t="s">
        <v>427</v>
      </c>
    </row>
    <row r="617">
      <c r="B617" s="3" t="s">
        <v>427</v>
      </c>
      <c r="C617" s="3" t="s">
        <v>427</v>
      </c>
      <c r="D617" s="3" t="str">
        <f>IFERROR(__xludf.DUMMYFUNCTION("""COMPUTED_VALUE"""),"")</f>
        <v/>
      </c>
      <c r="E617" s="3" t="s">
        <v>427</v>
      </c>
    </row>
    <row r="618">
      <c r="B618" s="3" t="s">
        <v>427</v>
      </c>
      <c r="C618" s="3" t="s">
        <v>427</v>
      </c>
      <c r="D618" s="3" t="str">
        <f>IFERROR(__xludf.DUMMYFUNCTION("""COMPUTED_VALUE"""),"")</f>
        <v/>
      </c>
      <c r="E618" s="3" t="s">
        <v>427</v>
      </c>
    </row>
    <row r="619">
      <c r="B619" s="3" t="s">
        <v>427</v>
      </c>
      <c r="C619" s="3" t="s">
        <v>427</v>
      </c>
      <c r="D619" s="3" t="str">
        <f>IFERROR(__xludf.DUMMYFUNCTION("""COMPUTED_VALUE"""),"")</f>
        <v/>
      </c>
      <c r="E619" s="3" t="s">
        <v>427</v>
      </c>
    </row>
    <row r="620">
      <c r="B620" s="3" t="s">
        <v>427</v>
      </c>
      <c r="C620" s="3" t="s">
        <v>427</v>
      </c>
      <c r="D620" s="3" t="str">
        <f>IFERROR(__xludf.DUMMYFUNCTION("""COMPUTED_VALUE"""),"")</f>
        <v/>
      </c>
      <c r="E620" s="3" t="s">
        <v>427</v>
      </c>
    </row>
    <row r="621">
      <c r="B621" s="3" t="s">
        <v>427</v>
      </c>
      <c r="C621" s="3" t="s">
        <v>427</v>
      </c>
      <c r="D621" s="3" t="str">
        <f>IFERROR(__xludf.DUMMYFUNCTION("""COMPUTED_VALUE"""),"")</f>
        <v/>
      </c>
      <c r="E621" s="3" t="s">
        <v>427</v>
      </c>
    </row>
    <row r="622">
      <c r="B622" s="3" t="s">
        <v>427</v>
      </c>
      <c r="C622" s="3" t="s">
        <v>427</v>
      </c>
      <c r="D622" s="3" t="str">
        <f>IFERROR(__xludf.DUMMYFUNCTION("""COMPUTED_VALUE"""),"")</f>
        <v/>
      </c>
      <c r="E622" s="3" t="s">
        <v>427</v>
      </c>
    </row>
    <row r="623">
      <c r="B623" s="3" t="s">
        <v>427</v>
      </c>
      <c r="C623" s="3" t="s">
        <v>427</v>
      </c>
      <c r="D623" s="3" t="str">
        <f>IFERROR(__xludf.DUMMYFUNCTION("""COMPUTED_VALUE"""),"")</f>
        <v/>
      </c>
      <c r="E623" s="3" t="s">
        <v>427</v>
      </c>
    </row>
    <row r="624">
      <c r="B624" s="3" t="s">
        <v>427</v>
      </c>
      <c r="C624" s="3" t="s">
        <v>427</v>
      </c>
      <c r="D624" s="3" t="str">
        <f>IFERROR(__xludf.DUMMYFUNCTION("""COMPUTED_VALUE"""),"")</f>
        <v/>
      </c>
      <c r="E624" s="3" t="s">
        <v>427</v>
      </c>
    </row>
    <row r="625">
      <c r="B625" s="3" t="s">
        <v>427</v>
      </c>
      <c r="C625" s="3" t="s">
        <v>427</v>
      </c>
      <c r="D625" s="3" t="str">
        <f>IFERROR(__xludf.DUMMYFUNCTION("""COMPUTED_VALUE"""),"")</f>
        <v/>
      </c>
      <c r="E625" s="3" t="s">
        <v>427</v>
      </c>
    </row>
    <row r="626">
      <c r="B626" s="3" t="s">
        <v>427</v>
      </c>
      <c r="C626" s="3" t="s">
        <v>427</v>
      </c>
      <c r="D626" s="3" t="str">
        <f>IFERROR(__xludf.DUMMYFUNCTION("""COMPUTED_VALUE"""),"")</f>
        <v/>
      </c>
      <c r="E626" s="3" t="s">
        <v>427</v>
      </c>
    </row>
    <row r="627">
      <c r="B627" s="3" t="s">
        <v>427</v>
      </c>
      <c r="C627" s="3" t="s">
        <v>427</v>
      </c>
      <c r="D627" s="3" t="str">
        <f>IFERROR(__xludf.DUMMYFUNCTION("""COMPUTED_VALUE"""),"")</f>
        <v/>
      </c>
      <c r="E627" s="3" t="s">
        <v>427</v>
      </c>
    </row>
    <row r="628">
      <c r="B628" s="3" t="s">
        <v>427</v>
      </c>
      <c r="C628" s="3" t="s">
        <v>427</v>
      </c>
      <c r="D628" s="3" t="str">
        <f>IFERROR(__xludf.DUMMYFUNCTION("""COMPUTED_VALUE"""),"")</f>
        <v/>
      </c>
      <c r="E628" s="3" t="s">
        <v>427</v>
      </c>
    </row>
    <row r="629">
      <c r="B629" s="3" t="s">
        <v>427</v>
      </c>
      <c r="C629" s="3" t="s">
        <v>427</v>
      </c>
      <c r="D629" s="3" t="str">
        <f>IFERROR(__xludf.DUMMYFUNCTION("""COMPUTED_VALUE"""),"")</f>
        <v/>
      </c>
      <c r="E629" s="3" t="s">
        <v>427</v>
      </c>
    </row>
    <row r="630">
      <c r="B630" s="3" t="s">
        <v>427</v>
      </c>
      <c r="C630" s="3" t="s">
        <v>427</v>
      </c>
      <c r="D630" s="3" t="str">
        <f>IFERROR(__xludf.DUMMYFUNCTION("""COMPUTED_VALUE"""),"")</f>
        <v/>
      </c>
      <c r="E630" s="3" t="s">
        <v>427</v>
      </c>
    </row>
    <row r="631">
      <c r="B631" s="3" t="s">
        <v>427</v>
      </c>
      <c r="C631" s="3" t="s">
        <v>427</v>
      </c>
      <c r="D631" s="3" t="str">
        <f>IFERROR(__xludf.DUMMYFUNCTION("""COMPUTED_VALUE"""),"")</f>
        <v/>
      </c>
      <c r="E631" s="3" t="s">
        <v>427</v>
      </c>
    </row>
    <row r="632">
      <c r="B632" s="3" t="s">
        <v>427</v>
      </c>
      <c r="C632" s="3" t="s">
        <v>427</v>
      </c>
      <c r="D632" s="3" t="str">
        <f>IFERROR(__xludf.DUMMYFUNCTION("""COMPUTED_VALUE"""),"")</f>
        <v/>
      </c>
      <c r="E632" s="3" t="s">
        <v>427</v>
      </c>
    </row>
    <row r="633">
      <c r="B633" s="3" t="s">
        <v>427</v>
      </c>
      <c r="C633" s="3" t="s">
        <v>427</v>
      </c>
      <c r="D633" s="3" t="str">
        <f>IFERROR(__xludf.DUMMYFUNCTION("""COMPUTED_VALUE"""),"")</f>
        <v/>
      </c>
      <c r="E633" s="3" t="s">
        <v>427</v>
      </c>
    </row>
    <row r="634">
      <c r="B634" s="3" t="s">
        <v>427</v>
      </c>
      <c r="C634" s="3" t="s">
        <v>427</v>
      </c>
      <c r="D634" s="3" t="str">
        <f>IFERROR(__xludf.DUMMYFUNCTION("""COMPUTED_VALUE"""),"")</f>
        <v/>
      </c>
      <c r="E634" s="3" t="s">
        <v>427</v>
      </c>
    </row>
    <row r="635">
      <c r="B635" s="3" t="s">
        <v>427</v>
      </c>
      <c r="C635" s="3" t="s">
        <v>427</v>
      </c>
      <c r="D635" s="3" t="str">
        <f>IFERROR(__xludf.DUMMYFUNCTION("""COMPUTED_VALUE"""),"")</f>
        <v/>
      </c>
      <c r="E635" s="3" t="s">
        <v>427</v>
      </c>
    </row>
    <row r="636">
      <c r="B636" s="3" t="s">
        <v>427</v>
      </c>
      <c r="C636" s="3" t="s">
        <v>427</v>
      </c>
      <c r="D636" s="3" t="str">
        <f>IFERROR(__xludf.DUMMYFUNCTION("""COMPUTED_VALUE"""),"")</f>
        <v/>
      </c>
      <c r="E636" s="3" t="s">
        <v>427</v>
      </c>
    </row>
    <row r="637">
      <c r="B637" s="3" t="s">
        <v>427</v>
      </c>
      <c r="C637" s="3" t="s">
        <v>427</v>
      </c>
      <c r="D637" s="3" t="str">
        <f>IFERROR(__xludf.DUMMYFUNCTION("""COMPUTED_VALUE"""),"")</f>
        <v/>
      </c>
      <c r="E637" s="3" t="s">
        <v>427</v>
      </c>
    </row>
    <row r="638">
      <c r="B638" s="3" t="s">
        <v>427</v>
      </c>
      <c r="C638" s="3" t="s">
        <v>427</v>
      </c>
      <c r="D638" s="3" t="str">
        <f>IFERROR(__xludf.DUMMYFUNCTION("""COMPUTED_VALUE"""),"")</f>
        <v/>
      </c>
      <c r="E638" s="3" t="s">
        <v>427</v>
      </c>
    </row>
    <row r="639">
      <c r="B639" s="3" t="s">
        <v>427</v>
      </c>
      <c r="C639" s="3" t="s">
        <v>427</v>
      </c>
      <c r="D639" s="3" t="str">
        <f>IFERROR(__xludf.DUMMYFUNCTION("""COMPUTED_VALUE"""),"")</f>
        <v/>
      </c>
      <c r="E639" s="3" t="s">
        <v>427</v>
      </c>
    </row>
    <row r="640">
      <c r="B640" s="3" t="s">
        <v>427</v>
      </c>
      <c r="C640" s="3" t="s">
        <v>427</v>
      </c>
      <c r="D640" s="3" t="str">
        <f>IFERROR(__xludf.DUMMYFUNCTION("""COMPUTED_VALUE"""),"")</f>
        <v/>
      </c>
      <c r="E640" s="3" t="s">
        <v>427</v>
      </c>
    </row>
    <row r="641">
      <c r="B641" s="3" t="s">
        <v>427</v>
      </c>
      <c r="C641" s="3" t="s">
        <v>427</v>
      </c>
      <c r="D641" s="3" t="str">
        <f>IFERROR(__xludf.DUMMYFUNCTION("""COMPUTED_VALUE"""),"")</f>
        <v/>
      </c>
      <c r="E641" s="3" t="s">
        <v>427</v>
      </c>
    </row>
    <row r="642">
      <c r="B642" s="3" t="s">
        <v>427</v>
      </c>
      <c r="C642" s="3" t="s">
        <v>427</v>
      </c>
      <c r="D642" s="3" t="str">
        <f>IFERROR(__xludf.DUMMYFUNCTION("""COMPUTED_VALUE"""),"")</f>
        <v/>
      </c>
      <c r="E642" s="3" t="s">
        <v>427</v>
      </c>
    </row>
    <row r="643">
      <c r="B643" s="3" t="s">
        <v>427</v>
      </c>
      <c r="C643" s="3" t="s">
        <v>427</v>
      </c>
      <c r="D643" s="3" t="str">
        <f>IFERROR(__xludf.DUMMYFUNCTION("""COMPUTED_VALUE"""),"")</f>
        <v/>
      </c>
      <c r="E643" s="3" t="s">
        <v>427</v>
      </c>
    </row>
    <row r="644">
      <c r="B644" s="3" t="s">
        <v>427</v>
      </c>
      <c r="C644" s="3" t="s">
        <v>427</v>
      </c>
      <c r="D644" s="3" t="str">
        <f>IFERROR(__xludf.DUMMYFUNCTION("""COMPUTED_VALUE"""),"")</f>
        <v/>
      </c>
      <c r="E644" s="3" t="s">
        <v>427</v>
      </c>
    </row>
    <row r="645">
      <c r="B645" s="3" t="s">
        <v>427</v>
      </c>
      <c r="C645" s="3" t="s">
        <v>427</v>
      </c>
      <c r="D645" s="3" t="str">
        <f>IFERROR(__xludf.DUMMYFUNCTION("""COMPUTED_VALUE"""),"")</f>
        <v/>
      </c>
      <c r="E645" s="3" t="s">
        <v>427</v>
      </c>
    </row>
    <row r="646">
      <c r="B646" s="3" t="s">
        <v>427</v>
      </c>
      <c r="C646" s="3" t="s">
        <v>427</v>
      </c>
      <c r="D646" s="3" t="str">
        <f>IFERROR(__xludf.DUMMYFUNCTION("""COMPUTED_VALUE"""),"")</f>
        <v/>
      </c>
      <c r="E646" s="3" t="s">
        <v>427</v>
      </c>
    </row>
    <row r="647">
      <c r="B647" s="3" t="s">
        <v>427</v>
      </c>
      <c r="C647" s="3" t="s">
        <v>427</v>
      </c>
      <c r="D647" s="3" t="str">
        <f>IFERROR(__xludf.DUMMYFUNCTION("""COMPUTED_VALUE"""),"")</f>
        <v/>
      </c>
      <c r="E647" s="3" t="s">
        <v>427</v>
      </c>
    </row>
    <row r="648">
      <c r="B648" s="3" t="s">
        <v>427</v>
      </c>
      <c r="C648" s="3" t="s">
        <v>427</v>
      </c>
      <c r="D648" s="3" t="str">
        <f>IFERROR(__xludf.DUMMYFUNCTION("""COMPUTED_VALUE"""),"")</f>
        <v/>
      </c>
      <c r="E648" s="3" t="s">
        <v>427</v>
      </c>
    </row>
    <row r="649">
      <c r="B649" s="3" t="s">
        <v>427</v>
      </c>
      <c r="C649" s="3" t="s">
        <v>427</v>
      </c>
      <c r="D649" s="3" t="str">
        <f>IFERROR(__xludf.DUMMYFUNCTION("""COMPUTED_VALUE"""),"")</f>
        <v/>
      </c>
      <c r="E649" s="3" t="s">
        <v>427</v>
      </c>
    </row>
    <row r="650">
      <c r="B650" s="3" t="s">
        <v>427</v>
      </c>
      <c r="C650" s="3" t="s">
        <v>427</v>
      </c>
      <c r="D650" s="3" t="str">
        <f>IFERROR(__xludf.DUMMYFUNCTION("""COMPUTED_VALUE"""),"")</f>
        <v/>
      </c>
      <c r="E650" s="3" t="s">
        <v>427</v>
      </c>
    </row>
    <row r="651">
      <c r="B651" s="3" t="s">
        <v>427</v>
      </c>
      <c r="C651" s="3" t="s">
        <v>427</v>
      </c>
      <c r="D651" s="3" t="str">
        <f>IFERROR(__xludf.DUMMYFUNCTION("""COMPUTED_VALUE"""),"")</f>
        <v/>
      </c>
      <c r="E651" s="3" t="s">
        <v>427</v>
      </c>
    </row>
    <row r="652">
      <c r="B652" s="3" t="s">
        <v>427</v>
      </c>
      <c r="C652" s="3" t="s">
        <v>427</v>
      </c>
      <c r="D652" s="3" t="str">
        <f>IFERROR(__xludf.DUMMYFUNCTION("""COMPUTED_VALUE"""),"")</f>
        <v/>
      </c>
      <c r="E652" s="3" t="s">
        <v>427</v>
      </c>
    </row>
    <row r="653">
      <c r="B653" s="3" t="s">
        <v>427</v>
      </c>
      <c r="C653" s="3" t="s">
        <v>427</v>
      </c>
      <c r="D653" s="3" t="str">
        <f>IFERROR(__xludf.DUMMYFUNCTION("""COMPUTED_VALUE"""),"")</f>
        <v/>
      </c>
      <c r="E653" s="3" t="s">
        <v>427</v>
      </c>
    </row>
    <row r="654">
      <c r="B654" s="3" t="s">
        <v>427</v>
      </c>
      <c r="C654" s="3" t="s">
        <v>427</v>
      </c>
      <c r="D654" s="3" t="str">
        <f>IFERROR(__xludf.DUMMYFUNCTION("""COMPUTED_VALUE"""),"")</f>
        <v/>
      </c>
      <c r="E654" s="3" t="s">
        <v>427</v>
      </c>
    </row>
    <row r="655">
      <c r="B655" s="3" t="s">
        <v>427</v>
      </c>
      <c r="C655" s="3" t="s">
        <v>427</v>
      </c>
      <c r="D655" s="3" t="str">
        <f>IFERROR(__xludf.DUMMYFUNCTION("""COMPUTED_VALUE"""),"")</f>
        <v/>
      </c>
      <c r="E655" s="3" t="s">
        <v>427</v>
      </c>
    </row>
    <row r="656">
      <c r="B656" s="3" t="s">
        <v>427</v>
      </c>
      <c r="C656" s="3" t="s">
        <v>427</v>
      </c>
      <c r="D656" s="3" t="str">
        <f>IFERROR(__xludf.DUMMYFUNCTION("""COMPUTED_VALUE"""),"")</f>
        <v/>
      </c>
      <c r="E656" s="3" t="s">
        <v>427</v>
      </c>
    </row>
    <row r="657">
      <c r="B657" s="3" t="s">
        <v>427</v>
      </c>
      <c r="C657" s="3" t="s">
        <v>427</v>
      </c>
      <c r="D657" s="3" t="str">
        <f>IFERROR(__xludf.DUMMYFUNCTION("""COMPUTED_VALUE"""),"")</f>
        <v/>
      </c>
      <c r="E657" s="3" t="s">
        <v>427</v>
      </c>
    </row>
    <row r="658">
      <c r="B658" s="3" t="s">
        <v>427</v>
      </c>
      <c r="C658" s="3" t="s">
        <v>427</v>
      </c>
      <c r="D658" s="3" t="str">
        <f>IFERROR(__xludf.DUMMYFUNCTION("""COMPUTED_VALUE"""),"")</f>
        <v/>
      </c>
      <c r="E658" s="3" t="s">
        <v>427</v>
      </c>
    </row>
    <row r="659">
      <c r="B659" s="3" t="s">
        <v>427</v>
      </c>
      <c r="C659" s="3" t="s">
        <v>427</v>
      </c>
      <c r="D659" s="3" t="str">
        <f>IFERROR(__xludf.DUMMYFUNCTION("""COMPUTED_VALUE"""),"")</f>
        <v/>
      </c>
      <c r="E659" s="3" t="s">
        <v>427</v>
      </c>
    </row>
    <row r="660">
      <c r="B660" s="3" t="s">
        <v>427</v>
      </c>
      <c r="C660" s="3" t="s">
        <v>427</v>
      </c>
      <c r="D660" s="3" t="str">
        <f>IFERROR(__xludf.DUMMYFUNCTION("""COMPUTED_VALUE"""),"")</f>
        <v/>
      </c>
      <c r="E660" s="3" t="s">
        <v>427</v>
      </c>
    </row>
    <row r="661">
      <c r="B661" s="3" t="s">
        <v>427</v>
      </c>
      <c r="C661" s="3" t="s">
        <v>427</v>
      </c>
      <c r="D661" s="3" t="str">
        <f>IFERROR(__xludf.DUMMYFUNCTION("""COMPUTED_VALUE"""),"")</f>
        <v/>
      </c>
      <c r="E661" s="3" t="s">
        <v>427</v>
      </c>
    </row>
    <row r="662">
      <c r="B662" s="3" t="s">
        <v>427</v>
      </c>
      <c r="C662" s="3" t="s">
        <v>427</v>
      </c>
      <c r="D662" s="3" t="str">
        <f>IFERROR(__xludf.DUMMYFUNCTION("""COMPUTED_VALUE"""),"")</f>
        <v/>
      </c>
      <c r="E662" s="3" t="s">
        <v>427</v>
      </c>
    </row>
    <row r="663">
      <c r="B663" s="3" t="s">
        <v>427</v>
      </c>
      <c r="C663" s="3" t="s">
        <v>427</v>
      </c>
      <c r="D663" s="3" t="str">
        <f>IFERROR(__xludf.DUMMYFUNCTION("""COMPUTED_VALUE"""),"")</f>
        <v/>
      </c>
      <c r="E663" s="3" t="s">
        <v>427</v>
      </c>
    </row>
    <row r="664">
      <c r="B664" s="3" t="s">
        <v>427</v>
      </c>
      <c r="C664" s="3" t="s">
        <v>427</v>
      </c>
      <c r="D664" s="3" t="str">
        <f>IFERROR(__xludf.DUMMYFUNCTION("""COMPUTED_VALUE"""),"")</f>
        <v/>
      </c>
      <c r="E664" s="3" t="s">
        <v>427</v>
      </c>
    </row>
    <row r="665">
      <c r="B665" s="3" t="s">
        <v>427</v>
      </c>
      <c r="C665" s="3" t="s">
        <v>427</v>
      </c>
      <c r="D665" s="3" t="str">
        <f>IFERROR(__xludf.DUMMYFUNCTION("""COMPUTED_VALUE"""),"")</f>
        <v/>
      </c>
      <c r="E665" s="3" t="s">
        <v>427</v>
      </c>
    </row>
    <row r="666">
      <c r="B666" s="3" t="s">
        <v>427</v>
      </c>
      <c r="C666" s="3" t="s">
        <v>427</v>
      </c>
      <c r="D666" s="3" t="str">
        <f>IFERROR(__xludf.DUMMYFUNCTION("""COMPUTED_VALUE"""),"")</f>
        <v/>
      </c>
      <c r="E666" s="3" t="s">
        <v>427</v>
      </c>
    </row>
    <row r="667">
      <c r="B667" s="3" t="s">
        <v>427</v>
      </c>
      <c r="C667" s="3" t="s">
        <v>427</v>
      </c>
      <c r="D667" s="3" t="str">
        <f>IFERROR(__xludf.DUMMYFUNCTION("""COMPUTED_VALUE"""),"")</f>
        <v/>
      </c>
      <c r="E667" s="3" t="s">
        <v>427</v>
      </c>
    </row>
    <row r="668">
      <c r="B668" s="3" t="s">
        <v>427</v>
      </c>
      <c r="C668" s="3" t="s">
        <v>427</v>
      </c>
      <c r="D668" s="3" t="str">
        <f>IFERROR(__xludf.DUMMYFUNCTION("""COMPUTED_VALUE"""),"")</f>
        <v/>
      </c>
      <c r="E668" s="3" t="s">
        <v>427</v>
      </c>
    </row>
    <row r="669">
      <c r="B669" s="3" t="s">
        <v>427</v>
      </c>
      <c r="C669" s="3" t="s">
        <v>427</v>
      </c>
      <c r="D669" s="3" t="str">
        <f>IFERROR(__xludf.DUMMYFUNCTION("""COMPUTED_VALUE"""),"")</f>
        <v/>
      </c>
      <c r="E669" s="3" t="s">
        <v>427</v>
      </c>
    </row>
    <row r="670">
      <c r="B670" s="3" t="s">
        <v>427</v>
      </c>
      <c r="C670" s="3" t="s">
        <v>427</v>
      </c>
      <c r="D670" s="3" t="str">
        <f>IFERROR(__xludf.DUMMYFUNCTION("""COMPUTED_VALUE"""),"")</f>
        <v/>
      </c>
      <c r="E670" s="3" t="s">
        <v>427</v>
      </c>
    </row>
    <row r="671">
      <c r="B671" s="3" t="s">
        <v>427</v>
      </c>
      <c r="C671" s="3" t="s">
        <v>427</v>
      </c>
      <c r="D671" s="3" t="str">
        <f>IFERROR(__xludf.DUMMYFUNCTION("""COMPUTED_VALUE"""),"")</f>
        <v/>
      </c>
      <c r="E671" s="3" t="s">
        <v>427</v>
      </c>
    </row>
    <row r="672">
      <c r="B672" s="3" t="s">
        <v>427</v>
      </c>
      <c r="C672" s="3" t="s">
        <v>427</v>
      </c>
      <c r="D672" s="3" t="str">
        <f>IFERROR(__xludf.DUMMYFUNCTION("""COMPUTED_VALUE"""),"")</f>
        <v/>
      </c>
      <c r="E672" s="3" t="s">
        <v>427</v>
      </c>
    </row>
    <row r="673">
      <c r="B673" s="3" t="s">
        <v>427</v>
      </c>
      <c r="C673" s="3" t="s">
        <v>427</v>
      </c>
      <c r="D673" s="3" t="str">
        <f>IFERROR(__xludf.DUMMYFUNCTION("""COMPUTED_VALUE"""),"")</f>
        <v/>
      </c>
      <c r="E673" s="3" t="s">
        <v>427</v>
      </c>
    </row>
    <row r="674">
      <c r="B674" s="3" t="s">
        <v>427</v>
      </c>
      <c r="C674" s="3" t="s">
        <v>427</v>
      </c>
      <c r="D674" s="3" t="str">
        <f>IFERROR(__xludf.DUMMYFUNCTION("""COMPUTED_VALUE"""),"")</f>
        <v/>
      </c>
      <c r="E674" s="3" t="s">
        <v>427</v>
      </c>
    </row>
    <row r="675">
      <c r="B675" s="3" t="s">
        <v>427</v>
      </c>
      <c r="C675" s="3" t="s">
        <v>427</v>
      </c>
      <c r="D675" s="3" t="str">
        <f>IFERROR(__xludf.DUMMYFUNCTION("""COMPUTED_VALUE"""),"")</f>
        <v/>
      </c>
      <c r="E675" s="3" t="s">
        <v>427</v>
      </c>
    </row>
    <row r="676">
      <c r="B676" s="3" t="s">
        <v>427</v>
      </c>
      <c r="C676" s="3" t="s">
        <v>427</v>
      </c>
      <c r="D676" s="3" t="str">
        <f>IFERROR(__xludf.DUMMYFUNCTION("""COMPUTED_VALUE"""),"")</f>
        <v/>
      </c>
      <c r="E676" s="3" t="s">
        <v>427</v>
      </c>
    </row>
    <row r="677">
      <c r="B677" s="3" t="s">
        <v>427</v>
      </c>
      <c r="C677" s="3" t="s">
        <v>427</v>
      </c>
      <c r="D677" s="3" t="str">
        <f>IFERROR(__xludf.DUMMYFUNCTION("""COMPUTED_VALUE"""),"")</f>
        <v/>
      </c>
      <c r="E677" s="3" t="s">
        <v>427</v>
      </c>
    </row>
    <row r="678">
      <c r="B678" s="3" t="s">
        <v>427</v>
      </c>
      <c r="C678" s="3" t="s">
        <v>427</v>
      </c>
      <c r="D678" s="3" t="str">
        <f>IFERROR(__xludf.DUMMYFUNCTION("""COMPUTED_VALUE"""),"")</f>
        <v/>
      </c>
      <c r="E678" s="3" t="s">
        <v>427</v>
      </c>
    </row>
    <row r="679">
      <c r="B679" s="3" t="s">
        <v>427</v>
      </c>
      <c r="C679" s="3" t="s">
        <v>427</v>
      </c>
      <c r="D679" s="3" t="str">
        <f>IFERROR(__xludf.DUMMYFUNCTION("""COMPUTED_VALUE"""),"")</f>
        <v/>
      </c>
      <c r="E679" s="3" t="s">
        <v>427</v>
      </c>
    </row>
    <row r="680">
      <c r="B680" s="3" t="s">
        <v>427</v>
      </c>
      <c r="C680" s="3" t="s">
        <v>427</v>
      </c>
      <c r="D680" s="3" t="str">
        <f>IFERROR(__xludf.DUMMYFUNCTION("""COMPUTED_VALUE"""),"")</f>
        <v/>
      </c>
      <c r="E680" s="3" t="s">
        <v>427</v>
      </c>
    </row>
    <row r="681">
      <c r="B681" s="3" t="s">
        <v>427</v>
      </c>
      <c r="C681" s="3" t="s">
        <v>427</v>
      </c>
      <c r="D681" s="3" t="str">
        <f>IFERROR(__xludf.DUMMYFUNCTION("""COMPUTED_VALUE"""),"")</f>
        <v/>
      </c>
      <c r="E681" s="3" t="s">
        <v>427</v>
      </c>
    </row>
    <row r="682">
      <c r="B682" s="3" t="s">
        <v>427</v>
      </c>
      <c r="C682" s="3" t="s">
        <v>427</v>
      </c>
      <c r="D682" s="3" t="str">
        <f>IFERROR(__xludf.DUMMYFUNCTION("""COMPUTED_VALUE"""),"")</f>
        <v/>
      </c>
      <c r="E682" s="3" t="s">
        <v>427</v>
      </c>
    </row>
    <row r="683">
      <c r="B683" s="3" t="s">
        <v>427</v>
      </c>
      <c r="C683" s="3" t="s">
        <v>427</v>
      </c>
      <c r="D683" s="3" t="str">
        <f>IFERROR(__xludf.DUMMYFUNCTION("""COMPUTED_VALUE"""),"")</f>
        <v/>
      </c>
      <c r="E683" s="3" t="s">
        <v>427</v>
      </c>
    </row>
    <row r="684">
      <c r="B684" s="3" t="s">
        <v>427</v>
      </c>
      <c r="C684" s="3" t="s">
        <v>427</v>
      </c>
      <c r="D684" s="3" t="str">
        <f>IFERROR(__xludf.DUMMYFUNCTION("""COMPUTED_VALUE"""),"")</f>
        <v/>
      </c>
      <c r="E684" s="3" t="s">
        <v>427</v>
      </c>
    </row>
    <row r="685">
      <c r="B685" s="3" t="s">
        <v>427</v>
      </c>
      <c r="C685" s="3" t="s">
        <v>427</v>
      </c>
      <c r="D685" s="3" t="str">
        <f>IFERROR(__xludf.DUMMYFUNCTION("""COMPUTED_VALUE"""),"")</f>
        <v/>
      </c>
      <c r="E685" s="3" t="s">
        <v>427</v>
      </c>
    </row>
    <row r="686">
      <c r="B686" s="3" t="s">
        <v>427</v>
      </c>
      <c r="C686" s="3" t="s">
        <v>427</v>
      </c>
      <c r="D686" s="3" t="str">
        <f>IFERROR(__xludf.DUMMYFUNCTION("""COMPUTED_VALUE"""),"")</f>
        <v/>
      </c>
      <c r="E686" s="3" t="s">
        <v>427</v>
      </c>
    </row>
    <row r="687">
      <c r="B687" s="3" t="s">
        <v>427</v>
      </c>
      <c r="C687" s="3" t="s">
        <v>427</v>
      </c>
      <c r="D687" s="3" t="str">
        <f>IFERROR(__xludf.DUMMYFUNCTION("""COMPUTED_VALUE"""),"")</f>
        <v/>
      </c>
      <c r="E687" s="3" t="s">
        <v>427</v>
      </c>
    </row>
    <row r="688">
      <c r="B688" s="3" t="s">
        <v>427</v>
      </c>
      <c r="C688" s="3" t="s">
        <v>427</v>
      </c>
      <c r="D688" s="3" t="str">
        <f>IFERROR(__xludf.DUMMYFUNCTION("""COMPUTED_VALUE"""),"")</f>
        <v/>
      </c>
      <c r="E688" s="3" t="s">
        <v>427</v>
      </c>
    </row>
    <row r="689">
      <c r="B689" s="3" t="s">
        <v>427</v>
      </c>
      <c r="C689" s="3" t="s">
        <v>427</v>
      </c>
      <c r="D689" s="3" t="str">
        <f>IFERROR(__xludf.DUMMYFUNCTION("""COMPUTED_VALUE"""),"")</f>
        <v/>
      </c>
      <c r="E689" s="3" t="s">
        <v>427</v>
      </c>
    </row>
    <row r="690">
      <c r="B690" s="3" t="s">
        <v>427</v>
      </c>
      <c r="C690" s="3" t="s">
        <v>427</v>
      </c>
      <c r="D690" s="3" t="str">
        <f>IFERROR(__xludf.DUMMYFUNCTION("""COMPUTED_VALUE"""),"")</f>
        <v/>
      </c>
      <c r="E690" s="3" t="s">
        <v>427</v>
      </c>
    </row>
    <row r="691">
      <c r="B691" s="3" t="s">
        <v>427</v>
      </c>
      <c r="C691" s="3" t="s">
        <v>427</v>
      </c>
      <c r="D691" s="3" t="str">
        <f>IFERROR(__xludf.DUMMYFUNCTION("""COMPUTED_VALUE"""),"")</f>
        <v/>
      </c>
      <c r="E691" s="3" t="s">
        <v>427</v>
      </c>
    </row>
    <row r="692">
      <c r="B692" s="3" t="s">
        <v>427</v>
      </c>
      <c r="C692" s="3" t="s">
        <v>427</v>
      </c>
      <c r="D692" s="3" t="str">
        <f>IFERROR(__xludf.DUMMYFUNCTION("""COMPUTED_VALUE"""),"")</f>
        <v/>
      </c>
      <c r="E692" s="3" t="s">
        <v>427</v>
      </c>
    </row>
    <row r="693">
      <c r="B693" s="3" t="s">
        <v>427</v>
      </c>
      <c r="C693" s="3" t="s">
        <v>427</v>
      </c>
      <c r="D693" s="3" t="str">
        <f>IFERROR(__xludf.DUMMYFUNCTION("""COMPUTED_VALUE"""),"")</f>
        <v/>
      </c>
      <c r="E693" s="3" t="s">
        <v>427</v>
      </c>
    </row>
    <row r="694">
      <c r="B694" s="3" t="s">
        <v>427</v>
      </c>
      <c r="C694" s="3" t="s">
        <v>427</v>
      </c>
      <c r="D694" s="3" t="str">
        <f>IFERROR(__xludf.DUMMYFUNCTION("""COMPUTED_VALUE"""),"")</f>
        <v/>
      </c>
      <c r="E694" s="3" t="s">
        <v>427</v>
      </c>
    </row>
    <row r="695">
      <c r="B695" s="3" t="s">
        <v>427</v>
      </c>
      <c r="C695" s="3" t="s">
        <v>427</v>
      </c>
      <c r="D695" s="3" t="str">
        <f>IFERROR(__xludf.DUMMYFUNCTION("""COMPUTED_VALUE"""),"")</f>
        <v/>
      </c>
      <c r="E695" s="3" t="s">
        <v>427</v>
      </c>
    </row>
    <row r="696">
      <c r="B696" s="3" t="s">
        <v>427</v>
      </c>
      <c r="C696" s="3" t="s">
        <v>427</v>
      </c>
      <c r="D696" s="3" t="str">
        <f>IFERROR(__xludf.DUMMYFUNCTION("""COMPUTED_VALUE"""),"")</f>
        <v/>
      </c>
      <c r="E696" s="3" t="s">
        <v>427</v>
      </c>
    </row>
    <row r="697">
      <c r="B697" s="3" t="s">
        <v>427</v>
      </c>
      <c r="C697" s="3" t="s">
        <v>427</v>
      </c>
      <c r="D697" s="3" t="str">
        <f>IFERROR(__xludf.DUMMYFUNCTION("""COMPUTED_VALUE"""),"")</f>
        <v/>
      </c>
      <c r="E697" s="3" t="s">
        <v>427</v>
      </c>
    </row>
    <row r="698">
      <c r="B698" s="3" t="s">
        <v>427</v>
      </c>
      <c r="C698" s="3" t="s">
        <v>427</v>
      </c>
      <c r="D698" s="3" t="str">
        <f>IFERROR(__xludf.DUMMYFUNCTION("""COMPUTED_VALUE"""),"")</f>
        <v/>
      </c>
      <c r="E698" s="3" t="s">
        <v>427</v>
      </c>
    </row>
    <row r="699">
      <c r="B699" s="3" t="s">
        <v>427</v>
      </c>
      <c r="C699" s="3" t="s">
        <v>427</v>
      </c>
      <c r="D699" s="3" t="str">
        <f>IFERROR(__xludf.DUMMYFUNCTION("""COMPUTED_VALUE"""),"")</f>
        <v/>
      </c>
      <c r="E699" s="3" t="s">
        <v>427</v>
      </c>
    </row>
    <row r="700">
      <c r="B700" s="3" t="s">
        <v>427</v>
      </c>
      <c r="C700" s="3" t="s">
        <v>427</v>
      </c>
      <c r="D700" s="3" t="str">
        <f>IFERROR(__xludf.DUMMYFUNCTION("""COMPUTED_VALUE"""),"")</f>
        <v/>
      </c>
      <c r="E700" s="3" t="s">
        <v>427</v>
      </c>
    </row>
    <row r="701">
      <c r="B701" s="3" t="s">
        <v>427</v>
      </c>
      <c r="C701" s="3" t="s">
        <v>427</v>
      </c>
      <c r="D701" s="3" t="str">
        <f>IFERROR(__xludf.DUMMYFUNCTION("""COMPUTED_VALUE"""),"")</f>
        <v/>
      </c>
      <c r="E701" s="3" t="s">
        <v>427</v>
      </c>
    </row>
    <row r="702">
      <c r="B702" s="3" t="s">
        <v>427</v>
      </c>
      <c r="C702" s="3" t="s">
        <v>427</v>
      </c>
      <c r="D702" s="3" t="str">
        <f>IFERROR(__xludf.DUMMYFUNCTION("""COMPUTED_VALUE"""),"")</f>
        <v/>
      </c>
      <c r="E702" s="3" t="s">
        <v>427</v>
      </c>
    </row>
    <row r="703">
      <c r="B703" s="3" t="s">
        <v>427</v>
      </c>
      <c r="C703" s="3" t="s">
        <v>427</v>
      </c>
      <c r="D703" s="3" t="str">
        <f>IFERROR(__xludf.DUMMYFUNCTION("""COMPUTED_VALUE"""),"")</f>
        <v/>
      </c>
      <c r="E703" s="3" t="s">
        <v>427</v>
      </c>
    </row>
    <row r="704">
      <c r="B704" s="3" t="s">
        <v>427</v>
      </c>
      <c r="C704" s="3" t="s">
        <v>427</v>
      </c>
      <c r="D704" s="3" t="str">
        <f>IFERROR(__xludf.DUMMYFUNCTION("""COMPUTED_VALUE"""),"")</f>
        <v/>
      </c>
      <c r="E704" s="3" t="s">
        <v>427</v>
      </c>
    </row>
    <row r="705">
      <c r="B705" s="3" t="s">
        <v>427</v>
      </c>
      <c r="C705" s="3" t="s">
        <v>427</v>
      </c>
      <c r="D705" s="3" t="str">
        <f>IFERROR(__xludf.DUMMYFUNCTION("""COMPUTED_VALUE"""),"")</f>
        <v/>
      </c>
      <c r="E705" s="3" t="s">
        <v>427</v>
      </c>
    </row>
    <row r="706">
      <c r="B706" s="3" t="s">
        <v>427</v>
      </c>
      <c r="C706" s="3" t="s">
        <v>427</v>
      </c>
      <c r="D706" s="3" t="str">
        <f>IFERROR(__xludf.DUMMYFUNCTION("""COMPUTED_VALUE"""),"")</f>
        <v/>
      </c>
      <c r="E706" s="3" t="s">
        <v>427</v>
      </c>
    </row>
    <row r="707">
      <c r="B707" s="3" t="s">
        <v>427</v>
      </c>
      <c r="C707" s="3" t="s">
        <v>427</v>
      </c>
      <c r="D707" s="3" t="str">
        <f>IFERROR(__xludf.DUMMYFUNCTION("""COMPUTED_VALUE"""),"")</f>
        <v/>
      </c>
      <c r="E707" s="3" t="s">
        <v>427</v>
      </c>
    </row>
    <row r="708">
      <c r="B708" s="3" t="s">
        <v>427</v>
      </c>
      <c r="C708" s="3" t="s">
        <v>427</v>
      </c>
      <c r="D708" s="3" t="str">
        <f>IFERROR(__xludf.DUMMYFUNCTION("""COMPUTED_VALUE"""),"")</f>
        <v/>
      </c>
      <c r="E708" s="3" t="s">
        <v>427</v>
      </c>
    </row>
    <row r="709">
      <c r="B709" s="3" t="s">
        <v>427</v>
      </c>
      <c r="C709" s="3" t="s">
        <v>427</v>
      </c>
      <c r="D709" s="3" t="str">
        <f>IFERROR(__xludf.DUMMYFUNCTION("""COMPUTED_VALUE"""),"")</f>
        <v/>
      </c>
      <c r="E709" s="3" t="s">
        <v>427</v>
      </c>
    </row>
    <row r="710">
      <c r="B710" s="3" t="s">
        <v>427</v>
      </c>
      <c r="C710" s="3" t="s">
        <v>427</v>
      </c>
      <c r="D710" s="3" t="str">
        <f>IFERROR(__xludf.DUMMYFUNCTION("""COMPUTED_VALUE"""),"")</f>
        <v/>
      </c>
      <c r="E710" s="3" t="s">
        <v>427</v>
      </c>
    </row>
    <row r="711">
      <c r="B711" s="3" t="s">
        <v>427</v>
      </c>
      <c r="C711" s="3" t="s">
        <v>427</v>
      </c>
      <c r="D711" s="3" t="str">
        <f>IFERROR(__xludf.DUMMYFUNCTION("""COMPUTED_VALUE"""),"")</f>
        <v/>
      </c>
      <c r="E711" s="3" t="s">
        <v>427</v>
      </c>
    </row>
    <row r="712">
      <c r="B712" s="3" t="s">
        <v>427</v>
      </c>
      <c r="C712" s="3" t="s">
        <v>427</v>
      </c>
      <c r="D712" s="3" t="str">
        <f>IFERROR(__xludf.DUMMYFUNCTION("""COMPUTED_VALUE"""),"")</f>
        <v/>
      </c>
      <c r="E712" s="3" t="s">
        <v>427</v>
      </c>
    </row>
    <row r="713">
      <c r="B713" s="3" t="s">
        <v>427</v>
      </c>
      <c r="C713" s="3" t="s">
        <v>427</v>
      </c>
      <c r="D713" s="3" t="str">
        <f>IFERROR(__xludf.DUMMYFUNCTION("""COMPUTED_VALUE"""),"")</f>
        <v/>
      </c>
      <c r="E713" s="3" t="s">
        <v>427</v>
      </c>
    </row>
    <row r="714">
      <c r="B714" s="3" t="s">
        <v>427</v>
      </c>
      <c r="C714" s="3" t="s">
        <v>427</v>
      </c>
      <c r="D714" s="3" t="str">
        <f>IFERROR(__xludf.DUMMYFUNCTION("""COMPUTED_VALUE"""),"")</f>
        <v/>
      </c>
      <c r="E714" s="3" t="s">
        <v>427</v>
      </c>
    </row>
    <row r="715">
      <c r="B715" s="3" t="s">
        <v>427</v>
      </c>
      <c r="C715" s="3" t="s">
        <v>427</v>
      </c>
      <c r="D715" s="3" t="str">
        <f>IFERROR(__xludf.DUMMYFUNCTION("""COMPUTED_VALUE"""),"")</f>
        <v/>
      </c>
      <c r="E715" s="3" t="s">
        <v>427</v>
      </c>
    </row>
    <row r="716">
      <c r="B716" s="3" t="s">
        <v>427</v>
      </c>
      <c r="C716" s="3" t="s">
        <v>427</v>
      </c>
      <c r="D716" s="3" t="str">
        <f>IFERROR(__xludf.DUMMYFUNCTION("""COMPUTED_VALUE"""),"")</f>
        <v/>
      </c>
      <c r="E716" s="3" t="s">
        <v>427</v>
      </c>
    </row>
    <row r="717">
      <c r="B717" s="3" t="s">
        <v>427</v>
      </c>
      <c r="C717" s="3" t="s">
        <v>427</v>
      </c>
      <c r="D717" s="3" t="str">
        <f>IFERROR(__xludf.DUMMYFUNCTION("""COMPUTED_VALUE"""),"")</f>
        <v/>
      </c>
      <c r="E717" s="3" t="s">
        <v>427</v>
      </c>
    </row>
    <row r="718">
      <c r="B718" s="3" t="s">
        <v>427</v>
      </c>
      <c r="C718" s="3" t="s">
        <v>427</v>
      </c>
      <c r="D718" s="3" t="str">
        <f>IFERROR(__xludf.DUMMYFUNCTION("""COMPUTED_VALUE"""),"")</f>
        <v/>
      </c>
      <c r="E718" s="3" t="s">
        <v>427</v>
      </c>
    </row>
    <row r="719">
      <c r="B719" s="3" t="s">
        <v>427</v>
      </c>
      <c r="C719" s="3" t="s">
        <v>427</v>
      </c>
      <c r="D719" s="3" t="str">
        <f>IFERROR(__xludf.DUMMYFUNCTION("""COMPUTED_VALUE"""),"")</f>
        <v/>
      </c>
      <c r="E719" s="3" t="s">
        <v>427</v>
      </c>
    </row>
    <row r="720">
      <c r="B720" s="3" t="s">
        <v>427</v>
      </c>
      <c r="C720" s="3" t="s">
        <v>427</v>
      </c>
      <c r="D720" s="3" t="str">
        <f>IFERROR(__xludf.DUMMYFUNCTION("""COMPUTED_VALUE"""),"")</f>
        <v/>
      </c>
      <c r="E720" s="3" t="s">
        <v>427</v>
      </c>
    </row>
    <row r="721">
      <c r="B721" s="3" t="s">
        <v>427</v>
      </c>
      <c r="C721" s="3" t="s">
        <v>427</v>
      </c>
      <c r="D721" s="3" t="str">
        <f>IFERROR(__xludf.DUMMYFUNCTION("""COMPUTED_VALUE"""),"")</f>
        <v/>
      </c>
      <c r="E721" s="3" t="s">
        <v>427</v>
      </c>
    </row>
    <row r="722">
      <c r="B722" s="3" t="s">
        <v>427</v>
      </c>
      <c r="C722" s="3" t="s">
        <v>427</v>
      </c>
      <c r="D722" s="3" t="str">
        <f>IFERROR(__xludf.DUMMYFUNCTION("""COMPUTED_VALUE"""),"")</f>
        <v/>
      </c>
      <c r="E722" s="3" t="s">
        <v>427</v>
      </c>
    </row>
    <row r="723">
      <c r="B723" s="3" t="s">
        <v>427</v>
      </c>
      <c r="C723" s="3" t="s">
        <v>427</v>
      </c>
      <c r="D723" s="3" t="str">
        <f>IFERROR(__xludf.DUMMYFUNCTION("""COMPUTED_VALUE"""),"")</f>
        <v/>
      </c>
      <c r="E723" s="3" t="s">
        <v>427</v>
      </c>
    </row>
    <row r="724">
      <c r="B724" s="3" t="s">
        <v>427</v>
      </c>
      <c r="C724" s="3" t="s">
        <v>427</v>
      </c>
      <c r="D724" s="3" t="str">
        <f>IFERROR(__xludf.DUMMYFUNCTION("""COMPUTED_VALUE"""),"")</f>
        <v/>
      </c>
      <c r="E724" s="3" t="s">
        <v>427</v>
      </c>
    </row>
    <row r="725">
      <c r="B725" s="3" t="s">
        <v>427</v>
      </c>
      <c r="C725" s="3" t="s">
        <v>427</v>
      </c>
      <c r="D725" s="3" t="str">
        <f>IFERROR(__xludf.DUMMYFUNCTION("""COMPUTED_VALUE"""),"")</f>
        <v/>
      </c>
      <c r="E725" s="3" t="s">
        <v>427</v>
      </c>
    </row>
    <row r="726">
      <c r="B726" s="3" t="s">
        <v>427</v>
      </c>
      <c r="C726" s="3" t="s">
        <v>427</v>
      </c>
      <c r="D726" s="3" t="str">
        <f>IFERROR(__xludf.DUMMYFUNCTION("""COMPUTED_VALUE"""),"")</f>
        <v/>
      </c>
      <c r="E726" s="3" t="s">
        <v>427</v>
      </c>
    </row>
    <row r="727">
      <c r="B727" s="3" t="s">
        <v>427</v>
      </c>
      <c r="C727" s="3" t="s">
        <v>427</v>
      </c>
      <c r="D727" s="3" t="str">
        <f>IFERROR(__xludf.DUMMYFUNCTION("""COMPUTED_VALUE"""),"")</f>
        <v/>
      </c>
      <c r="E727" s="3" t="s">
        <v>427</v>
      </c>
    </row>
    <row r="728">
      <c r="B728" s="3" t="s">
        <v>427</v>
      </c>
      <c r="C728" s="3" t="s">
        <v>427</v>
      </c>
      <c r="D728" s="3" t="str">
        <f>IFERROR(__xludf.DUMMYFUNCTION("""COMPUTED_VALUE"""),"")</f>
        <v/>
      </c>
      <c r="E728" s="3" t="s">
        <v>427</v>
      </c>
    </row>
    <row r="729">
      <c r="B729" s="3" t="s">
        <v>427</v>
      </c>
      <c r="C729" s="3" t="s">
        <v>427</v>
      </c>
      <c r="D729" s="3" t="str">
        <f>IFERROR(__xludf.DUMMYFUNCTION("""COMPUTED_VALUE"""),"")</f>
        <v/>
      </c>
      <c r="E729" s="3" t="s">
        <v>427</v>
      </c>
    </row>
    <row r="730">
      <c r="B730" s="3" t="s">
        <v>427</v>
      </c>
      <c r="C730" s="3" t="s">
        <v>427</v>
      </c>
      <c r="D730" s="3" t="str">
        <f>IFERROR(__xludf.DUMMYFUNCTION("""COMPUTED_VALUE"""),"")</f>
        <v/>
      </c>
      <c r="E730" s="3" t="s">
        <v>427</v>
      </c>
    </row>
    <row r="731">
      <c r="B731" s="3" t="s">
        <v>427</v>
      </c>
      <c r="C731" s="3" t="s">
        <v>427</v>
      </c>
      <c r="D731" s="3" t="str">
        <f>IFERROR(__xludf.DUMMYFUNCTION("""COMPUTED_VALUE"""),"")</f>
        <v/>
      </c>
      <c r="E731" s="3" t="s">
        <v>427</v>
      </c>
    </row>
    <row r="732">
      <c r="B732" s="3" t="s">
        <v>427</v>
      </c>
      <c r="C732" s="3" t="s">
        <v>427</v>
      </c>
      <c r="D732" s="3" t="str">
        <f>IFERROR(__xludf.DUMMYFUNCTION("""COMPUTED_VALUE"""),"")</f>
        <v/>
      </c>
      <c r="E732" s="3" t="s">
        <v>427</v>
      </c>
    </row>
    <row r="733">
      <c r="B733" s="3" t="s">
        <v>427</v>
      </c>
      <c r="C733" s="3" t="s">
        <v>427</v>
      </c>
      <c r="D733" s="3" t="str">
        <f>IFERROR(__xludf.DUMMYFUNCTION("""COMPUTED_VALUE"""),"")</f>
        <v/>
      </c>
      <c r="E733" s="3" t="s">
        <v>427</v>
      </c>
    </row>
    <row r="734">
      <c r="B734" s="3" t="s">
        <v>427</v>
      </c>
      <c r="C734" s="3" t="s">
        <v>427</v>
      </c>
      <c r="D734" s="3" t="str">
        <f>IFERROR(__xludf.DUMMYFUNCTION("""COMPUTED_VALUE"""),"")</f>
        <v/>
      </c>
      <c r="E734" s="3" t="s">
        <v>427</v>
      </c>
    </row>
    <row r="735">
      <c r="B735" s="3" t="s">
        <v>427</v>
      </c>
      <c r="C735" s="3" t="s">
        <v>427</v>
      </c>
      <c r="D735" s="3" t="str">
        <f>IFERROR(__xludf.DUMMYFUNCTION("""COMPUTED_VALUE"""),"")</f>
        <v/>
      </c>
      <c r="E735" s="3" t="s">
        <v>427</v>
      </c>
    </row>
    <row r="736">
      <c r="B736" s="3" t="s">
        <v>427</v>
      </c>
      <c r="C736" s="3" t="s">
        <v>427</v>
      </c>
      <c r="D736" s="3" t="str">
        <f>IFERROR(__xludf.DUMMYFUNCTION("""COMPUTED_VALUE"""),"")</f>
        <v/>
      </c>
      <c r="E736" s="3" t="s">
        <v>427</v>
      </c>
    </row>
    <row r="737">
      <c r="B737" s="3" t="s">
        <v>427</v>
      </c>
      <c r="C737" s="3" t="s">
        <v>427</v>
      </c>
      <c r="D737" s="3" t="str">
        <f>IFERROR(__xludf.DUMMYFUNCTION("""COMPUTED_VALUE"""),"")</f>
        <v/>
      </c>
      <c r="E737" s="3" t="s">
        <v>427</v>
      </c>
    </row>
    <row r="738">
      <c r="B738" s="3" t="s">
        <v>427</v>
      </c>
      <c r="C738" s="3" t="s">
        <v>427</v>
      </c>
      <c r="D738" s="3" t="str">
        <f>IFERROR(__xludf.DUMMYFUNCTION("""COMPUTED_VALUE"""),"")</f>
        <v/>
      </c>
      <c r="E738" s="3" t="s">
        <v>427</v>
      </c>
    </row>
    <row r="739">
      <c r="B739" s="3" t="s">
        <v>427</v>
      </c>
      <c r="C739" s="3" t="s">
        <v>427</v>
      </c>
      <c r="D739" s="3" t="str">
        <f>IFERROR(__xludf.DUMMYFUNCTION("""COMPUTED_VALUE"""),"")</f>
        <v/>
      </c>
      <c r="E739" s="3" t="s">
        <v>427</v>
      </c>
    </row>
    <row r="740">
      <c r="B740" s="3" t="s">
        <v>427</v>
      </c>
      <c r="C740" s="3" t="s">
        <v>427</v>
      </c>
      <c r="D740" s="3" t="str">
        <f>IFERROR(__xludf.DUMMYFUNCTION("""COMPUTED_VALUE"""),"")</f>
        <v/>
      </c>
      <c r="E740" s="3" t="s">
        <v>427</v>
      </c>
    </row>
    <row r="741">
      <c r="B741" s="3" t="s">
        <v>427</v>
      </c>
      <c r="C741" s="3" t="s">
        <v>427</v>
      </c>
      <c r="D741" s="3" t="str">
        <f>IFERROR(__xludf.DUMMYFUNCTION("""COMPUTED_VALUE"""),"")</f>
        <v/>
      </c>
      <c r="E741" s="3" t="s">
        <v>427</v>
      </c>
    </row>
    <row r="742">
      <c r="B742" s="3" t="s">
        <v>427</v>
      </c>
      <c r="C742" s="3" t="s">
        <v>427</v>
      </c>
      <c r="D742" s="3" t="str">
        <f>IFERROR(__xludf.DUMMYFUNCTION("""COMPUTED_VALUE"""),"")</f>
        <v/>
      </c>
      <c r="E742" s="3" t="s">
        <v>427</v>
      </c>
    </row>
    <row r="743">
      <c r="B743" s="3" t="s">
        <v>427</v>
      </c>
      <c r="C743" s="3" t="s">
        <v>427</v>
      </c>
      <c r="D743" s="3" t="str">
        <f>IFERROR(__xludf.DUMMYFUNCTION("""COMPUTED_VALUE"""),"")</f>
        <v/>
      </c>
      <c r="E743" s="3" t="s">
        <v>427</v>
      </c>
    </row>
    <row r="744">
      <c r="B744" s="3" t="s">
        <v>427</v>
      </c>
      <c r="C744" s="3" t="s">
        <v>427</v>
      </c>
      <c r="D744" s="3" t="str">
        <f>IFERROR(__xludf.DUMMYFUNCTION("""COMPUTED_VALUE"""),"")</f>
        <v/>
      </c>
      <c r="E744" s="3" t="s">
        <v>427</v>
      </c>
    </row>
    <row r="745">
      <c r="B745" s="3" t="s">
        <v>427</v>
      </c>
      <c r="C745" s="3" t="s">
        <v>427</v>
      </c>
      <c r="D745" s="3" t="str">
        <f>IFERROR(__xludf.DUMMYFUNCTION("""COMPUTED_VALUE"""),"")</f>
        <v/>
      </c>
      <c r="E745" s="3" t="s">
        <v>427</v>
      </c>
    </row>
    <row r="746">
      <c r="B746" s="3" t="s">
        <v>427</v>
      </c>
      <c r="C746" s="3" t="s">
        <v>427</v>
      </c>
      <c r="D746" s="3" t="str">
        <f>IFERROR(__xludf.DUMMYFUNCTION("""COMPUTED_VALUE"""),"")</f>
        <v/>
      </c>
      <c r="E746" s="3" t="s">
        <v>427</v>
      </c>
    </row>
    <row r="747">
      <c r="B747" s="3" t="s">
        <v>427</v>
      </c>
      <c r="C747" s="3" t="s">
        <v>427</v>
      </c>
      <c r="D747" s="3" t="str">
        <f>IFERROR(__xludf.DUMMYFUNCTION("""COMPUTED_VALUE"""),"")</f>
        <v/>
      </c>
      <c r="E747" s="3" t="s">
        <v>427</v>
      </c>
    </row>
    <row r="748">
      <c r="B748" s="3" t="s">
        <v>427</v>
      </c>
      <c r="C748" s="3" t="s">
        <v>427</v>
      </c>
      <c r="D748" s="3" t="str">
        <f>IFERROR(__xludf.DUMMYFUNCTION("""COMPUTED_VALUE"""),"")</f>
        <v/>
      </c>
      <c r="E748" s="3" t="s">
        <v>427</v>
      </c>
    </row>
    <row r="749">
      <c r="B749" s="3" t="s">
        <v>427</v>
      </c>
      <c r="C749" s="3" t="s">
        <v>427</v>
      </c>
      <c r="D749" s="3" t="str">
        <f>IFERROR(__xludf.DUMMYFUNCTION("""COMPUTED_VALUE"""),"")</f>
        <v/>
      </c>
      <c r="E749" s="3" t="s">
        <v>427</v>
      </c>
    </row>
    <row r="750">
      <c r="B750" s="3" t="s">
        <v>427</v>
      </c>
      <c r="C750" s="3" t="s">
        <v>427</v>
      </c>
      <c r="D750" s="3" t="str">
        <f>IFERROR(__xludf.DUMMYFUNCTION("""COMPUTED_VALUE"""),"")</f>
        <v/>
      </c>
      <c r="E750" s="3" t="s">
        <v>427</v>
      </c>
    </row>
    <row r="751">
      <c r="B751" s="3" t="s">
        <v>427</v>
      </c>
      <c r="C751" s="3" t="s">
        <v>427</v>
      </c>
      <c r="D751" s="3" t="str">
        <f>IFERROR(__xludf.DUMMYFUNCTION("""COMPUTED_VALUE"""),"")</f>
        <v/>
      </c>
      <c r="E751" s="3" t="s">
        <v>427</v>
      </c>
    </row>
    <row r="752">
      <c r="B752" s="3" t="s">
        <v>427</v>
      </c>
      <c r="C752" s="3" t="s">
        <v>427</v>
      </c>
      <c r="D752" s="3" t="str">
        <f>IFERROR(__xludf.DUMMYFUNCTION("""COMPUTED_VALUE"""),"")</f>
        <v/>
      </c>
      <c r="E752" s="3" t="s">
        <v>427</v>
      </c>
    </row>
    <row r="753">
      <c r="B753" s="3" t="s">
        <v>427</v>
      </c>
      <c r="C753" s="3" t="s">
        <v>427</v>
      </c>
      <c r="D753" s="3" t="str">
        <f>IFERROR(__xludf.DUMMYFUNCTION("""COMPUTED_VALUE"""),"")</f>
        <v/>
      </c>
      <c r="E753" s="3" t="s">
        <v>427</v>
      </c>
    </row>
    <row r="754">
      <c r="B754" s="3" t="s">
        <v>427</v>
      </c>
      <c r="C754" s="3" t="s">
        <v>427</v>
      </c>
      <c r="D754" s="3" t="str">
        <f>IFERROR(__xludf.DUMMYFUNCTION("""COMPUTED_VALUE"""),"")</f>
        <v/>
      </c>
      <c r="E754" s="3" t="s">
        <v>427</v>
      </c>
    </row>
    <row r="755">
      <c r="B755" s="3" t="s">
        <v>427</v>
      </c>
      <c r="C755" s="3" t="s">
        <v>427</v>
      </c>
      <c r="D755" s="3" t="str">
        <f>IFERROR(__xludf.DUMMYFUNCTION("""COMPUTED_VALUE"""),"")</f>
        <v/>
      </c>
      <c r="E755" s="3" t="s">
        <v>427</v>
      </c>
    </row>
    <row r="756">
      <c r="B756" s="3" t="s">
        <v>427</v>
      </c>
      <c r="C756" s="3" t="s">
        <v>427</v>
      </c>
      <c r="D756" s="3" t="str">
        <f>IFERROR(__xludf.DUMMYFUNCTION("""COMPUTED_VALUE"""),"")</f>
        <v/>
      </c>
      <c r="E756" s="3" t="s">
        <v>427</v>
      </c>
    </row>
    <row r="757">
      <c r="B757" s="3" t="s">
        <v>427</v>
      </c>
      <c r="C757" s="3" t="s">
        <v>427</v>
      </c>
      <c r="D757" s="3" t="str">
        <f>IFERROR(__xludf.DUMMYFUNCTION("""COMPUTED_VALUE"""),"")</f>
        <v/>
      </c>
      <c r="E757" s="3" t="s">
        <v>427</v>
      </c>
    </row>
    <row r="758">
      <c r="B758" s="3" t="s">
        <v>427</v>
      </c>
      <c r="C758" s="3" t="s">
        <v>427</v>
      </c>
      <c r="D758" s="3" t="str">
        <f>IFERROR(__xludf.DUMMYFUNCTION("""COMPUTED_VALUE"""),"")</f>
        <v/>
      </c>
      <c r="E758" s="3" t="s">
        <v>427</v>
      </c>
    </row>
    <row r="759">
      <c r="B759" s="3" t="s">
        <v>427</v>
      </c>
      <c r="C759" s="3" t="s">
        <v>427</v>
      </c>
      <c r="D759" s="3" t="str">
        <f>IFERROR(__xludf.DUMMYFUNCTION("""COMPUTED_VALUE"""),"")</f>
        <v/>
      </c>
      <c r="E759" s="3" t="s">
        <v>427</v>
      </c>
    </row>
    <row r="760">
      <c r="B760" s="3" t="s">
        <v>427</v>
      </c>
      <c r="C760" s="3" t="s">
        <v>427</v>
      </c>
      <c r="D760" s="3" t="str">
        <f>IFERROR(__xludf.DUMMYFUNCTION("""COMPUTED_VALUE"""),"")</f>
        <v/>
      </c>
      <c r="E760" s="3" t="s">
        <v>427</v>
      </c>
    </row>
    <row r="761">
      <c r="B761" s="3" t="s">
        <v>427</v>
      </c>
      <c r="C761" s="3" t="s">
        <v>427</v>
      </c>
      <c r="D761" s="3" t="str">
        <f>IFERROR(__xludf.DUMMYFUNCTION("""COMPUTED_VALUE"""),"")</f>
        <v/>
      </c>
      <c r="E761" s="3" t="s">
        <v>427</v>
      </c>
    </row>
    <row r="762">
      <c r="B762" s="3" t="s">
        <v>427</v>
      </c>
      <c r="C762" s="3" t="s">
        <v>427</v>
      </c>
      <c r="D762" s="3" t="str">
        <f>IFERROR(__xludf.DUMMYFUNCTION("""COMPUTED_VALUE"""),"")</f>
        <v/>
      </c>
      <c r="E762" s="3" t="s">
        <v>427</v>
      </c>
    </row>
    <row r="763">
      <c r="B763" s="3" t="s">
        <v>427</v>
      </c>
      <c r="C763" s="3" t="s">
        <v>427</v>
      </c>
      <c r="D763" s="3" t="str">
        <f>IFERROR(__xludf.DUMMYFUNCTION("""COMPUTED_VALUE"""),"")</f>
        <v/>
      </c>
      <c r="E763" s="3" t="s">
        <v>427</v>
      </c>
    </row>
    <row r="764">
      <c r="B764" s="3" t="s">
        <v>427</v>
      </c>
      <c r="C764" s="3" t="s">
        <v>427</v>
      </c>
      <c r="D764" s="3" t="str">
        <f>IFERROR(__xludf.DUMMYFUNCTION("""COMPUTED_VALUE"""),"")</f>
        <v/>
      </c>
      <c r="E764" s="3" t="s">
        <v>427</v>
      </c>
    </row>
    <row r="765">
      <c r="B765" s="3" t="s">
        <v>427</v>
      </c>
      <c r="C765" s="3" t="s">
        <v>427</v>
      </c>
      <c r="D765" s="3" t="str">
        <f>IFERROR(__xludf.DUMMYFUNCTION("""COMPUTED_VALUE"""),"")</f>
        <v/>
      </c>
      <c r="E765" s="3" t="s">
        <v>427</v>
      </c>
    </row>
    <row r="766">
      <c r="B766" s="3" t="s">
        <v>427</v>
      </c>
      <c r="C766" s="3" t="s">
        <v>427</v>
      </c>
      <c r="D766" s="3" t="str">
        <f>IFERROR(__xludf.DUMMYFUNCTION("""COMPUTED_VALUE"""),"")</f>
        <v/>
      </c>
      <c r="E766" s="3" t="s">
        <v>427</v>
      </c>
    </row>
    <row r="767">
      <c r="B767" s="3" t="s">
        <v>427</v>
      </c>
      <c r="C767" s="3" t="s">
        <v>427</v>
      </c>
      <c r="D767" s="3" t="str">
        <f>IFERROR(__xludf.DUMMYFUNCTION("""COMPUTED_VALUE"""),"")</f>
        <v/>
      </c>
      <c r="E767" s="3" t="s">
        <v>427</v>
      </c>
    </row>
    <row r="768">
      <c r="B768" s="3" t="s">
        <v>427</v>
      </c>
      <c r="C768" s="3" t="s">
        <v>427</v>
      </c>
      <c r="D768" s="3" t="str">
        <f>IFERROR(__xludf.DUMMYFUNCTION("""COMPUTED_VALUE"""),"")</f>
        <v/>
      </c>
      <c r="E768" s="3" t="s">
        <v>427</v>
      </c>
    </row>
    <row r="769">
      <c r="B769" s="3" t="s">
        <v>427</v>
      </c>
      <c r="C769" s="3" t="s">
        <v>427</v>
      </c>
      <c r="D769" s="3" t="str">
        <f>IFERROR(__xludf.DUMMYFUNCTION("""COMPUTED_VALUE"""),"")</f>
        <v/>
      </c>
      <c r="E769" s="3" t="s">
        <v>427</v>
      </c>
    </row>
    <row r="770">
      <c r="B770" s="3" t="s">
        <v>427</v>
      </c>
      <c r="C770" s="3" t="s">
        <v>427</v>
      </c>
      <c r="D770" s="3" t="str">
        <f>IFERROR(__xludf.DUMMYFUNCTION("""COMPUTED_VALUE"""),"")</f>
        <v/>
      </c>
      <c r="E770" s="3" t="s">
        <v>427</v>
      </c>
    </row>
    <row r="771">
      <c r="B771" s="3" t="s">
        <v>427</v>
      </c>
      <c r="C771" s="3" t="s">
        <v>427</v>
      </c>
      <c r="D771" s="3" t="str">
        <f>IFERROR(__xludf.DUMMYFUNCTION("""COMPUTED_VALUE"""),"")</f>
        <v/>
      </c>
      <c r="E771" s="3" t="s">
        <v>427</v>
      </c>
    </row>
    <row r="772">
      <c r="B772" s="3" t="s">
        <v>427</v>
      </c>
      <c r="C772" s="3" t="s">
        <v>427</v>
      </c>
      <c r="D772" s="3" t="str">
        <f>IFERROR(__xludf.DUMMYFUNCTION("""COMPUTED_VALUE"""),"")</f>
        <v/>
      </c>
      <c r="E772" s="3" t="s">
        <v>427</v>
      </c>
    </row>
    <row r="773">
      <c r="B773" s="3" t="s">
        <v>427</v>
      </c>
      <c r="C773" s="3" t="s">
        <v>427</v>
      </c>
      <c r="D773" s="3" t="str">
        <f>IFERROR(__xludf.DUMMYFUNCTION("""COMPUTED_VALUE"""),"")</f>
        <v/>
      </c>
      <c r="E773" s="3" t="s">
        <v>427</v>
      </c>
    </row>
    <row r="774">
      <c r="B774" s="3" t="s">
        <v>427</v>
      </c>
      <c r="C774" s="3" t="s">
        <v>427</v>
      </c>
      <c r="D774" s="3" t="str">
        <f>IFERROR(__xludf.DUMMYFUNCTION("""COMPUTED_VALUE"""),"")</f>
        <v/>
      </c>
      <c r="E774" s="3" t="s">
        <v>427</v>
      </c>
    </row>
    <row r="775">
      <c r="B775" s="3" t="s">
        <v>427</v>
      </c>
      <c r="C775" s="3" t="s">
        <v>427</v>
      </c>
      <c r="D775" s="3" t="str">
        <f>IFERROR(__xludf.DUMMYFUNCTION("""COMPUTED_VALUE"""),"")</f>
        <v/>
      </c>
      <c r="E775" s="3" t="s">
        <v>427</v>
      </c>
    </row>
    <row r="776">
      <c r="B776" s="3" t="s">
        <v>427</v>
      </c>
      <c r="C776" s="3" t="s">
        <v>427</v>
      </c>
      <c r="D776" s="3" t="str">
        <f>IFERROR(__xludf.DUMMYFUNCTION("""COMPUTED_VALUE"""),"")</f>
        <v/>
      </c>
      <c r="E776" s="3" t="s">
        <v>427</v>
      </c>
    </row>
    <row r="777">
      <c r="B777" s="3" t="s">
        <v>427</v>
      </c>
      <c r="C777" s="3" t="s">
        <v>427</v>
      </c>
      <c r="D777" s="3" t="str">
        <f>IFERROR(__xludf.DUMMYFUNCTION("""COMPUTED_VALUE"""),"")</f>
        <v/>
      </c>
      <c r="E777" s="3" t="s">
        <v>427</v>
      </c>
    </row>
    <row r="778">
      <c r="B778" s="3" t="s">
        <v>427</v>
      </c>
      <c r="C778" s="3" t="s">
        <v>427</v>
      </c>
      <c r="D778" s="3" t="str">
        <f>IFERROR(__xludf.DUMMYFUNCTION("""COMPUTED_VALUE"""),"")</f>
        <v/>
      </c>
      <c r="E778" s="3" t="s">
        <v>427</v>
      </c>
    </row>
    <row r="779">
      <c r="B779" s="3" t="s">
        <v>427</v>
      </c>
      <c r="C779" s="3" t="s">
        <v>427</v>
      </c>
      <c r="D779" s="3" t="str">
        <f>IFERROR(__xludf.DUMMYFUNCTION("""COMPUTED_VALUE"""),"")</f>
        <v/>
      </c>
      <c r="E779" s="3" t="s">
        <v>427</v>
      </c>
    </row>
    <row r="780">
      <c r="B780" s="3" t="s">
        <v>427</v>
      </c>
      <c r="C780" s="3" t="s">
        <v>427</v>
      </c>
      <c r="D780" s="3" t="str">
        <f>IFERROR(__xludf.DUMMYFUNCTION("""COMPUTED_VALUE"""),"")</f>
        <v/>
      </c>
      <c r="E780" s="3" t="s">
        <v>427</v>
      </c>
    </row>
    <row r="781">
      <c r="B781" s="3" t="s">
        <v>427</v>
      </c>
      <c r="C781" s="3" t="s">
        <v>427</v>
      </c>
      <c r="D781" s="3" t="str">
        <f>IFERROR(__xludf.DUMMYFUNCTION("""COMPUTED_VALUE"""),"")</f>
        <v/>
      </c>
      <c r="E781" s="3" t="s">
        <v>427</v>
      </c>
    </row>
    <row r="782">
      <c r="B782" s="3" t="s">
        <v>427</v>
      </c>
      <c r="C782" s="3" t="s">
        <v>427</v>
      </c>
      <c r="D782" s="3" t="str">
        <f>IFERROR(__xludf.DUMMYFUNCTION("""COMPUTED_VALUE"""),"")</f>
        <v/>
      </c>
      <c r="E782" s="3" t="s">
        <v>427</v>
      </c>
    </row>
    <row r="783">
      <c r="B783" s="3" t="s">
        <v>427</v>
      </c>
      <c r="C783" s="3" t="s">
        <v>427</v>
      </c>
      <c r="D783" s="3" t="str">
        <f>IFERROR(__xludf.DUMMYFUNCTION("""COMPUTED_VALUE"""),"")</f>
        <v/>
      </c>
      <c r="E783" s="3" t="s">
        <v>427</v>
      </c>
    </row>
    <row r="784">
      <c r="B784" s="3" t="s">
        <v>427</v>
      </c>
      <c r="C784" s="3" t="s">
        <v>427</v>
      </c>
      <c r="D784" s="3" t="str">
        <f>IFERROR(__xludf.DUMMYFUNCTION("""COMPUTED_VALUE"""),"")</f>
        <v/>
      </c>
      <c r="E784" s="3" t="s">
        <v>427</v>
      </c>
    </row>
    <row r="785">
      <c r="B785" s="3" t="s">
        <v>427</v>
      </c>
      <c r="C785" s="3" t="s">
        <v>427</v>
      </c>
      <c r="D785" s="3" t="str">
        <f>IFERROR(__xludf.DUMMYFUNCTION("""COMPUTED_VALUE"""),"")</f>
        <v/>
      </c>
      <c r="E785" s="3" t="s">
        <v>427</v>
      </c>
    </row>
    <row r="786">
      <c r="B786" s="3" t="s">
        <v>427</v>
      </c>
      <c r="C786" s="3" t="s">
        <v>427</v>
      </c>
      <c r="D786" s="3" t="str">
        <f>IFERROR(__xludf.DUMMYFUNCTION("""COMPUTED_VALUE"""),"")</f>
        <v/>
      </c>
      <c r="E786" s="3" t="s">
        <v>427</v>
      </c>
    </row>
    <row r="787">
      <c r="B787" s="3" t="s">
        <v>427</v>
      </c>
      <c r="C787" s="3" t="s">
        <v>427</v>
      </c>
      <c r="D787" s="3" t="str">
        <f>IFERROR(__xludf.DUMMYFUNCTION("""COMPUTED_VALUE"""),"")</f>
        <v/>
      </c>
      <c r="E787" s="3" t="s">
        <v>427</v>
      </c>
    </row>
    <row r="788">
      <c r="B788" s="3" t="s">
        <v>427</v>
      </c>
      <c r="C788" s="3" t="s">
        <v>427</v>
      </c>
      <c r="D788" s="3" t="str">
        <f>IFERROR(__xludf.DUMMYFUNCTION("""COMPUTED_VALUE"""),"")</f>
        <v/>
      </c>
      <c r="E788" s="3" t="s">
        <v>427</v>
      </c>
    </row>
    <row r="789">
      <c r="B789" s="3" t="s">
        <v>427</v>
      </c>
      <c r="C789" s="3" t="s">
        <v>427</v>
      </c>
      <c r="D789" s="3" t="str">
        <f>IFERROR(__xludf.DUMMYFUNCTION("""COMPUTED_VALUE"""),"")</f>
        <v/>
      </c>
      <c r="E789" s="3" t="s">
        <v>427</v>
      </c>
    </row>
    <row r="790">
      <c r="B790" s="3" t="s">
        <v>427</v>
      </c>
      <c r="C790" s="3" t="s">
        <v>427</v>
      </c>
      <c r="D790" s="3" t="str">
        <f>IFERROR(__xludf.DUMMYFUNCTION("""COMPUTED_VALUE"""),"")</f>
        <v/>
      </c>
      <c r="E790" s="3" t="s">
        <v>427</v>
      </c>
    </row>
    <row r="791">
      <c r="B791" s="3" t="s">
        <v>427</v>
      </c>
      <c r="C791" s="3" t="s">
        <v>427</v>
      </c>
      <c r="D791" s="3" t="str">
        <f>IFERROR(__xludf.DUMMYFUNCTION("""COMPUTED_VALUE"""),"")</f>
        <v/>
      </c>
      <c r="E791" s="3" t="s">
        <v>427</v>
      </c>
    </row>
    <row r="792">
      <c r="B792" s="3" t="s">
        <v>427</v>
      </c>
      <c r="C792" s="3" t="s">
        <v>427</v>
      </c>
      <c r="D792" s="3" t="str">
        <f>IFERROR(__xludf.DUMMYFUNCTION("""COMPUTED_VALUE"""),"")</f>
        <v/>
      </c>
      <c r="E792" s="3" t="s">
        <v>427</v>
      </c>
    </row>
    <row r="793">
      <c r="B793" s="3" t="s">
        <v>427</v>
      </c>
      <c r="C793" s="3" t="s">
        <v>427</v>
      </c>
      <c r="D793" s="3" t="str">
        <f>IFERROR(__xludf.DUMMYFUNCTION("""COMPUTED_VALUE"""),"")</f>
        <v/>
      </c>
      <c r="E793" s="3" t="s">
        <v>427</v>
      </c>
    </row>
    <row r="794">
      <c r="B794" s="3" t="s">
        <v>427</v>
      </c>
      <c r="C794" s="3" t="s">
        <v>427</v>
      </c>
      <c r="D794" s="3" t="str">
        <f>IFERROR(__xludf.DUMMYFUNCTION("""COMPUTED_VALUE"""),"")</f>
        <v/>
      </c>
      <c r="E794" s="3" t="s">
        <v>427</v>
      </c>
    </row>
    <row r="795">
      <c r="B795" s="3" t="s">
        <v>427</v>
      </c>
      <c r="C795" s="3" t="s">
        <v>427</v>
      </c>
      <c r="D795" s="3" t="str">
        <f>IFERROR(__xludf.DUMMYFUNCTION("""COMPUTED_VALUE"""),"")</f>
        <v/>
      </c>
      <c r="E795" s="3" t="s">
        <v>427</v>
      </c>
    </row>
    <row r="796">
      <c r="B796" s="3" t="s">
        <v>427</v>
      </c>
      <c r="C796" s="3" t="s">
        <v>427</v>
      </c>
      <c r="D796" s="3" t="str">
        <f>IFERROR(__xludf.DUMMYFUNCTION("""COMPUTED_VALUE"""),"")</f>
        <v/>
      </c>
      <c r="E796" s="3" t="s">
        <v>427</v>
      </c>
    </row>
    <row r="797">
      <c r="B797" s="3" t="s">
        <v>427</v>
      </c>
      <c r="C797" s="3" t="s">
        <v>427</v>
      </c>
      <c r="D797" s="3" t="str">
        <f>IFERROR(__xludf.DUMMYFUNCTION("""COMPUTED_VALUE"""),"")</f>
        <v/>
      </c>
      <c r="E797" s="3" t="s">
        <v>427</v>
      </c>
    </row>
    <row r="798">
      <c r="B798" s="3" t="s">
        <v>427</v>
      </c>
      <c r="C798" s="3" t="s">
        <v>427</v>
      </c>
      <c r="D798" s="3" t="str">
        <f>IFERROR(__xludf.DUMMYFUNCTION("""COMPUTED_VALUE"""),"")</f>
        <v/>
      </c>
      <c r="E798" s="3" t="s">
        <v>427</v>
      </c>
    </row>
    <row r="799">
      <c r="B799" s="3" t="s">
        <v>427</v>
      </c>
      <c r="C799" s="3" t="s">
        <v>427</v>
      </c>
      <c r="D799" s="3" t="str">
        <f>IFERROR(__xludf.DUMMYFUNCTION("""COMPUTED_VALUE"""),"")</f>
        <v/>
      </c>
      <c r="E799" s="3" t="s">
        <v>427</v>
      </c>
    </row>
    <row r="800">
      <c r="B800" s="3" t="s">
        <v>427</v>
      </c>
      <c r="C800" s="3" t="s">
        <v>427</v>
      </c>
      <c r="D800" s="3" t="str">
        <f>IFERROR(__xludf.DUMMYFUNCTION("""COMPUTED_VALUE"""),"")</f>
        <v/>
      </c>
      <c r="E800" s="3" t="s">
        <v>427</v>
      </c>
    </row>
    <row r="801">
      <c r="B801" s="3" t="s">
        <v>427</v>
      </c>
      <c r="C801" s="3" t="s">
        <v>427</v>
      </c>
      <c r="D801" s="3" t="str">
        <f>IFERROR(__xludf.DUMMYFUNCTION("""COMPUTED_VALUE"""),"")</f>
        <v/>
      </c>
      <c r="E801" s="3" t="s">
        <v>427</v>
      </c>
    </row>
    <row r="802">
      <c r="B802" s="3" t="s">
        <v>427</v>
      </c>
      <c r="C802" s="3" t="s">
        <v>427</v>
      </c>
      <c r="D802" s="3" t="str">
        <f>IFERROR(__xludf.DUMMYFUNCTION("""COMPUTED_VALUE"""),"")</f>
        <v/>
      </c>
      <c r="E802" s="3" t="s">
        <v>427</v>
      </c>
    </row>
    <row r="803">
      <c r="B803" s="3" t="s">
        <v>427</v>
      </c>
      <c r="C803" s="3" t="s">
        <v>427</v>
      </c>
      <c r="D803" s="3" t="str">
        <f>IFERROR(__xludf.DUMMYFUNCTION("""COMPUTED_VALUE"""),"")</f>
        <v/>
      </c>
      <c r="E803" s="3" t="s">
        <v>427</v>
      </c>
    </row>
    <row r="804">
      <c r="B804" s="3" t="s">
        <v>427</v>
      </c>
      <c r="C804" s="3" t="s">
        <v>427</v>
      </c>
      <c r="D804" s="3" t="str">
        <f>IFERROR(__xludf.DUMMYFUNCTION("""COMPUTED_VALUE"""),"")</f>
        <v/>
      </c>
      <c r="E804" s="3" t="s">
        <v>427</v>
      </c>
    </row>
    <row r="805">
      <c r="B805" s="3" t="s">
        <v>427</v>
      </c>
      <c r="C805" s="3" t="s">
        <v>427</v>
      </c>
      <c r="D805" s="3" t="str">
        <f>IFERROR(__xludf.DUMMYFUNCTION("""COMPUTED_VALUE"""),"")</f>
        <v/>
      </c>
      <c r="E805" s="3" t="s">
        <v>427</v>
      </c>
    </row>
    <row r="806">
      <c r="B806" s="3" t="s">
        <v>427</v>
      </c>
      <c r="C806" s="3" t="s">
        <v>427</v>
      </c>
      <c r="D806" s="3" t="str">
        <f>IFERROR(__xludf.DUMMYFUNCTION("""COMPUTED_VALUE"""),"")</f>
        <v/>
      </c>
      <c r="E806" s="3" t="s">
        <v>427</v>
      </c>
    </row>
    <row r="807">
      <c r="B807" s="3" t="s">
        <v>427</v>
      </c>
      <c r="C807" s="3" t="s">
        <v>427</v>
      </c>
      <c r="D807" s="3" t="str">
        <f>IFERROR(__xludf.DUMMYFUNCTION("""COMPUTED_VALUE"""),"")</f>
        <v/>
      </c>
      <c r="E807" s="3" t="s">
        <v>427</v>
      </c>
    </row>
    <row r="808">
      <c r="B808" s="3" t="s">
        <v>427</v>
      </c>
      <c r="C808" s="3" t="s">
        <v>427</v>
      </c>
      <c r="D808" s="3" t="str">
        <f>IFERROR(__xludf.DUMMYFUNCTION("""COMPUTED_VALUE"""),"")</f>
        <v/>
      </c>
      <c r="E808" s="3" t="s">
        <v>427</v>
      </c>
    </row>
    <row r="809">
      <c r="B809" s="3" t="s">
        <v>427</v>
      </c>
      <c r="C809" s="3" t="s">
        <v>427</v>
      </c>
      <c r="D809" s="3" t="str">
        <f>IFERROR(__xludf.DUMMYFUNCTION("""COMPUTED_VALUE"""),"")</f>
        <v/>
      </c>
      <c r="E809" s="3" t="s">
        <v>427</v>
      </c>
    </row>
    <row r="810">
      <c r="B810" s="3" t="s">
        <v>427</v>
      </c>
      <c r="C810" s="3" t="s">
        <v>427</v>
      </c>
      <c r="D810" s="3" t="str">
        <f>IFERROR(__xludf.DUMMYFUNCTION("""COMPUTED_VALUE"""),"")</f>
        <v/>
      </c>
      <c r="E810" s="3" t="s">
        <v>427</v>
      </c>
    </row>
    <row r="811">
      <c r="B811" s="3" t="s">
        <v>427</v>
      </c>
      <c r="C811" s="3" t="s">
        <v>427</v>
      </c>
      <c r="D811" s="3" t="str">
        <f>IFERROR(__xludf.DUMMYFUNCTION("""COMPUTED_VALUE"""),"")</f>
        <v/>
      </c>
      <c r="E811" s="3" t="s">
        <v>427</v>
      </c>
    </row>
    <row r="812">
      <c r="B812" s="3" t="s">
        <v>427</v>
      </c>
      <c r="C812" s="3" t="s">
        <v>427</v>
      </c>
      <c r="D812" s="3" t="str">
        <f>IFERROR(__xludf.DUMMYFUNCTION("""COMPUTED_VALUE"""),"")</f>
        <v/>
      </c>
      <c r="E812" s="3" t="s">
        <v>427</v>
      </c>
    </row>
    <row r="813">
      <c r="B813" s="3" t="s">
        <v>427</v>
      </c>
      <c r="C813" s="3" t="s">
        <v>427</v>
      </c>
      <c r="D813" s="3" t="str">
        <f>IFERROR(__xludf.DUMMYFUNCTION("""COMPUTED_VALUE"""),"")</f>
        <v/>
      </c>
      <c r="E813" s="3" t="s">
        <v>427</v>
      </c>
    </row>
    <row r="814">
      <c r="B814" s="3" t="s">
        <v>427</v>
      </c>
      <c r="C814" s="3" t="s">
        <v>427</v>
      </c>
      <c r="D814" s="3" t="str">
        <f>IFERROR(__xludf.DUMMYFUNCTION("""COMPUTED_VALUE"""),"")</f>
        <v/>
      </c>
      <c r="E814" s="3" t="s">
        <v>427</v>
      </c>
    </row>
    <row r="815">
      <c r="B815" s="3" t="s">
        <v>427</v>
      </c>
      <c r="C815" s="3" t="s">
        <v>427</v>
      </c>
      <c r="D815" s="3" t="str">
        <f>IFERROR(__xludf.DUMMYFUNCTION("""COMPUTED_VALUE"""),"")</f>
        <v/>
      </c>
      <c r="E815" s="3" t="s">
        <v>427</v>
      </c>
    </row>
    <row r="816">
      <c r="B816" s="3" t="s">
        <v>427</v>
      </c>
      <c r="C816" s="3" t="s">
        <v>427</v>
      </c>
      <c r="D816" s="3" t="str">
        <f>IFERROR(__xludf.DUMMYFUNCTION("""COMPUTED_VALUE"""),"")</f>
        <v/>
      </c>
      <c r="E816" s="3" t="s">
        <v>427</v>
      </c>
    </row>
    <row r="817">
      <c r="B817" s="3" t="s">
        <v>427</v>
      </c>
      <c r="C817" s="3" t="s">
        <v>427</v>
      </c>
      <c r="D817" s="3" t="str">
        <f>IFERROR(__xludf.DUMMYFUNCTION("""COMPUTED_VALUE"""),"")</f>
        <v/>
      </c>
      <c r="E817" s="3" t="s">
        <v>427</v>
      </c>
    </row>
    <row r="818">
      <c r="B818" s="3" t="s">
        <v>427</v>
      </c>
      <c r="C818" s="3" t="s">
        <v>427</v>
      </c>
      <c r="D818" s="3" t="str">
        <f>IFERROR(__xludf.DUMMYFUNCTION("""COMPUTED_VALUE"""),"")</f>
        <v/>
      </c>
      <c r="E818" s="3" t="s">
        <v>427</v>
      </c>
    </row>
    <row r="819">
      <c r="B819" s="3" t="s">
        <v>427</v>
      </c>
      <c r="C819" s="3" t="s">
        <v>427</v>
      </c>
      <c r="D819" s="3" t="str">
        <f>IFERROR(__xludf.DUMMYFUNCTION("""COMPUTED_VALUE"""),"")</f>
        <v/>
      </c>
      <c r="E819" s="3" t="s">
        <v>427</v>
      </c>
    </row>
    <row r="820">
      <c r="B820" s="3" t="s">
        <v>427</v>
      </c>
      <c r="C820" s="3" t="s">
        <v>427</v>
      </c>
      <c r="D820" s="3" t="str">
        <f>IFERROR(__xludf.DUMMYFUNCTION("""COMPUTED_VALUE"""),"")</f>
        <v/>
      </c>
      <c r="E820" s="3" t="s">
        <v>427</v>
      </c>
    </row>
    <row r="821">
      <c r="B821" s="3" t="s">
        <v>427</v>
      </c>
      <c r="C821" s="3" t="s">
        <v>427</v>
      </c>
      <c r="D821" s="3" t="str">
        <f>IFERROR(__xludf.DUMMYFUNCTION("""COMPUTED_VALUE"""),"")</f>
        <v/>
      </c>
      <c r="E821" s="3" t="s">
        <v>427</v>
      </c>
    </row>
    <row r="822">
      <c r="B822" s="3" t="s">
        <v>427</v>
      </c>
      <c r="C822" s="3" t="s">
        <v>427</v>
      </c>
      <c r="D822" s="3" t="str">
        <f>IFERROR(__xludf.DUMMYFUNCTION("""COMPUTED_VALUE"""),"")</f>
        <v/>
      </c>
      <c r="E822" s="3" t="s">
        <v>427</v>
      </c>
    </row>
    <row r="823">
      <c r="B823" s="3" t="s">
        <v>427</v>
      </c>
      <c r="C823" s="3" t="s">
        <v>427</v>
      </c>
      <c r="D823" s="3" t="str">
        <f>IFERROR(__xludf.DUMMYFUNCTION("""COMPUTED_VALUE"""),"")</f>
        <v/>
      </c>
      <c r="E823" s="3" t="s">
        <v>427</v>
      </c>
    </row>
    <row r="824">
      <c r="B824" s="3" t="s">
        <v>427</v>
      </c>
      <c r="C824" s="3" t="s">
        <v>427</v>
      </c>
      <c r="D824" s="3" t="str">
        <f>IFERROR(__xludf.DUMMYFUNCTION("""COMPUTED_VALUE"""),"")</f>
        <v/>
      </c>
      <c r="E824" s="3" t="s">
        <v>427</v>
      </c>
    </row>
    <row r="825">
      <c r="B825" s="3" t="s">
        <v>427</v>
      </c>
      <c r="C825" s="3" t="s">
        <v>427</v>
      </c>
      <c r="D825" s="3" t="str">
        <f>IFERROR(__xludf.DUMMYFUNCTION("""COMPUTED_VALUE"""),"")</f>
        <v/>
      </c>
      <c r="E825" s="3" t="s">
        <v>427</v>
      </c>
    </row>
    <row r="826">
      <c r="B826" s="3" t="s">
        <v>427</v>
      </c>
      <c r="C826" s="3" t="s">
        <v>427</v>
      </c>
      <c r="D826" s="3" t="str">
        <f>IFERROR(__xludf.DUMMYFUNCTION("""COMPUTED_VALUE"""),"")</f>
        <v/>
      </c>
      <c r="E826" s="3" t="s">
        <v>427</v>
      </c>
    </row>
    <row r="827">
      <c r="B827" s="3" t="s">
        <v>427</v>
      </c>
      <c r="C827" s="3" t="s">
        <v>427</v>
      </c>
      <c r="D827" s="3" t="str">
        <f>IFERROR(__xludf.DUMMYFUNCTION("""COMPUTED_VALUE"""),"")</f>
        <v/>
      </c>
      <c r="E827" s="3" t="s">
        <v>427</v>
      </c>
    </row>
    <row r="828">
      <c r="B828" s="3" t="s">
        <v>427</v>
      </c>
      <c r="C828" s="3" t="s">
        <v>427</v>
      </c>
      <c r="D828" s="3" t="str">
        <f>IFERROR(__xludf.DUMMYFUNCTION("""COMPUTED_VALUE"""),"")</f>
        <v/>
      </c>
      <c r="E828" s="3" t="s">
        <v>427</v>
      </c>
    </row>
    <row r="829">
      <c r="B829" s="3" t="s">
        <v>427</v>
      </c>
      <c r="C829" s="3" t="s">
        <v>427</v>
      </c>
      <c r="D829" s="3" t="str">
        <f>IFERROR(__xludf.DUMMYFUNCTION("""COMPUTED_VALUE"""),"")</f>
        <v/>
      </c>
      <c r="E829" s="3" t="s">
        <v>427</v>
      </c>
    </row>
    <row r="830">
      <c r="B830" s="3" t="s">
        <v>427</v>
      </c>
      <c r="C830" s="3" t="s">
        <v>427</v>
      </c>
      <c r="D830" s="3" t="str">
        <f>IFERROR(__xludf.DUMMYFUNCTION("""COMPUTED_VALUE"""),"")</f>
        <v/>
      </c>
      <c r="E830" s="3" t="s">
        <v>427</v>
      </c>
    </row>
    <row r="831">
      <c r="B831" s="3" t="s">
        <v>427</v>
      </c>
      <c r="C831" s="3" t="s">
        <v>427</v>
      </c>
      <c r="D831" s="3" t="str">
        <f>IFERROR(__xludf.DUMMYFUNCTION("""COMPUTED_VALUE"""),"")</f>
        <v/>
      </c>
      <c r="E831" s="3" t="s">
        <v>427</v>
      </c>
    </row>
    <row r="832">
      <c r="B832" s="3" t="s">
        <v>427</v>
      </c>
      <c r="C832" s="3" t="s">
        <v>427</v>
      </c>
      <c r="D832" s="3" t="str">
        <f>IFERROR(__xludf.DUMMYFUNCTION("""COMPUTED_VALUE"""),"")</f>
        <v/>
      </c>
      <c r="E832" s="3" t="s">
        <v>427</v>
      </c>
    </row>
    <row r="833">
      <c r="B833" s="3" t="s">
        <v>427</v>
      </c>
      <c r="C833" s="3" t="s">
        <v>427</v>
      </c>
      <c r="D833" s="3" t="str">
        <f>IFERROR(__xludf.DUMMYFUNCTION("""COMPUTED_VALUE"""),"")</f>
        <v/>
      </c>
      <c r="E833" s="3" t="s">
        <v>427</v>
      </c>
    </row>
    <row r="834">
      <c r="B834" s="3" t="s">
        <v>427</v>
      </c>
      <c r="C834" s="3" t="s">
        <v>427</v>
      </c>
      <c r="D834" s="3" t="str">
        <f>IFERROR(__xludf.DUMMYFUNCTION("""COMPUTED_VALUE"""),"")</f>
        <v/>
      </c>
      <c r="E834" s="3" t="s">
        <v>427</v>
      </c>
    </row>
    <row r="835">
      <c r="B835" s="3" t="s">
        <v>427</v>
      </c>
      <c r="C835" s="3" t="s">
        <v>427</v>
      </c>
      <c r="D835" s="3" t="str">
        <f>IFERROR(__xludf.DUMMYFUNCTION("""COMPUTED_VALUE"""),"")</f>
        <v/>
      </c>
      <c r="E835" s="3" t="s">
        <v>427</v>
      </c>
    </row>
    <row r="836">
      <c r="B836" s="3" t="s">
        <v>427</v>
      </c>
      <c r="C836" s="3" t="s">
        <v>427</v>
      </c>
      <c r="D836" s="3" t="str">
        <f>IFERROR(__xludf.DUMMYFUNCTION("""COMPUTED_VALUE"""),"")</f>
        <v/>
      </c>
      <c r="E836" s="3" t="s">
        <v>427</v>
      </c>
    </row>
    <row r="837">
      <c r="B837" s="3" t="s">
        <v>427</v>
      </c>
      <c r="C837" s="3" t="s">
        <v>427</v>
      </c>
      <c r="D837" s="3" t="str">
        <f>IFERROR(__xludf.DUMMYFUNCTION("""COMPUTED_VALUE"""),"")</f>
        <v/>
      </c>
      <c r="E837" s="3" t="s">
        <v>427</v>
      </c>
    </row>
    <row r="838">
      <c r="B838" s="3" t="s">
        <v>427</v>
      </c>
      <c r="C838" s="3" t="s">
        <v>427</v>
      </c>
      <c r="D838" s="3" t="str">
        <f>IFERROR(__xludf.DUMMYFUNCTION("""COMPUTED_VALUE"""),"")</f>
        <v/>
      </c>
      <c r="E838" s="3" t="s">
        <v>427</v>
      </c>
    </row>
    <row r="839">
      <c r="B839" s="3" t="s">
        <v>427</v>
      </c>
      <c r="C839" s="3" t="s">
        <v>427</v>
      </c>
      <c r="D839" s="3" t="str">
        <f>IFERROR(__xludf.DUMMYFUNCTION("""COMPUTED_VALUE"""),"")</f>
        <v/>
      </c>
      <c r="E839" s="3" t="s">
        <v>427</v>
      </c>
    </row>
    <row r="840">
      <c r="B840" s="3" t="s">
        <v>427</v>
      </c>
      <c r="C840" s="3" t="s">
        <v>427</v>
      </c>
      <c r="D840" s="3" t="str">
        <f>IFERROR(__xludf.DUMMYFUNCTION("""COMPUTED_VALUE"""),"")</f>
        <v/>
      </c>
      <c r="E840" s="3" t="s">
        <v>427</v>
      </c>
    </row>
    <row r="841">
      <c r="B841" s="3" t="s">
        <v>427</v>
      </c>
      <c r="C841" s="3" t="s">
        <v>427</v>
      </c>
      <c r="D841" s="3" t="str">
        <f>IFERROR(__xludf.DUMMYFUNCTION("""COMPUTED_VALUE"""),"")</f>
        <v/>
      </c>
      <c r="E841" s="3" t="s">
        <v>427</v>
      </c>
    </row>
    <row r="842">
      <c r="B842" s="3" t="s">
        <v>427</v>
      </c>
      <c r="C842" s="3" t="s">
        <v>427</v>
      </c>
      <c r="D842" s="3" t="str">
        <f>IFERROR(__xludf.DUMMYFUNCTION("""COMPUTED_VALUE"""),"")</f>
        <v/>
      </c>
      <c r="E842" s="3" t="s">
        <v>427</v>
      </c>
    </row>
    <row r="843">
      <c r="B843" s="3" t="s">
        <v>427</v>
      </c>
      <c r="C843" s="3" t="s">
        <v>427</v>
      </c>
      <c r="D843" s="3" t="str">
        <f>IFERROR(__xludf.DUMMYFUNCTION("""COMPUTED_VALUE"""),"")</f>
        <v/>
      </c>
      <c r="E843" s="3" t="s">
        <v>427</v>
      </c>
    </row>
    <row r="844">
      <c r="B844" s="3" t="s">
        <v>427</v>
      </c>
      <c r="C844" s="3" t="s">
        <v>427</v>
      </c>
      <c r="D844" s="3" t="str">
        <f>IFERROR(__xludf.DUMMYFUNCTION("""COMPUTED_VALUE"""),"")</f>
        <v/>
      </c>
      <c r="E844" s="3" t="s">
        <v>427</v>
      </c>
    </row>
    <row r="845">
      <c r="B845" s="3" t="s">
        <v>427</v>
      </c>
      <c r="C845" s="3" t="s">
        <v>427</v>
      </c>
      <c r="D845" s="3" t="str">
        <f>IFERROR(__xludf.DUMMYFUNCTION("""COMPUTED_VALUE"""),"")</f>
        <v/>
      </c>
      <c r="E845" s="3" t="s">
        <v>427</v>
      </c>
    </row>
    <row r="846">
      <c r="B846" s="3" t="s">
        <v>427</v>
      </c>
      <c r="C846" s="3" t="s">
        <v>427</v>
      </c>
      <c r="D846" s="3" t="str">
        <f>IFERROR(__xludf.DUMMYFUNCTION("""COMPUTED_VALUE"""),"")</f>
        <v/>
      </c>
      <c r="E846" s="3" t="s">
        <v>427</v>
      </c>
    </row>
    <row r="847">
      <c r="B847" s="3" t="s">
        <v>427</v>
      </c>
      <c r="C847" s="3" t="s">
        <v>427</v>
      </c>
      <c r="D847" s="3" t="str">
        <f>IFERROR(__xludf.DUMMYFUNCTION("""COMPUTED_VALUE"""),"")</f>
        <v/>
      </c>
      <c r="E847" s="3" t="s">
        <v>427</v>
      </c>
    </row>
    <row r="848">
      <c r="B848" s="3" t="s">
        <v>427</v>
      </c>
      <c r="C848" s="3" t="s">
        <v>427</v>
      </c>
      <c r="D848" s="3" t="str">
        <f>IFERROR(__xludf.DUMMYFUNCTION("""COMPUTED_VALUE"""),"")</f>
        <v/>
      </c>
      <c r="E848" s="3" t="s">
        <v>427</v>
      </c>
    </row>
    <row r="849">
      <c r="B849" s="3" t="s">
        <v>427</v>
      </c>
      <c r="C849" s="3" t="s">
        <v>427</v>
      </c>
      <c r="D849" s="3" t="str">
        <f>IFERROR(__xludf.DUMMYFUNCTION("""COMPUTED_VALUE"""),"")</f>
        <v/>
      </c>
      <c r="E849" s="3" t="s">
        <v>427</v>
      </c>
    </row>
    <row r="850">
      <c r="B850" s="3" t="s">
        <v>427</v>
      </c>
      <c r="C850" s="3" t="s">
        <v>427</v>
      </c>
      <c r="D850" s="3" t="str">
        <f>IFERROR(__xludf.DUMMYFUNCTION("""COMPUTED_VALUE"""),"")</f>
        <v/>
      </c>
      <c r="E850" s="3" t="s">
        <v>427</v>
      </c>
    </row>
    <row r="851">
      <c r="B851" s="3" t="s">
        <v>427</v>
      </c>
      <c r="C851" s="3" t="s">
        <v>427</v>
      </c>
      <c r="D851" s="3" t="str">
        <f>IFERROR(__xludf.DUMMYFUNCTION("""COMPUTED_VALUE"""),"")</f>
        <v/>
      </c>
      <c r="E851" s="3" t="s">
        <v>427</v>
      </c>
    </row>
    <row r="852">
      <c r="B852" s="3" t="s">
        <v>427</v>
      </c>
      <c r="C852" s="3" t="s">
        <v>427</v>
      </c>
      <c r="D852" s="3" t="str">
        <f>IFERROR(__xludf.DUMMYFUNCTION("""COMPUTED_VALUE"""),"")</f>
        <v/>
      </c>
      <c r="E852" s="3" t="s">
        <v>427</v>
      </c>
    </row>
    <row r="853">
      <c r="B853" s="3" t="s">
        <v>427</v>
      </c>
      <c r="C853" s="3" t="s">
        <v>427</v>
      </c>
      <c r="D853" s="3" t="str">
        <f>IFERROR(__xludf.DUMMYFUNCTION("""COMPUTED_VALUE"""),"")</f>
        <v/>
      </c>
      <c r="E853" s="3" t="s">
        <v>427</v>
      </c>
    </row>
    <row r="854">
      <c r="B854" s="3" t="s">
        <v>427</v>
      </c>
      <c r="C854" s="3" t="s">
        <v>427</v>
      </c>
      <c r="D854" s="3" t="str">
        <f>IFERROR(__xludf.DUMMYFUNCTION("""COMPUTED_VALUE"""),"")</f>
        <v/>
      </c>
      <c r="E854" s="3" t="s">
        <v>427</v>
      </c>
    </row>
    <row r="855">
      <c r="B855" s="3" t="s">
        <v>427</v>
      </c>
      <c r="C855" s="3" t="s">
        <v>427</v>
      </c>
      <c r="D855" s="3" t="str">
        <f>IFERROR(__xludf.DUMMYFUNCTION("""COMPUTED_VALUE"""),"")</f>
        <v/>
      </c>
      <c r="E855" s="3" t="s">
        <v>427</v>
      </c>
    </row>
    <row r="856">
      <c r="B856" s="3" t="s">
        <v>427</v>
      </c>
      <c r="C856" s="3" t="s">
        <v>427</v>
      </c>
      <c r="D856" s="3" t="str">
        <f>IFERROR(__xludf.DUMMYFUNCTION("""COMPUTED_VALUE"""),"")</f>
        <v/>
      </c>
      <c r="E856" s="3" t="s">
        <v>427</v>
      </c>
    </row>
    <row r="857">
      <c r="B857" s="3" t="s">
        <v>427</v>
      </c>
      <c r="C857" s="3" t="s">
        <v>427</v>
      </c>
      <c r="D857" s="3" t="str">
        <f>IFERROR(__xludf.DUMMYFUNCTION("""COMPUTED_VALUE"""),"")</f>
        <v/>
      </c>
      <c r="E857" s="3" t="s">
        <v>427</v>
      </c>
    </row>
    <row r="858">
      <c r="B858" s="3" t="s">
        <v>427</v>
      </c>
      <c r="C858" s="3" t="s">
        <v>427</v>
      </c>
      <c r="D858" s="3" t="str">
        <f>IFERROR(__xludf.DUMMYFUNCTION("""COMPUTED_VALUE"""),"")</f>
        <v/>
      </c>
      <c r="E858" s="3" t="s">
        <v>427</v>
      </c>
    </row>
    <row r="859">
      <c r="B859" s="3" t="s">
        <v>427</v>
      </c>
      <c r="C859" s="3" t="s">
        <v>427</v>
      </c>
      <c r="D859" s="3" t="str">
        <f>IFERROR(__xludf.DUMMYFUNCTION("""COMPUTED_VALUE"""),"")</f>
        <v/>
      </c>
      <c r="E859" s="3" t="s">
        <v>427</v>
      </c>
    </row>
    <row r="860">
      <c r="B860" s="3" t="s">
        <v>427</v>
      </c>
      <c r="C860" s="3" t="s">
        <v>427</v>
      </c>
      <c r="D860" s="3" t="str">
        <f>IFERROR(__xludf.DUMMYFUNCTION("""COMPUTED_VALUE"""),"")</f>
        <v/>
      </c>
      <c r="E860" s="3" t="s">
        <v>427</v>
      </c>
    </row>
    <row r="861">
      <c r="B861" s="3" t="s">
        <v>427</v>
      </c>
      <c r="C861" s="3" t="s">
        <v>427</v>
      </c>
      <c r="D861" s="3" t="str">
        <f>IFERROR(__xludf.DUMMYFUNCTION("""COMPUTED_VALUE"""),"")</f>
        <v/>
      </c>
      <c r="E861" s="3" t="s">
        <v>427</v>
      </c>
    </row>
    <row r="862">
      <c r="B862" s="3" t="s">
        <v>427</v>
      </c>
      <c r="C862" s="3" t="s">
        <v>427</v>
      </c>
      <c r="D862" s="3" t="str">
        <f>IFERROR(__xludf.DUMMYFUNCTION("""COMPUTED_VALUE"""),"")</f>
        <v/>
      </c>
      <c r="E862" s="3" t="s">
        <v>427</v>
      </c>
    </row>
    <row r="863">
      <c r="B863" s="3" t="s">
        <v>427</v>
      </c>
      <c r="C863" s="3" t="s">
        <v>427</v>
      </c>
      <c r="D863" s="3" t="str">
        <f>IFERROR(__xludf.DUMMYFUNCTION("""COMPUTED_VALUE"""),"")</f>
        <v/>
      </c>
      <c r="E863" s="3" t="s">
        <v>427</v>
      </c>
    </row>
    <row r="864">
      <c r="B864" s="3" t="s">
        <v>427</v>
      </c>
      <c r="C864" s="3" t="s">
        <v>427</v>
      </c>
      <c r="D864" s="3" t="str">
        <f>IFERROR(__xludf.DUMMYFUNCTION("""COMPUTED_VALUE"""),"")</f>
        <v/>
      </c>
      <c r="E864" s="3" t="s">
        <v>427</v>
      </c>
    </row>
    <row r="865">
      <c r="B865" s="3" t="s">
        <v>427</v>
      </c>
      <c r="C865" s="3" t="s">
        <v>427</v>
      </c>
      <c r="D865" s="3" t="str">
        <f>IFERROR(__xludf.DUMMYFUNCTION("""COMPUTED_VALUE"""),"")</f>
        <v/>
      </c>
      <c r="E865" s="3" t="s">
        <v>427</v>
      </c>
    </row>
    <row r="866">
      <c r="B866" s="3" t="s">
        <v>427</v>
      </c>
      <c r="C866" s="3" t="s">
        <v>427</v>
      </c>
      <c r="D866" s="3" t="str">
        <f>IFERROR(__xludf.DUMMYFUNCTION("""COMPUTED_VALUE"""),"")</f>
        <v/>
      </c>
      <c r="E866" s="3" t="s">
        <v>427</v>
      </c>
    </row>
    <row r="867">
      <c r="B867" s="3" t="s">
        <v>427</v>
      </c>
      <c r="C867" s="3" t="s">
        <v>427</v>
      </c>
      <c r="D867" s="3" t="str">
        <f>IFERROR(__xludf.DUMMYFUNCTION("""COMPUTED_VALUE"""),"")</f>
        <v/>
      </c>
      <c r="E867" s="3" t="s">
        <v>427</v>
      </c>
    </row>
    <row r="868">
      <c r="B868" s="3" t="s">
        <v>427</v>
      </c>
      <c r="C868" s="3" t="s">
        <v>427</v>
      </c>
      <c r="D868" s="3" t="str">
        <f>IFERROR(__xludf.DUMMYFUNCTION("""COMPUTED_VALUE"""),"")</f>
        <v/>
      </c>
      <c r="E868" s="3" t="s">
        <v>427</v>
      </c>
    </row>
    <row r="869">
      <c r="B869" s="3" t="s">
        <v>427</v>
      </c>
      <c r="C869" s="3" t="s">
        <v>427</v>
      </c>
      <c r="D869" s="3" t="str">
        <f>IFERROR(__xludf.DUMMYFUNCTION("""COMPUTED_VALUE"""),"")</f>
        <v/>
      </c>
      <c r="E869" s="3" t="s">
        <v>427</v>
      </c>
    </row>
    <row r="870">
      <c r="B870" s="3" t="s">
        <v>427</v>
      </c>
      <c r="C870" s="3" t="s">
        <v>427</v>
      </c>
      <c r="D870" s="3" t="str">
        <f>IFERROR(__xludf.DUMMYFUNCTION("""COMPUTED_VALUE"""),"")</f>
        <v/>
      </c>
      <c r="E870" s="3" t="s">
        <v>427</v>
      </c>
    </row>
    <row r="871">
      <c r="B871" s="3" t="s">
        <v>427</v>
      </c>
      <c r="C871" s="3" t="s">
        <v>427</v>
      </c>
      <c r="D871" s="3" t="str">
        <f>IFERROR(__xludf.DUMMYFUNCTION("""COMPUTED_VALUE"""),"")</f>
        <v/>
      </c>
      <c r="E871" s="3" t="s">
        <v>427</v>
      </c>
    </row>
    <row r="872">
      <c r="B872" s="3" t="s">
        <v>427</v>
      </c>
      <c r="C872" s="3" t="s">
        <v>427</v>
      </c>
      <c r="D872" s="3" t="str">
        <f>IFERROR(__xludf.DUMMYFUNCTION("""COMPUTED_VALUE"""),"")</f>
        <v/>
      </c>
      <c r="E872" s="3" t="s">
        <v>427</v>
      </c>
    </row>
    <row r="873">
      <c r="B873" s="3" t="s">
        <v>427</v>
      </c>
      <c r="C873" s="3" t="s">
        <v>427</v>
      </c>
      <c r="D873" s="3" t="str">
        <f>IFERROR(__xludf.DUMMYFUNCTION("""COMPUTED_VALUE"""),"")</f>
        <v/>
      </c>
      <c r="E873" s="3" t="s">
        <v>427</v>
      </c>
    </row>
    <row r="874">
      <c r="B874" s="3" t="s">
        <v>427</v>
      </c>
      <c r="C874" s="3" t="s">
        <v>427</v>
      </c>
      <c r="D874" s="3" t="str">
        <f>IFERROR(__xludf.DUMMYFUNCTION("""COMPUTED_VALUE"""),"")</f>
        <v/>
      </c>
      <c r="E874" s="3" t="s">
        <v>427</v>
      </c>
    </row>
    <row r="875">
      <c r="B875" s="3" t="s">
        <v>427</v>
      </c>
      <c r="C875" s="3" t="s">
        <v>427</v>
      </c>
      <c r="D875" s="3" t="str">
        <f>IFERROR(__xludf.DUMMYFUNCTION("""COMPUTED_VALUE"""),"")</f>
        <v/>
      </c>
      <c r="E875" s="3" t="s">
        <v>427</v>
      </c>
    </row>
    <row r="876">
      <c r="B876" s="3" t="s">
        <v>427</v>
      </c>
      <c r="C876" s="3" t="s">
        <v>427</v>
      </c>
      <c r="D876" s="3" t="str">
        <f>IFERROR(__xludf.DUMMYFUNCTION("""COMPUTED_VALUE"""),"")</f>
        <v/>
      </c>
      <c r="E876" s="3" t="s">
        <v>427</v>
      </c>
    </row>
    <row r="877">
      <c r="B877" s="3" t="s">
        <v>427</v>
      </c>
      <c r="C877" s="3" t="s">
        <v>427</v>
      </c>
      <c r="D877" s="3" t="str">
        <f>IFERROR(__xludf.DUMMYFUNCTION("""COMPUTED_VALUE"""),"")</f>
        <v/>
      </c>
      <c r="E877" s="3" t="s">
        <v>427</v>
      </c>
    </row>
    <row r="878">
      <c r="B878" s="3" t="s">
        <v>427</v>
      </c>
      <c r="C878" s="3" t="s">
        <v>427</v>
      </c>
      <c r="D878" s="3" t="str">
        <f>IFERROR(__xludf.DUMMYFUNCTION("""COMPUTED_VALUE"""),"")</f>
        <v/>
      </c>
      <c r="E878" s="3" t="s">
        <v>427</v>
      </c>
    </row>
    <row r="879">
      <c r="B879" s="3" t="s">
        <v>427</v>
      </c>
      <c r="C879" s="3" t="s">
        <v>427</v>
      </c>
      <c r="D879" s="3" t="str">
        <f>IFERROR(__xludf.DUMMYFUNCTION("""COMPUTED_VALUE"""),"")</f>
        <v/>
      </c>
      <c r="E879" s="3" t="s">
        <v>427</v>
      </c>
    </row>
    <row r="880">
      <c r="B880" s="3" t="s">
        <v>427</v>
      </c>
      <c r="C880" s="3" t="s">
        <v>427</v>
      </c>
      <c r="D880" s="3" t="str">
        <f>IFERROR(__xludf.DUMMYFUNCTION("""COMPUTED_VALUE"""),"")</f>
        <v/>
      </c>
      <c r="E880" s="3" t="s">
        <v>427</v>
      </c>
    </row>
    <row r="881">
      <c r="B881" s="3" t="s">
        <v>427</v>
      </c>
      <c r="C881" s="3" t="s">
        <v>427</v>
      </c>
      <c r="D881" s="3" t="str">
        <f>IFERROR(__xludf.DUMMYFUNCTION("""COMPUTED_VALUE"""),"")</f>
        <v/>
      </c>
      <c r="E881" s="3" t="s">
        <v>427</v>
      </c>
    </row>
    <row r="882">
      <c r="B882" s="3" t="s">
        <v>427</v>
      </c>
      <c r="C882" s="3" t="s">
        <v>427</v>
      </c>
      <c r="D882" s="3" t="str">
        <f>IFERROR(__xludf.DUMMYFUNCTION("""COMPUTED_VALUE"""),"")</f>
        <v/>
      </c>
      <c r="E882" s="3" t="s">
        <v>427</v>
      </c>
    </row>
    <row r="883">
      <c r="B883" s="3" t="s">
        <v>427</v>
      </c>
      <c r="C883" s="3" t="s">
        <v>427</v>
      </c>
      <c r="D883" s="3" t="str">
        <f>IFERROR(__xludf.DUMMYFUNCTION("""COMPUTED_VALUE"""),"")</f>
        <v/>
      </c>
      <c r="E883" s="3" t="s">
        <v>427</v>
      </c>
    </row>
    <row r="884">
      <c r="B884" s="3" t="s">
        <v>427</v>
      </c>
      <c r="C884" s="3" t="s">
        <v>427</v>
      </c>
      <c r="D884" s="3" t="str">
        <f>IFERROR(__xludf.DUMMYFUNCTION("""COMPUTED_VALUE"""),"")</f>
        <v/>
      </c>
      <c r="E884" s="3" t="s">
        <v>427</v>
      </c>
    </row>
    <row r="885">
      <c r="B885" s="3" t="s">
        <v>427</v>
      </c>
      <c r="C885" s="3" t="s">
        <v>427</v>
      </c>
      <c r="D885" s="3" t="str">
        <f>IFERROR(__xludf.DUMMYFUNCTION("""COMPUTED_VALUE"""),"")</f>
        <v/>
      </c>
      <c r="E885" s="3" t="s">
        <v>427</v>
      </c>
    </row>
    <row r="886">
      <c r="B886" s="3" t="s">
        <v>427</v>
      </c>
      <c r="C886" s="3" t="s">
        <v>427</v>
      </c>
      <c r="D886" s="3" t="str">
        <f>IFERROR(__xludf.DUMMYFUNCTION("""COMPUTED_VALUE"""),"")</f>
        <v/>
      </c>
      <c r="E886" s="3" t="s">
        <v>427</v>
      </c>
    </row>
    <row r="887">
      <c r="B887" s="3" t="s">
        <v>427</v>
      </c>
      <c r="C887" s="3" t="s">
        <v>427</v>
      </c>
      <c r="D887" s="3" t="str">
        <f>IFERROR(__xludf.DUMMYFUNCTION("""COMPUTED_VALUE"""),"")</f>
        <v/>
      </c>
      <c r="E887" s="3" t="s">
        <v>427</v>
      </c>
    </row>
    <row r="888">
      <c r="B888" s="3" t="s">
        <v>427</v>
      </c>
      <c r="C888" s="3" t="s">
        <v>427</v>
      </c>
      <c r="D888" s="3" t="str">
        <f>IFERROR(__xludf.DUMMYFUNCTION("""COMPUTED_VALUE"""),"")</f>
        <v/>
      </c>
      <c r="E888" s="3" t="s">
        <v>427</v>
      </c>
    </row>
    <row r="889">
      <c r="B889" s="3" t="s">
        <v>427</v>
      </c>
      <c r="C889" s="3" t="s">
        <v>427</v>
      </c>
      <c r="D889" s="3" t="str">
        <f>IFERROR(__xludf.DUMMYFUNCTION("""COMPUTED_VALUE"""),"")</f>
        <v/>
      </c>
      <c r="E889" s="3" t="s">
        <v>427</v>
      </c>
    </row>
    <row r="890">
      <c r="B890" s="3" t="s">
        <v>427</v>
      </c>
      <c r="C890" s="3" t="s">
        <v>427</v>
      </c>
      <c r="D890" s="3" t="str">
        <f>IFERROR(__xludf.DUMMYFUNCTION("""COMPUTED_VALUE"""),"")</f>
        <v/>
      </c>
      <c r="E890" s="3" t="s">
        <v>427</v>
      </c>
    </row>
    <row r="891">
      <c r="B891" s="3" t="s">
        <v>427</v>
      </c>
      <c r="C891" s="3" t="s">
        <v>427</v>
      </c>
      <c r="D891" s="3" t="str">
        <f>IFERROR(__xludf.DUMMYFUNCTION("""COMPUTED_VALUE"""),"")</f>
        <v/>
      </c>
      <c r="E891" s="3" t="s">
        <v>427</v>
      </c>
    </row>
    <row r="892">
      <c r="B892" s="3" t="s">
        <v>427</v>
      </c>
      <c r="C892" s="3" t="s">
        <v>427</v>
      </c>
      <c r="D892" s="3" t="str">
        <f>IFERROR(__xludf.DUMMYFUNCTION("""COMPUTED_VALUE"""),"")</f>
        <v/>
      </c>
      <c r="E892" s="3" t="s">
        <v>427</v>
      </c>
    </row>
    <row r="893">
      <c r="B893" s="3" t="s">
        <v>427</v>
      </c>
      <c r="C893" s="3" t="s">
        <v>427</v>
      </c>
      <c r="D893" s="3" t="str">
        <f>IFERROR(__xludf.DUMMYFUNCTION("""COMPUTED_VALUE"""),"")</f>
        <v/>
      </c>
      <c r="E893" s="3" t="s">
        <v>427</v>
      </c>
    </row>
    <row r="894">
      <c r="B894" s="3" t="s">
        <v>427</v>
      </c>
      <c r="C894" s="3" t="s">
        <v>427</v>
      </c>
      <c r="D894" s="3" t="str">
        <f>IFERROR(__xludf.DUMMYFUNCTION("""COMPUTED_VALUE"""),"")</f>
        <v/>
      </c>
      <c r="E894" s="3" t="s">
        <v>427</v>
      </c>
    </row>
    <row r="895">
      <c r="B895" s="3" t="s">
        <v>427</v>
      </c>
      <c r="C895" s="3" t="s">
        <v>427</v>
      </c>
      <c r="D895" s="3" t="str">
        <f>IFERROR(__xludf.DUMMYFUNCTION("""COMPUTED_VALUE"""),"")</f>
        <v/>
      </c>
      <c r="E895" s="3" t="s">
        <v>427</v>
      </c>
    </row>
    <row r="896">
      <c r="B896" s="3" t="s">
        <v>427</v>
      </c>
      <c r="C896" s="3" t="s">
        <v>427</v>
      </c>
      <c r="D896" s="3" t="str">
        <f>IFERROR(__xludf.DUMMYFUNCTION("""COMPUTED_VALUE"""),"")</f>
        <v/>
      </c>
      <c r="E896" s="3" t="s">
        <v>427</v>
      </c>
    </row>
    <row r="897">
      <c r="B897" s="3" t="s">
        <v>427</v>
      </c>
      <c r="C897" s="3" t="s">
        <v>427</v>
      </c>
      <c r="D897" s="3" t="str">
        <f>IFERROR(__xludf.DUMMYFUNCTION("""COMPUTED_VALUE"""),"")</f>
        <v/>
      </c>
      <c r="E897" s="3" t="s">
        <v>427</v>
      </c>
    </row>
    <row r="898">
      <c r="B898" s="3" t="s">
        <v>427</v>
      </c>
      <c r="C898" s="3" t="s">
        <v>427</v>
      </c>
      <c r="D898" s="3" t="str">
        <f>IFERROR(__xludf.DUMMYFUNCTION("""COMPUTED_VALUE"""),"")</f>
        <v/>
      </c>
      <c r="E898" s="3" t="s">
        <v>427</v>
      </c>
    </row>
    <row r="899">
      <c r="B899" s="3" t="s">
        <v>427</v>
      </c>
      <c r="C899" s="3" t="s">
        <v>427</v>
      </c>
      <c r="D899" s="3" t="str">
        <f>IFERROR(__xludf.DUMMYFUNCTION("""COMPUTED_VALUE"""),"")</f>
        <v/>
      </c>
      <c r="E899" s="3" t="s">
        <v>427</v>
      </c>
    </row>
    <row r="900">
      <c r="B900" s="3" t="s">
        <v>427</v>
      </c>
      <c r="C900" s="3" t="s">
        <v>427</v>
      </c>
      <c r="D900" s="3" t="str">
        <f>IFERROR(__xludf.DUMMYFUNCTION("""COMPUTED_VALUE"""),"")</f>
        <v/>
      </c>
      <c r="E900" s="3" t="s">
        <v>427</v>
      </c>
    </row>
    <row r="901">
      <c r="B901" s="3" t="s">
        <v>427</v>
      </c>
      <c r="C901" s="3" t="s">
        <v>427</v>
      </c>
      <c r="D901" s="3" t="str">
        <f>IFERROR(__xludf.DUMMYFUNCTION("""COMPUTED_VALUE"""),"")</f>
        <v/>
      </c>
      <c r="E901" s="3" t="s">
        <v>427</v>
      </c>
    </row>
    <row r="902">
      <c r="B902" s="3" t="s">
        <v>427</v>
      </c>
      <c r="C902" s="3" t="s">
        <v>427</v>
      </c>
      <c r="D902" s="3" t="str">
        <f>IFERROR(__xludf.DUMMYFUNCTION("""COMPUTED_VALUE"""),"")</f>
        <v/>
      </c>
      <c r="E902" s="3" t="s">
        <v>427</v>
      </c>
    </row>
    <row r="903">
      <c r="B903" s="3" t="s">
        <v>427</v>
      </c>
      <c r="C903" s="3" t="s">
        <v>427</v>
      </c>
      <c r="D903" s="3" t="str">
        <f>IFERROR(__xludf.DUMMYFUNCTION("""COMPUTED_VALUE"""),"")</f>
        <v/>
      </c>
      <c r="E903" s="3" t="s">
        <v>427</v>
      </c>
    </row>
    <row r="904">
      <c r="B904" s="3" t="s">
        <v>427</v>
      </c>
      <c r="C904" s="3" t="s">
        <v>427</v>
      </c>
      <c r="D904" s="3" t="str">
        <f>IFERROR(__xludf.DUMMYFUNCTION("""COMPUTED_VALUE"""),"")</f>
        <v/>
      </c>
      <c r="E904" s="3" t="s">
        <v>427</v>
      </c>
    </row>
    <row r="905">
      <c r="B905" s="3" t="s">
        <v>427</v>
      </c>
      <c r="C905" s="3" t="s">
        <v>427</v>
      </c>
      <c r="D905" s="3" t="str">
        <f>IFERROR(__xludf.DUMMYFUNCTION("""COMPUTED_VALUE"""),"")</f>
        <v/>
      </c>
      <c r="E905" s="3" t="s">
        <v>427</v>
      </c>
    </row>
    <row r="906">
      <c r="B906" s="3" t="s">
        <v>427</v>
      </c>
      <c r="C906" s="3" t="s">
        <v>427</v>
      </c>
      <c r="D906" s="3" t="str">
        <f>IFERROR(__xludf.DUMMYFUNCTION("""COMPUTED_VALUE"""),"")</f>
        <v/>
      </c>
      <c r="E906" s="3" t="s">
        <v>427</v>
      </c>
    </row>
    <row r="907">
      <c r="B907" s="3" t="s">
        <v>427</v>
      </c>
      <c r="C907" s="3" t="s">
        <v>427</v>
      </c>
      <c r="D907" s="3" t="str">
        <f>IFERROR(__xludf.DUMMYFUNCTION("""COMPUTED_VALUE"""),"")</f>
        <v/>
      </c>
      <c r="E907" s="3" t="s">
        <v>427</v>
      </c>
    </row>
    <row r="908">
      <c r="B908" s="3" t="s">
        <v>427</v>
      </c>
      <c r="C908" s="3" t="s">
        <v>427</v>
      </c>
      <c r="D908" s="3" t="str">
        <f>IFERROR(__xludf.DUMMYFUNCTION("""COMPUTED_VALUE"""),"")</f>
        <v/>
      </c>
      <c r="E908" s="3" t="s">
        <v>427</v>
      </c>
    </row>
    <row r="909">
      <c r="B909" s="3" t="s">
        <v>427</v>
      </c>
      <c r="C909" s="3" t="s">
        <v>427</v>
      </c>
      <c r="D909" s="3" t="str">
        <f>IFERROR(__xludf.DUMMYFUNCTION("""COMPUTED_VALUE"""),"")</f>
        <v/>
      </c>
      <c r="E909" s="3" t="s">
        <v>427</v>
      </c>
    </row>
    <row r="910">
      <c r="B910" s="3" t="s">
        <v>427</v>
      </c>
      <c r="C910" s="3" t="s">
        <v>427</v>
      </c>
      <c r="D910" s="3" t="str">
        <f>IFERROR(__xludf.DUMMYFUNCTION("""COMPUTED_VALUE"""),"")</f>
        <v/>
      </c>
      <c r="E910" s="3" t="s">
        <v>427</v>
      </c>
    </row>
    <row r="911">
      <c r="B911" s="3" t="s">
        <v>427</v>
      </c>
      <c r="C911" s="3" t="s">
        <v>427</v>
      </c>
      <c r="D911" s="3" t="str">
        <f>IFERROR(__xludf.DUMMYFUNCTION("""COMPUTED_VALUE"""),"")</f>
        <v/>
      </c>
      <c r="E911" s="3" t="s">
        <v>427</v>
      </c>
    </row>
    <row r="912">
      <c r="B912" s="3" t="s">
        <v>427</v>
      </c>
      <c r="C912" s="3" t="s">
        <v>427</v>
      </c>
      <c r="D912" s="3" t="str">
        <f>IFERROR(__xludf.DUMMYFUNCTION("""COMPUTED_VALUE"""),"")</f>
        <v/>
      </c>
      <c r="E912" s="3" t="s">
        <v>427</v>
      </c>
    </row>
    <row r="913">
      <c r="B913" s="3" t="s">
        <v>427</v>
      </c>
      <c r="C913" s="3" t="s">
        <v>427</v>
      </c>
      <c r="D913" s="3" t="str">
        <f>IFERROR(__xludf.DUMMYFUNCTION("""COMPUTED_VALUE"""),"")</f>
        <v/>
      </c>
      <c r="E913" s="3" t="s">
        <v>427</v>
      </c>
    </row>
    <row r="914">
      <c r="B914" s="3" t="s">
        <v>427</v>
      </c>
      <c r="C914" s="3" t="s">
        <v>427</v>
      </c>
      <c r="D914" s="3" t="str">
        <f>IFERROR(__xludf.DUMMYFUNCTION("""COMPUTED_VALUE"""),"")</f>
        <v/>
      </c>
      <c r="E914" s="3" t="s">
        <v>427</v>
      </c>
    </row>
    <row r="915">
      <c r="B915" s="3" t="s">
        <v>427</v>
      </c>
      <c r="C915" s="3" t="s">
        <v>427</v>
      </c>
      <c r="D915" s="3" t="str">
        <f>IFERROR(__xludf.DUMMYFUNCTION("""COMPUTED_VALUE"""),"")</f>
        <v/>
      </c>
      <c r="E915" s="3" t="s">
        <v>427</v>
      </c>
    </row>
    <row r="916">
      <c r="B916" s="3" t="s">
        <v>427</v>
      </c>
      <c r="C916" s="3" t="s">
        <v>427</v>
      </c>
      <c r="D916" s="3" t="str">
        <f>IFERROR(__xludf.DUMMYFUNCTION("""COMPUTED_VALUE"""),"")</f>
        <v/>
      </c>
      <c r="E916" s="3" t="s">
        <v>427</v>
      </c>
    </row>
    <row r="917">
      <c r="B917" s="3" t="s">
        <v>427</v>
      </c>
      <c r="C917" s="3" t="s">
        <v>427</v>
      </c>
      <c r="D917" s="3" t="str">
        <f>IFERROR(__xludf.DUMMYFUNCTION("""COMPUTED_VALUE"""),"")</f>
        <v/>
      </c>
      <c r="E917" s="3" t="s">
        <v>427</v>
      </c>
    </row>
    <row r="918">
      <c r="B918" s="3" t="s">
        <v>427</v>
      </c>
      <c r="C918" s="3" t="s">
        <v>427</v>
      </c>
      <c r="D918" s="3" t="str">
        <f>IFERROR(__xludf.DUMMYFUNCTION("""COMPUTED_VALUE"""),"")</f>
        <v/>
      </c>
      <c r="E918" s="3" t="s">
        <v>427</v>
      </c>
    </row>
    <row r="919">
      <c r="B919" s="3" t="s">
        <v>427</v>
      </c>
      <c r="C919" s="3" t="s">
        <v>427</v>
      </c>
      <c r="D919" s="3" t="str">
        <f>IFERROR(__xludf.DUMMYFUNCTION("""COMPUTED_VALUE"""),"")</f>
        <v/>
      </c>
      <c r="E919" s="3" t="s">
        <v>427</v>
      </c>
    </row>
    <row r="920">
      <c r="B920" s="3" t="s">
        <v>427</v>
      </c>
      <c r="C920" s="3" t="s">
        <v>427</v>
      </c>
      <c r="D920" s="3" t="str">
        <f>IFERROR(__xludf.DUMMYFUNCTION("""COMPUTED_VALUE"""),"")</f>
        <v/>
      </c>
      <c r="E920" s="3" t="s">
        <v>427</v>
      </c>
    </row>
    <row r="921">
      <c r="B921" s="3" t="s">
        <v>427</v>
      </c>
      <c r="C921" s="3" t="s">
        <v>427</v>
      </c>
      <c r="D921" s="3" t="str">
        <f>IFERROR(__xludf.DUMMYFUNCTION("""COMPUTED_VALUE"""),"")</f>
        <v/>
      </c>
      <c r="E921" s="3" t="s">
        <v>427</v>
      </c>
    </row>
    <row r="922">
      <c r="B922" s="3" t="s">
        <v>427</v>
      </c>
      <c r="C922" s="3" t="s">
        <v>427</v>
      </c>
      <c r="D922" s="3" t="str">
        <f>IFERROR(__xludf.DUMMYFUNCTION("""COMPUTED_VALUE"""),"")</f>
        <v/>
      </c>
      <c r="E922" s="3" t="s">
        <v>427</v>
      </c>
    </row>
    <row r="923">
      <c r="B923" s="3" t="s">
        <v>427</v>
      </c>
      <c r="C923" s="3" t="s">
        <v>427</v>
      </c>
      <c r="D923" s="3" t="str">
        <f>IFERROR(__xludf.DUMMYFUNCTION("""COMPUTED_VALUE"""),"")</f>
        <v/>
      </c>
      <c r="E923" s="3" t="s">
        <v>427</v>
      </c>
    </row>
    <row r="924">
      <c r="B924" s="3" t="s">
        <v>427</v>
      </c>
      <c r="C924" s="3" t="s">
        <v>427</v>
      </c>
      <c r="D924" s="3" t="str">
        <f>IFERROR(__xludf.DUMMYFUNCTION("""COMPUTED_VALUE"""),"")</f>
        <v/>
      </c>
      <c r="E924" s="3" t="s">
        <v>427</v>
      </c>
    </row>
    <row r="925">
      <c r="B925" s="3" t="s">
        <v>427</v>
      </c>
      <c r="C925" s="3" t="s">
        <v>427</v>
      </c>
      <c r="D925" s="3" t="str">
        <f>IFERROR(__xludf.DUMMYFUNCTION("""COMPUTED_VALUE"""),"")</f>
        <v/>
      </c>
      <c r="E925" s="3" t="s">
        <v>427</v>
      </c>
    </row>
    <row r="926">
      <c r="B926" s="3" t="s">
        <v>427</v>
      </c>
      <c r="C926" s="3" t="s">
        <v>427</v>
      </c>
      <c r="D926" s="3" t="str">
        <f>IFERROR(__xludf.DUMMYFUNCTION("""COMPUTED_VALUE"""),"")</f>
        <v/>
      </c>
      <c r="E926" s="3" t="s">
        <v>427</v>
      </c>
    </row>
    <row r="927">
      <c r="B927" s="3" t="s">
        <v>427</v>
      </c>
      <c r="C927" s="3" t="s">
        <v>427</v>
      </c>
      <c r="D927" s="3" t="str">
        <f>IFERROR(__xludf.DUMMYFUNCTION("""COMPUTED_VALUE"""),"")</f>
        <v/>
      </c>
      <c r="E927" s="3" t="s">
        <v>427</v>
      </c>
    </row>
    <row r="928">
      <c r="B928" s="3" t="s">
        <v>427</v>
      </c>
      <c r="C928" s="3" t="s">
        <v>427</v>
      </c>
      <c r="D928" s="3" t="str">
        <f>IFERROR(__xludf.DUMMYFUNCTION("""COMPUTED_VALUE"""),"")</f>
        <v/>
      </c>
      <c r="E928" s="3" t="s">
        <v>427</v>
      </c>
    </row>
    <row r="929">
      <c r="B929" s="3" t="s">
        <v>427</v>
      </c>
      <c r="C929" s="3" t="s">
        <v>427</v>
      </c>
      <c r="D929" s="3" t="str">
        <f>IFERROR(__xludf.DUMMYFUNCTION("""COMPUTED_VALUE"""),"")</f>
        <v/>
      </c>
      <c r="E929" s="3" t="s">
        <v>427</v>
      </c>
    </row>
    <row r="930">
      <c r="B930" s="3" t="s">
        <v>427</v>
      </c>
      <c r="C930" s="3" t="s">
        <v>427</v>
      </c>
      <c r="D930" s="3" t="str">
        <f>IFERROR(__xludf.DUMMYFUNCTION("""COMPUTED_VALUE"""),"")</f>
        <v/>
      </c>
      <c r="E930" s="3" t="s">
        <v>427</v>
      </c>
    </row>
    <row r="931">
      <c r="B931" s="3" t="s">
        <v>427</v>
      </c>
      <c r="C931" s="3" t="s">
        <v>427</v>
      </c>
      <c r="D931" s="3" t="str">
        <f>IFERROR(__xludf.DUMMYFUNCTION("""COMPUTED_VALUE"""),"")</f>
        <v/>
      </c>
      <c r="E931" s="3" t="s">
        <v>427</v>
      </c>
    </row>
    <row r="932">
      <c r="B932" s="3" t="s">
        <v>427</v>
      </c>
      <c r="C932" s="3" t="s">
        <v>427</v>
      </c>
      <c r="D932" s="3" t="str">
        <f>IFERROR(__xludf.DUMMYFUNCTION("""COMPUTED_VALUE"""),"")</f>
        <v/>
      </c>
      <c r="E932" s="3" t="s">
        <v>427</v>
      </c>
    </row>
    <row r="933">
      <c r="B933" s="3" t="s">
        <v>427</v>
      </c>
      <c r="C933" s="3" t="s">
        <v>427</v>
      </c>
      <c r="D933" s="3" t="str">
        <f>IFERROR(__xludf.DUMMYFUNCTION("""COMPUTED_VALUE"""),"")</f>
        <v/>
      </c>
      <c r="E933" s="3" t="s">
        <v>427</v>
      </c>
    </row>
    <row r="934">
      <c r="B934" s="3" t="s">
        <v>427</v>
      </c>
      <c r="C934" s="3" t="s">
        <v>427</v>
      </c>
      <c r="D934" s="3" t="str">
        <f>IFERROR(__xludf.DUMMYFUNCTION("""COMPUTED_VALUE"""),"")</f>
        <v/>
      </c>
      <c r="E934" s="3" t="s">
        <v>427</v>
      </c>
    </row>
    <row r="935">
      <c r="B935" s="3" t="s">
        <v>427</v>
      </c>
      <c r="C935" s="3" t="s">
        <v>427</v>
      </c>
      <c r="D935" s="3" t="str">
        <f>IFERROR(__xludf.DUMMYFUNCTION("""COMPUTED_VALUE"""),"")</f>
        <v/>
      </c>
      <c r="E935" s="3" t="s">
        <v>427</v>
      </c>
    </row>
    <row r="936">
      <c r="B936" s="3" t="s">
        <v>427</v>
      </c>
      <c r="C936" s="3" t="s">
        <v>427</v>
      </c>
      <c r="D936" s="3" t="str">
        <f>IFERROR(__xludf.DUMMYFUNCTION("""COMPUTED_VALUE"""),"")</f>
        <v/>
      </c>
      <c r="E936" s="3" t="s">
        <v>427</v>
      </c>
    </row>
    <row r="937">
      <c r="B937" s="3" t="s">
        <v>427</v>
      </c>
      <c r="C937" s="3" t="s">
        <v>427</v>
      </c>
      <c r="D937" s="3" t="str">
        <f>IFERROR(__xludf.DUMMYFUNCTION("""COMPUTED_VALUE"""),"")</f>
        <v/>
      </c>
      <c r="E937" s="3" t="s">
        <v>427</v>
      </c>
    </row>
    <row r="938">
      <c r="B938" s="3" t="s">
        <v>427</v>
      </c>
      <c r="C938" s="3" t="s">
        <v>427</v>
      </c>
      <c r="D938" s="3" t="str">
        <f>IFERROR(__xludf.DUMMYFUNCTION("""COMPUTED_VALUE"""),"")</f>
        <v/>
      </c>
      <c r="E938" s="3" t="s">
        <v>427</v>
      </c>
    </row>
    <row r="939">
      <c r="B939" s="3" t="s">
        <v>427</v>
      </c>
      <c r="C939" s="3" t="s">
        <v>427</v>
      </c>
      <c r="D939" s="3" t="str">
        <f>IFERROR(__xludf.DUMMYFUNCTION("""COMPUTED_VALUE"""),"")</f>
        <v/>
      </c>
      <c r="E939" s="3" t="s">
        <v>427</v>
      </c>
    </row>
    <row r="940">
      <c r="B940" s="3" t="s">
        <v>427</v>
      </c>
      <c r="C940" s="3" t="s">
        <v>427</v>
      </c>
      <c r="D940" s="3" t="str">
        <f>IFERROR(__xludf.DUMMYFUNCTION("""COMPUTED_VALUE"""),"")</f>
        <v/>
      </c>
      <c r="E940" s="3" t="s">
        <v>427</v>
      </c>
    </row>
    <row r="941">
      <c r="B941" s="3" t="s">
        <v>427</v>
      </c>
      <c r="C941" s="3" t="s">
        <v>427</v>
      </c>
      <c r="D941" s="3" t="str">
        <f>IFERROR(__xludf.DUMMYFUNCTION("""COMPUTED_VALUE"""),"")</f>
        <v/>
      </c>
      <c r="E941" s="3" t="s">
        <v>427</v>
      </c>
    </row>
    <row r="942">
      <c r="B942" s="3" t="s">
        <v>427</v>
      </c>
      <c r="C942" s="3" t="s">
        <v>427</v>
      </c>
      <c r="D942" s="3" t="str">
        <f>IFERROR(__xludf.DUMMYFUNCTION("""COMPUTED_VALUE"""),"")</f>
        <v/>
      </c>
      <c r="E942" s="3" t="s">
        <v>427</v>
      </c>
    </row>
    <row r="943">
      <c r="B943" s="3" t="s">
        <v>427</v>
      </c>
      <c r="C943" s="3" t="s">
        <v>427</v>
      </c>
      <c r="D943" s="3" t="str">
        <f>IFERROR(__xludf.DUMMYFUNCTION("""COMPUTED_VALUE"""),"")</f>
        <v/>
      </c>
      <c r="E943" s="3" t="s">
        <v>427</v>
      </c>
    </row>
    <row r="944">
      <c r="B944" s="3" t="s">
        <v>427</v>
      </c>
      <c r="C944" s="3" t="s">
        <v>427</v>
      </c>
      <c r="D944" s="3" t="str">
        <f>IFERROR(__xludf.DUMMYFUNCTION("""COMPUTED_VALUE"""),"")</f>
        <v/>
      </c>
      <c r="E944" s="3" t="s">
        <v>427</v>
      </c>
    </row>
    <row r="945">
      <c r="B945" s="3" t="s">
        <v>427</v>
      </c>
      <c r="C945" s="3" t="s">
        <v>427</v>
      </c>
      <c r="D945" s="3" t="str">
        <f>IFERROR(__xludf.DUMMYFUNCTION("""COMPUTED_VALUE"""),"")</f>
        <v/>
      </c>
      <c r="E945" s="3" t="s">
        <v>427</v>
      </c>
    </row>
    <row r="946">
      <c r="B946" s="3" t="s">
        <v>427</v>
      </c>
      <c r="C946" s="3" t="s">
        <v>427</v>
      </c>
      <c r="D946" s="3" t="str">
        <f>IFERROR(__xludf.DUMMYFUNCTION("""COMPUTED_VALUE"""),"")</f>
        <v/>
      </c>
      <c r="E946" s="3" t="s">
        <v>427</v>
      </c>
    </row>
    <row r="947">
      <c r="B947" s="3" t="s">
        <v>427</v>
      </c>
      <c r="C947" s="3" t="s">
        <v>427</v>
      </c>
      <c r="D947" s="3" t="str">
        <f>IFERROR(__xludf.DUMMYFUNCTION("""COMPUTED_VALUE"""),"")</f>
        <v/>
      </c>
      <c r="E947" s="3" t="s">
        <v>427</v>
      </c>
    </row>
    <row r="948">
      <c r="B948" s="3" t="s">
        <v>427</v>
      </c>
      <c r="C948" s="3" t="s">
        <v>427</v>
      </c>
      <c r="D948" s="3" t="str">
        <f>IFERROR(__xludf.DUMMYFUNCTION("""COMPUTED_VALUE"""),"")</f>
        <v/>
      </c>
      <c r="E948" s="3" t="s">
        <v>427</v>
      </c>
    </row>
    <row r="949">
      <c r="B949" s="3" t="s">
        <v>427</v>
      </c>
      <c r="C949" s="3" t="s">
        <v>427</v>
      </c>
      <c r="D949" s="3" t="str">
        <f>IFERROR(__xludf.DUMMYFUNCTION("""COMPUTED_VALUE"""),"")</f>
        <v/>
      </c>
      <c r="E949" s="3" t="s">
        <v>427</v>
      </c>
    </row>
    <row r="950">
      <c r="B950" s="3" t="s">
        <v>427</v>
      </c>
      <c r="C950" s="3" t="s">
        <v>427</v>
      </c>
      <c r="D950" s="3" t="str">
        <f>IFERROR(__xludf.DUMMYFUNCTION("""COMPUTED_VALUE"""),"")</f>
        <v/>
      </c>
      <c r="E950" s="3" t="s">
        <v>427</v>
      </c>
    </row>
    <row r="951">
      <c r="B951" s="3" t="s">
        <v>427</v>
      </c>
      <c r="C951" s="3" t="s">
        <v>427</v>
      </c>
      <c r="D951" s="3" t="str">
        <f>IFERROR(__xludf.DUMMYFUNCTION("""COMPUTED_VALUE"""),"")</f>
        <v/>
      </c>
      <c r="E951" s="3" t="s">
        <v>427</v>
      </c>
    </row>
    <row r="952">
      <c r="B952" s="3" t="s">
        <v>427</v>
      </c>
      <c r="C952" s="3" t="s">
        <v>427</v>
      </c>
      <c r="D952" s="3" t="str">
        <f>IFERROR(__xludf.DUMMYFUNCTION("""COMPUTED_VALUE"""),"")</f>
        <v/>
      </c>
      <c r="E952" s="3" t="s">
        <v>427</v>
      </c>
    </row>
    <row r="953">
      <c r="B953" s="3" t="s">
        <v>427</v>
      </c>
      <c r="C953" s="3" t="s">
        <v>427</v>
      </c>
      <c r="D953" s="3" t="str">
        <f>IFERROR(__xludf.DUMMYFUNCTION("""COMPUTED_VALUE"""),"")</f>
        <v/>
      </c>
      <c r="E953" s="3" t="s">
        <v>427</v>
      </c>
    </row>
    <row r="954">
      <c r="B954" s="3" t="s">
        <v>427</v>
      </c>
      <c r="C954" s="3" t="s">
        <v>427</v>
      </c>
      <c r="D954" s="3" t="str">
        <f>IFERROR(__xludf.DUMMYFUNCTION("""COMPUTED_VALUE"""),"")</f>
        <v/>
      </c>
      <c r="E954" s="3" t="s">
        <v>427</v>
      </c>
    </row>
    <row r="955">
      <c r="B955" s="3" t="s">
        <v>427</v>
      </c>
      <c r="C955" s="3" t="s">
        <v>427</v>
      </c>
      <c r="D955" s="3" t="str">
        <f>IFERROR(__xludf.DUMMYFUNCTION("""COMPUTED_VALUE"""),"")</f>
        <v/>
      </c>
      <c r="E955" s="3" t="s">
        <v>427</v>
      </c>
    </row>
    <row r="956">
      <c r="B956" s="3" t="s">
        <v>427</v>
      </c>
      <c r="C956" s="3" t="s">
        <v>427</v>
      </c>
      <c r="D956" s="3" t="str">
        <f>IFERROR(__xludf.DUMMYFUNCTION("""COMPUTED_VALUE"""),"")</f>
        <v/>
      </c>
      <c r="E956" s="3" t="s">
        <v>427</v>
      </c>
    </row>
    <row r="957">
      <c r="B957" s="3" t="s">
        <v>427</v>
      </c>
      <c r="C957" s="3" t="s">
        <v>427</v>
      </c>
      <c r="D957" s="3" t="str">
        <f>IFERROR(__xludf.DUMMYFUNCTION("""COMPUTED_VALUE"""),"")</f>
        <v/>
      </c>
      <c r="E957" s="3" t="s">
        <v>427</v>
      </c>
    </row>
    <row r="958">
      <c r="B958" s="3" t="s">
        <v>427</v>
      </c>
      <c r="C958" s="3" t="s">
        <v>427</v>
      </c>
      <c r="D958" s="3" t="str">
        <f>IFERROR(__xludf.DUMMYFUNCTION("""COMPUTED_VALUE"""),"")</f>
        <v/>
      </c>
      <c r="E958" s="3" t="s">
        <v>427</v>
      </c>
    </row>
    <row r="959">
      <c r="B959" s="3" t="s">
        <v>427</v>
      </c>
      <c r="C959" s="3" t="s">
        <v>427</v>
      </c>
      <c r="D959" s="3" t="str">
        <f>IFERROR(__xludf.DUMMYFUNCTION("""COMPUTED_VALUE"""),"")</f>
        <v/>
      </c>
      <c r="E959" s="3" t="s">
        <v>427</v>
      </c>
    </row>
    <row r="960">
      <c r="B960" s="3" t="s">
        <v>427</v>
      </c>
      <c r="C960" s="3" t="s">
        <v>427</v>
      </c>
      <c r="D960" s="3" t="str">
        <f>IFERROR(__xludf.DUMMYFUNCTION("""COMPUTED_VALUE"""),"")</f>
        <v/>
      </c>
      <c r="E960" s="3" t="s">
        <v>427</v>
      </c>
    </row>
    <row r="961">
      <c r="B961" s="3" t="s">
        <v>427</v>
      </c>
      <c r="C961" s="3" t="s">
        <v>427</v>
      </c>
      <c r="D961" s="3" t="str">
        <f>IFERROR(__xludf.DUMMYFUNCTION("""COMPUTED_VALUE"""),"")</f>
        <v/>
      </c>
      <c r="E961" s="3" t="s">
        <v>427</v>
      </c>
    </row>
    <row r="962">
      <c r="B962" s="3" t="s">
        <v>427</v>
      </c>
      <c r="C962" s="3" t="s">
        <v>427</v>
      </c>
      <c r="D962" s="3" t="str">
        <f>IFERROR(__xludf.DUMMYFUNCTION("""COMPUTED_VALUE"""),"")</f>
        <v/>
      </c>
      <c r="E962" s="3" t="s">
        <v>427</v>
      </c>
    </row>
    <row r="963">
      <c r="B963" s="3" t="s">
        <v>427</v>
      </c>
      <c r="C963" s="3" t="s">
        <v>427</v>
      </c>
      <c r="D963" s="3" t="str">
        <f>IFERROR(__xludf.DUMMYFUNCTION("""COMPUTED_VALUE"""),"")</f>
        <v/>
      </c>
      <c r="E963" s="3" t="s">
        <v>427</v>
      </c>
    </row>
    <row r="964">
      <c r="B964" s="3" t="s">
        <v>427</v>
      </c>
      <c r="C964" s="3" t="s">
        <v>427</v>
      </c>
      <c r="D964" s="3" t="str">
        <f>IFERROR(__xludf.DUMMYFUNCTION("""COMPUTED_VALUE"""),"")</f>
        <v/>
      </c>
      <c r="E964" s="3" t="s">
        <v>427</v>
      </c>
    </row>
    <row r="965">
      <c r="B965" s="3" t="s">
        <v>427</v>
      </c>
      <c r="C965" s="3" t="s">
        <v>427</v>
      </c>
      <c r="D965" s="3" t="str">
        <f>IFERROR(__xludf.DUMMYFUNCTION("""COMPUTED_VALUE"""),"")</f>
        <v/>
      </c>
      <c r="E965" s="3" t="s">
        <v>427</v>
      </c>
    </row>
    <row r="966">
      <c r="B966" s="3" t="s">
        <v>427</v>
      </c>
      <c r="C966" s="3" t="s">
        <v>427</v>
      </c>
      <c r="D966" s="3" t="str">
        <f>IFERROR(__xludf.DUMMYFUNCTION("""COMPUTED_VALUE"""),"")</f>
        <v/>
      </c>
      <c r="E966" s="3" t="s">
        <v>427</v>
      </c>
    </row>
    <row r="967">
      <c r="B967" s="3" t="s">
        <v>427</v>
      </c>
      <c r="C967" s="3" t="s">
        <v>427</v>
      </c>
      <c r="D967" s="3" t="str">
        <f>IFERROR(__xludf.DUMMYFUNCTION("""COMPUTED_VALUE"""),"")</f>
        <v/>
      </c>
      <c r="E967" s="3" t="s">
        <v>427</v>
      </c>
    </row>
    <row r="968">
      <c r="B968" s="3" t="s">
        <v>427</v>
      </c>
      <c r="C968" s="3" t="s">
        <v>427</v>
      </c>
      <c r="D968" s="3" t="str">
        <f>IFERROR(__xludf.DUMMYFUNCTION("""COMPUTED_VALUE"""),"")</f>
        <v/>
      </c>
      <c r="E968" s="3" t="s">
        <v>427</v>
      </c>
    </row>
    <row r="969">
      <c r="B969" s="3" t="s">
        <v>427</v>
      </c>
      <c r="C969" s="3" t="s">
        <v>427</v>
      </c>
      <c r="D969" s="3" t="str">
        <f>IFERROR(__xludf.DUMMYFUNCTION("""COMPUTED_VALUE"""),"")</f>
        <v/>
      </c>
      <c r="E969" s="3" t="s">
        <v>427</v>
      </c>
    </row>
    <row r="970">
      <c r="B970" s="3" t="s">
        <v>427</v>
      </c>
      <c r="C970" s="3" t="s">
        <v>427</v>
      </c>
      <c r="D970" s="3" t="str">
        <f>IFERROR(__xludf.DUMMYFUNCTION("""COMPUTED_VALUE"""),"")</f>
        <v/>
      </c>
      <c r="E970" s="3" t="s">
        <v>427</v>
      </c>
    </row>
    <row r="971">
      <c r="B971" s="3" t="s">
        <v>427</v>
      </c>
      <c r="C971" s="3" t="s">
        <v>427</v>
      </c>
      <c r="D971" s="3" t="str">
        <f>IFERROR(__xludf.DUMMYFUNCTION("""COMPUTED_VALUE"""),"")</f>
        <v/>
      </c>
      <c r="E971" s="3" t="s">
        <v>427</v>
      </c>
    </row>
    <row r="972">
      <c r="B972" s="3" t="s">
        <v>427</v>
      </c>
      <c r="C972" s="3" t="s">
        <v>427</v>
      </c>
      <c r="D972" s="3" t="str">
        <f>IFERROR(__xludf.DUMMYFUNCTION("""COMPUTED_VALUE"""),"")</f>
        <v/>
      </c>
      <c r="E972" s="3" t="s">
        <v>427</v>
      </c>
    </row>
    <row r="973">
      <c r="B973" s="3" t="s">
        <v>427</v>
      </c>
      <c r="C973" s="3" t="s">
        <v>427</v>
      </c>
      <c r="D973" s="3" t="str">
        <f>IFERROR(__xludf.DUMMYFUNCTION("""COMPUTED_VALUE"""),"")</f>
        <v/>
      </c>
      <c r="E973" s="3" t="s">
        <v>427</v>
      </c>
    </row>
    <row r="974">
      <c r="B974" s="3" t="s">
        <v>427</v>
      </c>
      <c r="C974" s="3" t="s">
        <v>427</v>
      </c>
      <c r="D974" s="3" t="str">
        <f>IFERROR(__xludf.DUMMYFUNCTION("""COMPUTED_VALUE"""),"")</f>
        <v/>
      </c>
      <c r="E974" s="3" t="s">
        <v>427</v>
      </c>
    </row>
    <row r="975">
      <c r="B975" s="3" t="s">
        <v>427</v>
      </c>
      <c r="C975" s="3" t="s">
        <v>427</v>
      </c>
      <c r="D975" s="3" t="str">
        <f>IFERROR(__xludf.DUMMYFUNCTION("""COMPUTED_VALUE"""),"")</f>
        <v/>
      </c>
      <c r="E975" s="3" t="s">
        <v>427</v>
      </c>
    </row>
    <row r="976">
      <c r="B976" s="3" t="s">
        <v>427</v>
      </c>
      <c r="C976" s="3" t="s">
        <v>427</v>
      </c>
      <c r="D976" s="3" t="str">
        <f>IFERROR(__xludf.DUMMYFUNCTION("""COMPUTED_VALUE"""),"")</f>
        <v/>
      </c>
      <c r="E976" s="3" t="s">
        <v>427</v>
      </c>
    </row>
    <row r="977">
      <c r="B977" s="3" t="s">
        <v>427</v>
      </c>
      <c r="C977" s="3" t="s">
        <v>427</v>
      </c>
      <c r="D977" s="3" t="str">
        <f>IFERROR(__xludf.DUMMYFUNCTION("""COMPUTED_VALUE"""),"")</f>
        <v/>
      </c>
      <c r="E977" s="3" t="s">
        <v>427</v>
      </c>
    </row>
    <row r="978">
      <c r="B978" s="3" t="s">
        <v>427</v>
      </c>
      <c r="C978" s="3" t="s">
        <v>427</v>
      </c>
      <c r="D978" s="3" t="str">
        <f>IFERROR(__xludf.DUMMYFUNCTION("""COMPUTED_VALUE"""),"")</f>
        <v/>
      </c>
      <c r="E978" s="3" t="s">
        <v>427</v>
      </c>
    </row>
    <row r="979">
      <c r="B979" s="3" t="s">
        <v>427</v>
      </c>
      <c r="C979" s="3" t="s">
        <v>427</v>
      </c>
      <c r="D979" s="3" t="str">
        <f>IFERROR(__xludf.DUMMYFUNCTION("""COMPUTED_VALUE"""),"")</f>
        <v/>
      </c>
      <c r="E979" s="3" t="s">
        <v>427</v>
      </c>
    </row>
    <row r="980">
      <c r="B980" s="3" t="s">
        <v>427</v>
      </c>
      <c r="C980" s="3" t="s">
        <v>427</v>
      </c>
      <c r="D980" s="3" t="str">
        <f>IFERROR(__xludf.DUMMYFUNCTION("""COMPUTED_VALUE"""),"")</f>
        <v/>
      </c>
      <c r="E980" s="3" t="s">
        <v>427</v>
      </c>
    </row>
    <row r="981">
      <c r="B981" s="3" t="s">
        <v>427</v>
      </c>
      <c r="C981" s="3" t="s">
        <v>427</v>
      </c>
      <c r="D981" s="3" t="str">
        <f>IFERROR(__xludf.DUMMYFUNCTION("""COMPUTED_VALUE"""),"")</f>
        <v/>
      </c>
      <c r="E981" s="3" t="s">
        <v>427</v>
      </c>
    </row>
    <row r="982">
      <c r="B982" s="3" t="s">
        <v>427</v>
      </c>
      <c r="C982" s="3" t="s">
        <v>427</v>
      </c>
      <c r="D982" s="3" t="str">
        <f>IFERROR(__xludf.DUMMYFUNCTION("""COMPUTED_VALUE"""),"")</f>
        <v/>
      </c>
      <c r="E982" s="3" t="s">
        <v>427</v>
      </c>
    </row>
    <row r="983">
      <c r="B983" s="3" t="s">
        <v>427</v>
      </c>
      <c r="C983" s="3" t="s">
        <v>427</v>
      </c>
      <c r="D983" s="3" t="str">
        <f>IFERROR(__xludf.DUMMYFUNCTION("""COMPUTED_VALUE"""),"")</f>
        <v/>
      </c>
      <c r="E983" s="3" t="s">
        <v>427</v>
      </c>
    </row>
    <row r="984">
      <c r="B984" s="3" t="s">
        <v>427</v>
      </c>
      <c r="C984" s="3" t="s">
        <v>427</v>
      </c>
      <c r="D984" s="3" t="str">
        <f>IFERROR(__xludf.DUMMYFUNCTION("""COMPUTED_VALUE"""),"")</f>
        <v/>
      </c>
      <c r="E984" s="3" t="s">
        <v>427</v>
      </c>
    </row>
    <row r="985">
      <c r="B985" s="3" t="s">
        <v>427</v>
      </c>
      <c r="C985" s="3" t="s">
        <v>427</v>
      </c>
      <c r="D985" s="3" t="str">
        <f>IFERROR(__xludf.DUMMYFUNCTION("""COMPUTED_VALUE"""),"")</f>
        <v/>
      </c>
      <c r="E985" s="3" t="s">
        <v>427</v>
      </c>
    </row>
    <row r="986">
      <c r="B986" s="3" t="s">
        <v>427</v>
      </c>
      <c r="C986" s="3" t="s">
        <v>427</v>
      </c>
      <c r="D986" s="3" t="str">
        <f>IFERROR(__xludf.DUMMYFUNCTION("""COMPUTED_VALUE"""),"")</f>
        <v/>
      </c>
      <c r="E986" s="3" t="s">
        <v>427</v>
      </c>
    </row>
    <row r="987">
      <c r="B987" s="3" t="s">
        <v>427</v>
      </c>
      <c r="C987" s="3" t="s">
        <v>427</v>
      </c>
      <c r="D987" s="3" t="str">
        <f>IFERROR(__xludf.DUMMYFUNCTION("""COMPUTED_VALUE"""),"")</f>
        <v/>
      </c>
      <c r="E987" s="3" t="s">
        <v>427</v>
      </c>
    </row>
    <row r="988">
      <c r="B988" s="3" t="s">
        <v>427</v>
      </c>
      <c r="C988" s="3" t="s">
        <v>427</v>
      </c>
      <c r="D988" s="3" t="str">
        <f>IFERROR(__xludf.DUMMYFUNCTION("""COMPUTED_VALUE"""),"")</f>
        <v/>
      </c>
      <c r="E988" s="3" t="s">
        <v>427</v>
      </c>
    </row>
    <row r="989">
      <c r="B989" s="3" t="s">
        <v>427</v>
      </c>
      <c r="C989" s="3" t="s">
        <v>427</v>
      </c>
      <c r="D989" s="3" t="str">
        <f>IFERROR(__xludf.DUMMYFUNCTION("""COMPUTED_VALUE"""),"")</f>
        <v/>
      </c>
      <c r="E989" s="3" t="s">
        <v>427</v>
      </c>
    </row>
    <row r="990">
      <c r="B990" s="3" t="s">
        <v>427</v>
      </c>
      <c r="C990" s="3" t="s">
        <v>427</v>
      </c>
      <c r="D990" s="3" t="str">
        <f>IFERROR(__xludf.DUMMYFUNCTION("""COMPUTED_VALUE"""),"")</f>
        <v/>
      </c>
      <c r="E990" s="3" t="s">
        <v>427</v>
      </c>
    </row>
    <row r="991">
      <c r="B991" s="3" t="s">
        <v>427</v>
      </c>
      <c r="C991" s="3" t="s">
        <v>427</v>
      </c>
      <c r="D991" s="3" t="str">
        <f>IFERROR(__xludf.DUMMYFUNCTION("""COMPUTED_VALUE"""),"")</f>
        <v/>
      </c>
      <c r="E991" s="3" t="s">
        <v>427</v>
      </c>
    </row>
    <row r="992">
      <c r="B992" s="3" t="s">
        <v>427</v>
      </c>
      <c r="C992" s="3" t="s">
        <v>427</v>
      </c>
      <c r="D992" s="3" t="str">
        <f>IFERROR(__xludf.DUMMYFUNCTION("""COMPUTED_VALUE"""),"")</f>
        <v/>
      </c>
      <c r="E992" s="3" t="s">
        <v>427</v>
      </c>
    </row>
    <row r="993">
      <c r="B993" s="3" t="s">
        <v>427</v>
      </c>
      <c r="C993" s="3" t="s">
        <v>427</v>
      </c>
      <c r="D993" s="3" t="str">
        <f>IFERROR(__xludf.DUMMYFUNCTION("""COMPUTED_VALUE"""),"")</f>
        <v/>
      </c>
      <c r="E993" s="3" t="s">
        <v>427</v>
      </c>
    </row>
    <row r="994">
      <c r="B994" s="3" t="s">
        <v>427</v>
      </c>
      <c r="C994" s="3" t="s">
        <v>427</v>
      </c>
      <c r="D994" s="3" t="str">
        <f>IFERROR(__xludf.DUMMYFUNCTION("""COMPUTED_VALUE"""),"")</f>
        <v/>
      </c>
      <c r="E994" s="3" t="s">
        <v>427</v>
      </c>
    </row>
    <row r="995">
      <c r="B995" s="3" t="s">
        <v>427</v>
      </c>
      <c r="C995" s="3" t="s">
        <v>427</v>
      </c>
      <c r="D995" s="3" t="str">
        <f>IFERROR(__xludf.DUMMYFUNCTION("""COMPUTED_VALUE"""),"")</f>
        <v/>
      </c>
      <c r="E995" s="3" t="s">
        <v>427</v>
      </c>
    </row>
    <row r="996">
      <c r="B996" s="3" t="s">
        <v>427</v>
      </c>
      <c r="C996" s="3" t="s">
        <v>427</v>
      </c>
      <c r="D996" s="3" t="str">
        <f>IFERROR(__xludf.DUMMYFUNCTION("""COMPUTED_VALUE"""),"")</f>
        <v/>
      </c>
      <c r="E996" s="3" t="s">
        <v>427</v>
      </c>
    </row>
    <row r="997">
      <c r="B997" s="3" t="s">
        <v>427</v>
      </c>
      <c r="C997" s="3" t="s">
        <v>427</v>
      </c>
      <c r="D997" s="3" t="str">
        <f>IFERROR(__xludf.DUMMYFUNCTION("""COMPUTED_VALUE"""),"")</f>
        <v/>
      </c>
      <c r="E997" s="3" t="s">
        <v>427</v>
      </c>
    </row>
    <row r="998">
      <c r="B998" s="3" t="s">
        <v>427</v>
      </c>
      <c r="C998" s="3" t="s">
        <v>427</v>
      </c>
      <c r="D998" s="3" t="str">
        <f>IFERROR(__xludf.DUMMYFUNCTION("""COMPUTED_VALUE"""),"")</f>
        <v/>
      </c>
      <c r="E998" s="3" t="s">
        <v>427</v>
      </c>
    </row>
    <row r="999">
      <c r="B999" s="3" t="s">
        <v>427</v>
      </c>
      <c r="C999" s="3" t="s">
        <v>427</v>
      </c>
      <c r="D999" s="3" t="str">
        <f>IFERROR(__xludf.DUMMYFUNCTION("""COMPUTED_VALUE"""),"")</f>
        <v/>
      </c>
      <c r="E999" s="3" t="s">
        <v>427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tr">
        <f>IFERROR(__xludf.DUMMYFUNCTION("LET(
data, IMPORTRANGE(""https://docs.google.com/spreadsheets/d/1lcDqaH4Z6j8_tMkH98kSCfbm9H-Qmsb_60OvoUJvFt8/edit?gid=557077223#gid=557077223"",""VMS_Sales!C:D""),
FILTER(data, INDEX(data,,1)&lt;&gt;"""")
)"),"Product Number")</f>
        <v>Product Number</v>
      </c>
      <c r="B1" s="3" t="str">
        <f>IFERROR(__xludf.DUMMYFUNCTION("""COMPUTED_VALUE"""),"product name")</f>
        <v>product name</v>
      </c>
    </row>
    <row r="2">
      <c r="A2" s="3">
        <f>IFERROR(__xludf.DUMMYFUNCTION("""COMPUTED_VALUE"""),1.0)</f>
        <v>1</v>
      </c>
      <c r="B2" s="3" t="str">
        <f>IFERROR(__xludf.DUMMYFUNCTION("""COMPUTED_VALUE"""),"Doritos cool ranc")</f>
        <v>Doritos cool ranc</v>
      </c>
    </row>
    <row r="3">
      <c r="A3" s="3">
        <f>IFERROR(__xludf.DUMMYFUNCTION("""COMPUTED_VALUE"""),2.0)</f>
        <v>2</v>
      </c>
      <c r="B3" s="3" t="str">
        <f>IFERROR(__xludf.DUMMYFUNCTION("""COMPUTED_VALUE"""),"Water")</f>
        <v>Water</v>
      </c>
    </row>
    <row r="4">
      <c r="A4" s="3">
        <f>IFERROR(__xludf.DUMMYFUNCTION("""COMPUTED_VALUE"""),3.0)</f>
        <v>3</v>
      </c>
      <c r="B4" s="3" t="str">
        <f>IFERROR(__xludf.DUMMYFUNCTION("""COMPUTED_VALUE"""),"Maltesers")</f>
        <v>Maltesers</v>
      </c>
    </row>
    <row r="5">
      <c r="A5" s="3">
        <f>IFERROR(__xludf.DUMMYFUNCTION("""COMPUTED_VALUE"""),4.0)</f>
        <v>4</v>
      </c>
      <c r="B5" s="3" t="str">
        <f>IFERROR(__xludf.DUMMYFUNCTION("""COMPUTED_VALUE"""),"Skittles drink")</f>
        <v>Skittles drink</v>
      </c>
    </row>
    <row r="6">
      <c r="A6" s="3">
        <f>IFERROR(__xludf.DUMMYFUNCTION("""COMPUTED_VALUE"""),5.0)</f>
        <v>5</v>
      </c>
      <c r="B6" s="3" t="str">
        <f>IFERROR(__xludf.DUMMYFUNCTION("""COMPUTED_VALUE"""),"Schweppes")</f>
        <v>Schweppes</v>
      </c>
    </row>
    <row r="7">
      <c r="A7" s="3">
        <f>IFERROR(__xludf.DUMMYFUNCTION("""COMPUTED_VALUE"""),6.0)</f>
        <v>6</v>
      </c>
      <c r="B7" s="3" t="str">
        <f>IFERROR(__xludf.DUMMYFUNCTION("""COMPUTED_VALUE"""),"Tiger *12")</f>
        <v>Tiger *12</v>
      </c>
    </row>
    <row r="8">
      <c r="A8" s="3">
        <f>IFERROR(__xludf.DUMMYFUNCTION("""COMPUTED_VALUE"""),7.0)</f>
        <v>7</v>
      </c>
      <c r="B8" s="3" t="str">
        <f>IFERROR(__xludf.DUMMYFUNCTION("""COMPUTED_VALUE"""),"Skittles Drink")</f>
        <v>Skittles Drink</v>
      </c>
    </row>
    <row r="9">
      <c r="A9" s="3">
        <f>IFERROR(__xludf.DUMMYFUNCTION("""COMPUTED_VALUE"""),8.0)</f>
        <v>8</v>
      </c>
      <c r="B9" s="3" t="str">
        <f>IFERROR(__xludf.DUMMYFUNCTION("""COMPUTED_VALUE"""),"Xo Energy")</f>
        <v>Xo Energy</v>
      </c>
    </row>
    <row r="10">
      <c r="A10" s="3">
        <f>IFERROR(__xludf.DUMMYFUNCTION("""COMPUTED_VALUE"""),9.0)</f>
        <v>9</v>
      </c>
      <c r="B10" s="3" t="str">
        <f>IFERROR(__xludf.DUMMYFUNCTION("""COMPUTED_VALUE"""),"Pepsi 500ml")</f>
        <v>Pepsi 500ml</v>
      </c>
    </row>
    <row r="11">
      <c r="A11" s="3">
        <f>IFERROR(__xludf.DUMMYFUNCTION("""COMPUTED_VALUE"""),10.0)</f>
        <v>10</v>
      </c>
      <c r="B11" s="3" t="str">
        <f>IFERROR(__xludf.DUMMYFUNCTION("""COMPUTED_VALUE"""),"Skittles")</f>
        <v>Skittles</v>
      </c>
    </row>
    <row r="12">
      <c r="A12" s="3">
        <f>IFERROR(__xludf.DUMMYFUNCTION("""COMPUTED_VALUE"""),11.0)</f>
        <v>11</v>
      </c>
      <c r="B12" s="3" t="str">
        <f>IFERROR(__xludf.DUMMYFUNCTION("""COMPUTED_VALUE"""),"X!R")</f>
        <v>X!R</v>
      </c>
    </row>
    <row r="13">
      <c r="A13" s="3">
        <f>IFERROR(__xludf.DUMMYFUNCTION("""COMPUTED_VALUE"""),12.0)</f>
        <v>12</v>
      </c>
      <c r="B13" s="3" t="str">
        <f>IFERROR(__xludf.DUMMYFUNCTION("""COMPUTED_VALUE"""),"sunTop")</f>
        <v>sunTop</v>
      </c>
    </row>
    <row r="14">
      <c r="A14" s="3">
        <f>IFERROR(__xludf.DUMMYFUNCTION("""COMPUTED_VALUE"""),13.0)</f>
        <v>13</v>
      </c>
      <c r="B14" s="3" t="str">
        <f>IFERROR(__xludf.DUMMYFUNCTION("""COMPUTED_VALUE"""),"Ono cake")</f>
        <v>Ono cake</v>
      </c>
    </row>
    <row r="15">
      <c r="A15" s="3">
        <f>IFERROR(__xludf.DUMMYFUNCTION("""COMPUTED_VALUE"""),14.0)</f>
        <v>14</v>
      </c>
      <c r="B15" s="3" t="str">
        <f>IFERROR(__xludf.DUMMYFUNCTION("""COMPUTED_VALUE"""),"Kinder Bueno")</f>
        <v>Kinder Bueno</v>
      </c>
    </row>
    <row r="16">
      <c r="A16" s="3">
        <f>IFERROR(__xludf.DUMMYFUNCTION("""COMPUTED_VALUE"""),15.0)</f>
        <v>15</v>
      </c>
      <c r="B16" s="3" t="str">
        <f>IFERROR(__xludf.DUMMYFUNCTION("""COMPUTED_VALUE"""),"kinza")</f>
        <v>kinza</v>
      </c>
    </row>
    <row r="17">
      <c r="A17" s="3">
        <f>IFERROR(__xludf.DUMMYFUNCTION("""COMPUTED_VALUE"""),16.0)</f>
        <v>16</v>
      </c>
      <c r="B17" s="3" t="str">
        <f>IFERROR(__xludf.DUMMYFUNCTION("""COMPUTED_VALUE"""),"wafe'up")</f>
        <v>wafe'up</v>
      </c>
    </row>
    <row r="18">
      <c r="A18" s="3">
        <f>IFERROR(__xludf.DUMMYFUNCTION("""COMPUTED_VALUE"""),17.0)</f>
        <v>17</v>
      </c>
      <c r="B18" s="3" t="str">
        <f>IFERROR(__xludf.DUMMYFUNCTION("""COMPUTED_VALUE"""),"Doritos Dinamita")</f>
        <v>Doritos Dinamita</v>
      </c>
    </row>
    <row r="19">
      <c r="A19" s="3">
        <f>IFERROR(__xludf.DUMMYFUNCTION("""COMPUTED_VALUE"""),18.0)</f>
        <v>18</v>
      </c>
      <c r="B19" s="3" t="str">
        <f>IFERROR(__xludf.DUMMYFUNCTION("""COMPUTED_VALUE"""),"Takies")</f>
        <v>Takies</v>
      </c>
    </row>
    <row r="20">
      <c r="A20" s="3">
        <f>IFERROR(__xludf.DUMMYFUNCTION("""COMPUTED_VALUE"""),19.0)</f>
        <v>19</v>
      </c>
      <c r="B20" s="3" t="str">
        <f>IFERROR(__xludf.DUMMYFUNCTION("""COMPUTED_VALUE"""),"mr bite")</f>
        <v>mr bite</v>
      </c>
    </row>
    <row r="21">
      <c r="A21" s="3">
        <f>IFERROR(__xludf.DUMMYFUNCTION("""COMPUTED_VALUE"""),20.0)</f>
        <v>20</v>
      </c>
      <c r="B21" s="3" t="str">
        <f>IFERROR(__xludf.DUMMYFUNCTION("""COMPUTED_VALUE"""),"m&amp;m")</f>
        <v>m&amp;m</v>
      </c>
    </row>
    <row r="22">
      <c r="A22" s="3">
        <f>IFERROR(__xludf.DUMMYFUNCTION("""COMPUTED_VALUE"""),21.0)</f>
        <v>21</v>
      </c>
      <c r="B22" s="3" t="str">
        <f>IFERROR(__xludf.DUMMYFUNCTION("""COMPUTED_VALUE"""),"Laviva")</f>
        <v>Laviva</v>
      </c>
    </row>
    <row r="23">
      <c r="A23" s="3">
        <f>IFERROR(__xludf.DUMMYFUNCTION("""COMPUTED_VALUE"""),22.0)</f>
        <v>22</v>
      </c>
      <c r="B23" s="3" t="str">
        <f>IFERROR(__xludf.DUMMYFUNCTION("""COMPUTED_VALUE"""),"bonart")</f>
        <v>bonart</v>
      </c>
    </row>
    <row r="24">
      <c r="A24" s="3">
        <f>IFERROR(__xludf.DUMMYFUNCTION("""COMPUTED_VALUE"""),23.0)</f>
        <v>23</v>
      </c>
      <c r="B24" s="3" t="str">
        <f>IFERROR(__xludf.DUMMYFUNCTION("""COMPUTED_VALUE"""),"Freez")</f>
        <v>Freez</v>
      </c>
    </row>
    <row r="25">
      <c r="A25" s="3">
        <f>IFERROR(__xludf.DUMMYFUNCTION("""COMPUTED_VALUE"""),1.0)</f>
        <v>1</v>
      </c>
      <c r="B25" s="3" t="str">
        <f>IFERROR(__xludf.DUMMYFUNCTION("""COMPUTED_VALUE"""),"Doritos nacho")</f>
        <v>Doritos nacho</v>
      </c>
    </row>
    <row r="26">
      <c r="A26" s="3">
        <f>IFERROR(__xludf.DUMMYFUNCTION("""COMPUTED_VALUE"""),2.0)</f>
        <v>2</v>
      </c>
      <c r="B26" s="3" t="str">
        <f>IFERROR(__xludf.DUMMYFUNCTION("""COMPUTED_VALUE"""),"Water")</f>
        <v>Water</v>
      </c>
    </row>
    <row r="27">
      <c r="A27" s="3">
        <f>IFERROR(__xludf.DUMMYFUNCTION("""COMPUTED_VALUE"""),3.0)</f>
        <v>3</v>
      </c>
      <c r="B27" s="3" t="str">
        <f>IFERROR(__xludf.DUMMYFUNCTION("""COMPUTED_VALUE"""),"Maltesers")</f>
        <v>Maltesers</v>
      </c>
    </row>
    <row r="28">
      <c r="A28" s="3">
        <f>IFERROR(__xludf.DUMMYFUNCTION("""COMPUTED_VALUE"""),5.0)</f>
        <v>5</v>
      </c>
      <c r="B28" s="3" t="str">
        <f>IFERROR(__xludf.DUMMYFUNCTION("""COMPUTED_VALUE"""),"Schweppes")</f>
        <v>Schweppes</v>
      </c>
    </row>
    <row r="29">
      <c r="A29" s="3">
        <f>IFERROR(__xludf.DUMMYFUNCTION("""COMPUTED_VALUE"""),6.0)</f>
        <v>6</v>
      </c>
      <c r="B29" s="3" t="str">
        <f>IFERROR(__xludf.DUMMYFUNCTION("""COMPUTED_VALUE"""),"Tiger *12")</f>
        <v>Tiger *12</v>
      </c>
    </row>
    <row r="30">
      <c r="A30" s="3">
        <f>IFERROR(__xludf.DUMMYFUNCTION("""COMPUTED_VALUE"""),11.0)</f>
        <v>11</v>
      </c>
      <c r="B30" s="3" t="str">
        <f>IFERROR(__xludf.DUMMYFUNCTION("""COMPUTED_VALUE"""),"X!R")</f>
        <v>X!R</v>
      </c>
    </row>
    <row r="31">
      <c r="A31" s="3">
        <f>IFERROR(__xludf.DUMMYFUNCTION("""COMPUTED_VALUE"""),12.0)</f>
        <v>12</v>
      </c>
      <c r="B31" s="3" t="str">
        <f>IFERROR(__xludf.DUMMYFUNCTION("""COMPUTED_VALUE"""),"sunTop")</f>
        <v>sunTop</v>
      </c>
    </row>
    <row r="32">
      <c r="A32" s="3">
        <f>IFERROR(__xludf.DUMMYFUNCTION("""COMPUTED_VALUE"""),14.0)</f>
        <v>14</v>
      </c>
      <c r="B32" s="3" t="str">
        <f>IFERROR(__xludf.DUMMYFUNCTION("""COMPUTED_VALUE"""),"Kinder Bueno")</f>
        <v>Kinder Bueno</v>
      </c>
    </row>
    <row r="33">
      <c r="A33" s="3">
        <f>IFERROR(__xludf.DUMMYFUNCTION("""COMPUTED_VALUE"""),15.0)</f>
        <v>15</v>
      </c>
      <c r="B33" s="3" t="str">
        <f>IFERROR(__xludf.DUMMYFUNCTION("""COMPUTED_VALUE"""),"kinza")</f>
        <v>kinza</v>
      </c>
    </row>
    <row r="34">
      <c r="A34" s="3">
        <f>IFERROR(__xludf.DUMMYFUNCTION("""COMPUTED_VALUE"""),19.0)</f>
        <v>19</v>
      </c>
      <c r="B34" s="3" t="str">
        <f>IFERROR(__xludf.DUMMYFUNCTION("""COMPUTED_VALUE"""),"mr bite")</f>
        <v>mr bite</v>
      </c>
    </row>
    <row r="35">
      <c r="A35" s="3">
        <f>IFERROR(__xludf.DUMMYFUNCTION("""COMPUTED_VALUE"""),21.0)</f>
        <v>21</v>
      </c>
      <c r="B35" s="3" t="str">
        <f>IFERROR(__xludf.DUMMYFUNCTION("""COMPUTED_VALUE"""),"Laviva")</f>
        <v>Laviva</v>
      </c>
    </row>
    <row r="36">
      <c r="A36" s="3">
        <f>IFERROR(__xludf.DUMMYFUNCTION("""COMPUTED_VALUE"""),23.0)</f>
        <v>23</v>
      </c>
      <c r="B36" s="3" t="str">
        <f>IFERROR(__xludf.DUMMYFUNCTION("""COMPUTED_VALUE"""),"Freez")</f>
        <v>Freez</v>
      </c>
    </row>
    <row r="37">
      <c r="A37" s="3">
        <f>IFERROR(__xludf.DUMMYFUNCTION("""COMPUTED_VALUE"""),25.0)</f>
        <v>25</v>
      </c>
      <c r="B37" s="3" t="str">
        <f>IFERROR(__xludf.DUMMYFUNCTION("""COMPUTED_VALUE"""),"Twix")</f>
        <v>Twix</v>
      </c>
    </row>
    <row r="38">
      <c r="A38" s="3">
        <f>IFERROR(__xludf.DUMMYFUNCTION("""COMPUTED_VALUE"""),26.0)</f>
        <v>26</v>
      </c>
      <c r="B38" s="3" t="str">
        <f>IFERROR(__xludf.DUMMYFUNCTION("""COMPUTED_VALUE"""),"Bounty")</f>
        <v>Bounty</v>
      </c>
    </row>
    <row r="39">
      <c r="A39" s="3">
        <f>IFERROR(__xludf.DUMMYFUNCTION("""COMPUTED_VALUE"""),27.0)</f>
        <v>27</v>
      </c>
      <c r="B39" s="3" t="str">
        <f>IFERROR(__xludf.DUMMYFUNCTION("""COMPUTED_VALUE"""),"Gardena")</f>
        <v>Gardena</v>
      </c>
    </row>
    <row r="40">
      <c r="A40" s="3">
        <f>IFERROR(__xludf.DUMMYFUNCTION("""COMPUTED_VALUE"""),28.0)</f>
        <v>28</v>
      </c>
      <c r="B40" s="3" t="str">
        <f>IFERROR(__xludf.DUMMYFUNCTION("""COMPUTED_VALUE"""),"Snickers")</f>
        <v>Snickers</v>
      </c>
    </row>
    <row r="41">
      <c r="A41" s="3">
        <f>IFERROR(__xludf.DUMMYFUNCTION("""COMPUTED_VALUE"""),29.0)</f>
        <v>29</v>
      </c>
      <c r="B41" s="3" t="str">
        <f>IFERROR(__xludf.DUMMYFUNCTION("""COMPUTED_VALUE"""),"Pepsi")</f>
        <v>Pepsi</v>
      </c>
    </row>
    <row r="42">
      <c r="A42" s="3">
        <f>IFERROR(__xludf.DUMMYFUNCTION("""COMPUTED_VALUE"""),30.0)</f>
        <v>30</v>
      </c>
      <c r="B42" s="3" t="str">
        <f>IFERROR(__xludf.DUMMYFUNCTION("""COMPUTED_VALUE"""),"Mars")</f>
        <v>Mars</v>
      </c>
    </row>
    <row r="43">
      <c r="A43" s="3">
        <f>IFERROR(__xludf.DUMMYFUNCTION("""COMPUTED_VALUE"""),31.0)</f>
        <v>31</v>
      </c>
      <c r="B43" s="3" t="str">
        <f>IFERROR(__xludf.DUMMYFUNCTION("""COMPUTED_VALUE"""),"Rauch Drink")</f>
        <v>Rauch Drink</v>
      </c>
    </row>
    <row r="44">
      <c r="A44" s="3">
        <f>IFERROR(__xludf.DUMMYFUNCTION("""COMPUTED_VALUE"""),32.0)</f>
        <v>32</v>
      </c>
      <c r="B44" s="3" t="str">
        <f>IFERROR(__xludf.DUMMYFUNCTION("""COMPUTED_VALUE"""),"Almarai Chocolate")</f>
        <v>Almarai Chocolate</v>
      </c>
    </row>
    <row r="45">
      <c r="A45" s="3">
        <f>IFERROR(__xludf.DUMMYFUNCTION("""COMPUTED_VALUE"""),33.0)</f>
        <v>33</v>
      </c>
      <c r="B45" s="3" t="str">
        <f>IFERROR(__xludf.DUMMYFUNCTION("""COMPUTED_VALUE"""),"Corissant Karuzo")</f>
        <v>Corissant Karuzo</v>
      </c>
    </row>
    <row r="46">
      <c r="A46" s="3">
        <f>IFERROR(__xludf.DUMMYFUNCTION("""COMPUTED_VALUE"""),35.0)</f>
        <v>35</v>
      </c>
      <c r="B46" s="3" t="str">
        <f>IFERROR(__xludf.DUMMYFUNCTION("""COMPUTED_VALUE"""),"Sirma")</f>
        <v>Sirma</v>
      </c>
    </row>
    <row r="47">
      <c r="A47" s="3">
        <f>IFERROR(__xludf.DUMMYFUNCTION("""COMPUTED_VALUE"""),36.0)</f>
        <v>36</v>
      </c>
      <c r="B47" s="3" t="str">
        <f>IFERROR(__xludf.DUMMYFUNCTION("""COMPUTED_VALUE"""),"Kunuz Juice")</f>
        <v>Kunuz Juice</v>
      </c>
    </row>
    <row r="48">
      <c r="A48" s="3">
        <f>IFERROR(__xludf.DUMMYFUNCTION("""COMPUTED_VALUE"""),37.0)</f>
        <v>37</v>
      </c>
      <c r="B48" s="3" t="str">
        <f>IFERROR(__xludf.DUMMYFUNCTION("""COMPUTED_VALUE"""),"Digestive")</f>
        <v>Digestive</v>
      </c>
    </row>
    <row r="49">
      <c r="A49" s="3">
        <f>IFERROR(__xludf.DUMMYFUNCTION("""COMPUTED_VALUE"""),38.0)</f>
        <v>38</v>
      </c>
      <c r="B49" s="3" t="str">
        <f>IFERROR(__xludf.DUMMYFUNCTION("""COMPUTED_VALUE"""),"Lovita cookies")</f>
        <v>Lovita cookies</v>
      </c>
    </row>
    <row r="50">
      <c r="A50" s="3">
        <f>IFERROR(__xludf.DUMMYFUNCTION("""COMPUTED_VALUE"""),40.0)</f>
        <v>40</v>
      </c>
      <c r="B50" s="3" t="str">
        <f>IFERROR(__xludf.DUMMYFUNCTION("""COMPUTED_VALUE"""),"KitKat")</f>
        <v>KitKat</v>
      </c>
    </row>
    <row r="51">
      <c r="A51" s="3">
        <f>IFERROR(__xludf.DUMMYFUNCTION("""COMPUTED_VALUE"""),41.0)</f>
        <v>41</v>
      </c>
      <c r="B51" s="3" t="str">
        <f>IFERROR(__xludf.DUMMYFUNCTION("""COMPUTED_VALUE"""),"Pretzels")</f>
        <v>Pretzels</v>
      </c>
    </row>
    <row r="52">
      <c r="A52" s="3">
        <f>IFERROR(__xludf.DUMMYFUNCTION("""COMPUTED_VALUE"""),1.0)</f>
        <v>1</v>
      </c>
      <c r="B52" s="3" t="str">
        <f>IFERROR(__xludf.DUMMYFUNCTION("""COMPUTED_VALUE"""),"Doritos cool ranc")</f>
        <v>Doritos cool ranc</v>
      </c>
    </row>
    <row r="53">
      <c r="A53" s="3">
        <f>IFERROR(__xludf.DUMMYFUNCTION("""COMPUTED_VALUE"""),2.0)</f>
        <v>2</v>
      </c>
      <c r="B53" s="3" t="str">
        <f>IFERROR(__xludf.DUMMYFUNCTION("""COMPUTED_VALUE"""),"Water")</f>
        <v>Water</v>
      </c>
    </row>
    <row r="54">
      <c r="A54" s="3">
        <f>IFERROR(__xludf.DUMMYFUNCTION("""COMPUTED_VALUE"""),3.0)</f>
        <v>3</v>
      </c>
      <c r="B54" s="3" t="str">
        <f>IFERROR(__xludf.DUMMYFUNCTION("""COMPUTED_VALUE"""),"Maltesers")</f>
        <v>Maltesers</v>
      </c>
    </row>
    <row r="55">
      <c r="A55" s="3">
        <f>IFERROR(__xludf.DUMMYFUNCTION("""COMPUTED_VALUE"""),4.0)</f>
        <v>4</v>
      </c>
      <c r="B55" s="3" t="str">
        <f>IFERROR(__xludf.DUMMYFUNCTION("""COMPUTED_VALUE"""),"Skittles drink")</f>
        <v>Skittles drink</v>
      </c>
    </row>
    <row r="56">
      <c r="A56" s="3">
        <f>IFERROR(__xludf.DUMMYFUNCTION("""COMPUTED_VALUE"""),5.0)</f>
        <v>5</v>
      </c>
      <c r="B56" s="3" t="str">
        <f>IFERROR(__xludf.DUMMYFUNCTION("""COMPUTED_VALUE"""),"Schweppes")</f>
        <v>Schweppes</v>
      </c>
    </row>
    <row r="57">
      <c r="A57" s="3">
        <f>IFERROR(__xludf.DUMMYFUNCTION("""COMPUTED_VALUE"""),6.0)</f>
        <v>6</v>
      </c>
      <c r="B57" s="3" t="str">
        <f>IFERROR(__xludf.DUMMYFUNCTION("""COMPUTED_VALUE"""),"Tiger *12")</f>
        <v>Tiger *12</v>
      </c>
    </row>
    <row r="58">
      <c r="A58" s="3">
        <f>IFERROR(__xludf.DUMMYFUNCTION("""COMPUTED_VALUE"""),7.0)</f>
        <v>7</v>
      </c>
      <c r="B58" s="3" t="str">
        <f>IFERROR(__xludf.DUMMYFUNCTION("""COMPUTED_VALUE"""),"Skittles Drink")</f>
        <v>Skittles Drink</v>
      </c>
    </row>
    <row r="59">
      <c r="A59" s="3">
        <f>IFERROR(__xludf.DUMMYFUNCTION("""COMPUTED_VALUE"""),8.0)</f>
        <v>8</v>
      </c>
      <c r="B59" s="3" t="str">
        <f>IFERROR(__xludf.DUMMYFUNCTION("""COMPUTED_VALUE"""),"Xo Energy")</f>
        <v>Xo Energy</v>
      </c>
    </row>
    <row r="60">
      <c r="A60" s="3">
        <f>IFERROR(__xludf.DUMMYFUNCTION("""COMPUTED_VALUE"""),9.0)</f>
        <v>9</v>
      </c>
      <c r="B60" s="3" t="str">
        <f>IFERROR(__xludf.DUMMYFUNCTION("""COMPUTED_VALUE"""),"Pepsi 500ml")</f>
        <v>Pepsi 500ml</v>
      </c>
    </row>
    <row r="61">
      <c r="A61" s="3">
        <f>IFERROR(__xludf.DUMMYFUNCTION("""COMPUTED_VALUE"""),10.0)</f>
        <v>10</v>
      </c>
      <c r="B61" s="3" t="str">
        <f>IFERROR(__xludf.DUMMYFUNCTION("""COMPUTED_VALUE"""),"Skittles")</f>
        <v>Skittles</v>
      </c>
    </row>
    <row r="62">
      <c r="A62" s="3">
        <f>IFERROR(__xludf.DUMMYFUNCTION("""COMPUTED_VALUE"""),11.0)</f>
        <v>11</v>
      </c>
      <c r="B62" s="3" t="str">
        <f>IFERROR(__xludf.DUMMYFUNCTION("""COMPUTED_VALUE"""),"X!R")</f>
        <v>X!R</v>
      </c>
    </row>
    <row r="63">
      <c r="A63" s="3">
        <f>IFERROR(__xludf.DUMMYFUNCTION("""COMPUTED_VALUE"""),12.0)</f>
        <v>12</v>
      </c>
      <c r="B63" s="3" t="str">
        <f>IFERROR(__xludf.DUMMYFUNCTION("""COMPUTED_VALUE"""),"sunTop")</f>
        <v>sunTop</v>
      </c>
    </row>
    <row r="64">
      <c r="A64" s="3">
        <f>IFERROR(__xludf.DUMMYFUNCTION("""COMPUTED_VALUE"""),13.0)</f>
        <v>13</v>
      </c>
      <c r="B64" s="3" t="str">
        <f>IFERROR(__xludf.DUMMYFUNCTION("""COMPUTED_VALUE"""),"Ono cake")</f>
        <v>Ono cake</v>
      </c>
    </row>
    <row r="65">
      <c r="A65" s="3">
        <f>IFERROR(__xludf.DUMMYFUNCTION("""COMPUTED_VALUE"""),14.0)</f>
        <v>14</v>
      </c>
      <c r="B65" s="3" t="str">
        <f>IFERROR(__xludf.DUMMYFUNCTION("""COMPUTED_VALUE"""),"Kinder Bueno")</f>
        <v>Kinder Bueno</v>
      </c>
    </row>
    <row r="66">
      <c r="A66" s="3">
        <f>IFERROR(__xludf.DUMMYFUNCTION("""COMPUTED_VALUE"""),15.0)</f>
        <v>15</v>
      </c>
      <c r="B66" s="3" t="str">
        <f>IFERROR(__xludf.DUMMYFUNCTION("""COMPUTED_VALUE"""),"kinza")</f>
        <v>kinza</v>
      </c>
    </row>
    <row r="67">
      <c r="A67" s="3">
        <f>IFERROR(__xludf.DUMMYFUNCTION("""COMPUTED_VALUE"""),16.0)</f>
        <v>16</v>
      </c>
      <c r="B67" s="3" t="str">
        <f>IFERROR(__xludf.DUMMYFUNCTION("""COMPUTED_VALUE"""),"wafe'up")</f>
        <v>wafe'up</v>
      </c>
    </row>
    <row r="68">
      <c r="A68" s="3">
        <f>IFERROR(__xludf.DUMMYFUNCTION("""COMPUTED_VALUE"""),17.0)</f>
        <v>17</v>
      </c>
      <c r="B68" s="3" t="str">
        <f>IFERROR(__xludf.DUMMYFUNCTION("""COMPUTED_VALUE"""),"Doritos Dinamita")</f>
        <v>Doritos Dinamita</v>
      </c>
    </row>
    <row r="69">
      <c r="A69" s="3">
        <f>IFERROR(__xludf.DUMMYFUNCTION("""COMPUTED_VALUE"""),18.0)</f>
        <v>18</v>
      </c>
      <c r="B69" s="3" t="str">
        <f>IFERROR(__xludf.DUMMYFUNCTION("""COMPUTED_VALUE"""),"Takies")</f>
        <v>Takies</v>
      </c>
    </row>
    <row r="70">
      <c r="A70" s="3">
        <f>IFERROR(__xludf.DUMMYFUNCTION("""COMPUTED_VALUE"""),19.0)</f>
        <v>19</v>
      </c>
      <c r="B70" s="3" t="str">
        <f>IFERROR(__xludf.DUMMYFUNCTION("""COMPUTED_VALUE"""),"mr bite")</f>
        <v>mr bite</v>
      </c>
    </row>
    <row r="71">
      <c r="A71" s="3">
        <f>IFERROR(__xludf.DUMMYFUNCTION("""COMPUTED_VALUE"""),20.0)</f>
        <v>20</v>
      </c>
      <c r="B71" s="3" t="str">
        <f>IFERROR(__xludf.DUMMYFUNCTION("""COMPUTED_VALUE"""),"m&amp;m")</f>
        <v>m&amp;m</v>
      </c>
    </row>
    <row r="72">
      <c r="A72" s="3">
        <f>IFERROR(__xludf.DUMMYFUNCTION("""COMPUTED_VALUE"""),21.0)</f>
        <v>21</v>
      </c>
      <c r="B72" s="3" t="str">
        <f>IFERROR(__xludf.DUMMYFUNCTION("""COMPUTED_VALUE"""),"Laviva")</f>
        <v>Laviva</v>
      </c>
    </row>
    <row r="73">
      <c r="A73" s="3">
        <f>IFERROR(__xludf.DUMMYFUNCTION("""COMPUTED_VALUE"""),22.0)</f>
        <v>22</v>
      </c>
      <c r="B73" s="3" t="str">
        <f>IFERROR(__xludf.DUMMYFUNCTION("""COMPUTED_VALUE"""),"bonart")</f>
        <v>bonart</v>
      </c>
    </row>
    <row r="74">
      <c r="A74" s="3">
        <f>IFERROR(__xludf.DUMMYFUNCTION("""COMPUTED_VALUE"""),23.0)</f>
        <v>23</v>
      </c>
      <c r="B74" s="3" t="str">
        <f>IFERROR(__xludf.DUMMYFUNCTION("""COMPUTED_VALUE"""),"Freez")</f>
        <v>Freez</v>
      </c>
    </row>
    <row r="75">
      <c r="A75" s="3">
        <f>IFERROR(__xludf.DUMMYFUNCTION("""COMPUTED_VALUE"""),24.0)</f>
        <v>24</v>
      </c>
      <c r="B75" s="3" t="str">
        <f>IFERROR(__xludf.DUMMYFUNCTION("""COMPUTED_VALUE"""),"kinder delice")</f>
        <v>kinder delice</v>
      </c>
    </row>
    <row r="76">
      <c r="A76" s="3">
        <f>IFERROR(__xludf.DUMMYFUNCTION("""COMPUTED_VALUE"""),25.0)</f>
        <v>25</v>
      </c>
      <c r="B76" s="3" t="str">
        <f>IFERROR(__xludf.DUMMYFUNCTION("""COMPUTED_VALUE"""),"Twix")</f>
        <v>Twix</v>
      </c>
    </row>
    <row r="77">
      <c r="A77" s="3">
        <f>IFERROR(__xludf.DUMMYFUNCTION("""COMPUTED_VALUE"""),26.0)</f>
        <v>26</v>
      </c>
      <c r="B77" s="3" t="str">
        <f>IFERROR(__xludf.DUMMYFUNCTION("""COMPUTED_VALUE"""),"Bounty")</f>
        <v>Bounty</v>
      </c>
    </row>
    <row r="78">
      <c r="A78" s="3">
        <f>IFERROR(__xludf.DUMMYFUNCTION("""COMPUTED_VALUE"""),27.0)</f>
        <v>27</v>
      </c>
      <c r="B78" s="3" t="str">
        <f>IFERROR(__xludf.DUMMYFUNCTION("""COMPUTED_VALUE"""),"Gardena")</f>
        <v>Gardena</v>
      </c>
    </row>
    <row r="79">
      <c r="A79" s="3">
        <f>IFERROR(__xludf.DUMMYFUNCTION("""COMPUTED_VALUE"""),28.0)</f>
        <v>28</v>
      </c>
      <c r="B79" s="3" t="str">
        <f>IFERROR(__xludf.DUMMYFUNCTION("""COMPUTED_VALUE"""),"Snickers")</f>
        <v>Snickers</v>
      </c>
    </row>
    <row r="80">
      <c r="A80" s="3">
        <f>IFERROR(__xludf.DUMMYFUNCTION("""COMPUTED_VALUE"""),29.0)</f>
        <v>29</v>
      </c>
      <c r="B80" s="3" t="str">
        <f>IFERROR(__xludf.DUMMYFUNCTION("""COMPUTED_VALUE"""),"Pepsi")</f>
        <v>Pepsi</v>
      </c>
    </row>
    <row r="81">
      <c r="A81" s="3">
        <f>IFERROR(__xludf.DUMMYFUNCTION("""COMPUTED_VALUE"""),35.0)</f>
        <v>35</v>
      </c>
      <c r="B81" s="3" t="str">
        <f>IFERROR(__xludf.DUMMYFUNCTION("""COMPUTED_VALUE"""),"Sirma")</f>
        <v>Sirma</v>
      </c>
    </row>
    <row r="82">
      <c r="A82" s="3">
        <f>IFERROR(__xludf.DUMMYFUNCTION("""COMPUTED_VALUE"""),1.0)</f>
        <v>1</v>
      </c>
      <c r="B82" s="3" t="str">
        <f>IFERROR(__xludf.DUMMYFUNCTION("""COMPUTED_VALUE"""),"Doritos cool ranc")</f>
        <v>Doritos cool ranc</v>
      </c>
    </row>
    <row r="83">
      <c r="A83" s="3">
        <f>IFERROR(__xludf.DUMMYFUNCTION("""COMPUTED_VALUE"""),2.0)</f>
        <v>2</v>
      </c>
      <c r="B83" s="3" t="str">
        <f>IFERROR(__xludf.DUMMYFUNCTION("""COMPUTED_VALUE"""),"Water")</f>
        <v>Water</v>
      </c>
    </row>
    <row r="84">
      <c r="A84" s="3">
        <f>IFERROR(__xludf.DUMMYFUNCTION("""COMPUTED_VALUE"""),3.0)</f>
        <v>3</v>
      </c>
      <c r="B84" s="3" t="str">
        <f>IFERROR(__xludf.DUMMYFUNCTION("""COMPUTED_VALUE"""),"Maltesers")</f>
        <v>Maltesers</v>
      </c>
    </row>
    <row r="85">
      <c r="A85" s="3">
        <f>IFERROR(__xludf.DUMMYFUNCTION("""COMPUTED_VALUE"""),5.0)</f>
        <v>5</v>
      </c>
      <c r="B85" s="3" t="str">
        <f>IFERROR(__xludf.DUMMYFUNCTION("""COMPUTED_VALUE"""),"Schweppes")</f>
        <v>Schweppes</v>
      </c>
    </row>
    <row r="86">
      <c r="A86" s="3">
        <f>IFERROR(__xludf.DUMMYFUNCTION("""COMPUTED_VALUE"""),6.0)</f>
        <v>6</v>
      </c>
      <c r="B86" s="3" t="str">
        <f>IFERROR(__xludf.DUMMYFUNCTION("""COMPUTED_VALUE"""),"Tiger *12")</f>
        <v>Tiger *12</v>
      </c>
    </row>
    <row r="87">
      <c r="A87" s="3">
        <f>IFERROR(__xludf.DUMMYFUNCTION("""COMPUTED_VALUE"""),11.0)</f>
        <v>11</v>
      </c>
      <c r="B87" s="3" t="str">
        <f>IFERROR(__xludf.DUMMYFUNCTION("""COMPUTED_VALUE"""),"X!R")</f>
        <v>X!R</v>
      </c>
    </row>
    <row r="88">
      <c r="A88" s="3">
        <f>IFERROR(__xludf.DUMMYFUNCTION("""COMPUTED_VALUE"""),12.0)</f>
        <v>12</v>
      </c>
      <c r="B88" s="3" t="str">
        <f>IFERROR(__xludf.DUMMYFUNCTION("""COMPUTED_VALUE"""),"sunTop")</f>
        <v>sunTop</v>
      </c>
    </row>
    <row r="89">
      <c r="A89" s="3">
        <f>IFERROR(__xludf.DUMMYFUNCTION("""COMPUTED_VALUE"""),14.0)</f>
        <v>14</v>
      </c>
      <c r="B89" s="3" t="str">
        <f>IFERROR(__xludf.DUMMYFUNCTION("""COMPUTED_VALUE"""),"Kinder Bueno")</f>
        <v>Kinder Bueno</v>
      </c>
    </row>
    <row r="90">
      <c r="A90" s="3">
        <f>IFERROR(__xludf.DUMMYFUNCTION("""COMPUTED_VALUE"""),15.0)</f>
        <v>15</v>
      </c>
      <c r="B90" s="3" t="str">
        <f>IFERROR(__xludf.DUMMYFUNCTION("""COMPUTED_VALUE"""),"kinza")</f>
        <v>kinza</v>
      </c>
    </row>
    <row r="91">
      <c r="A91" s="3">
        <f>IFERROR(__xludf.DUMMYFUNCTION("""COMPUTED_VALUE"""),19.0)</f>
        <v>19</v>
      </c>
      <c r="B91" s="3" t="str">
        <f>IFERROR(__xludf.DUMMYFUNCTION("""COMPUTED_VALUE"""),"mr bite")</f>
        <v>mr bite</v>
      </c>
    </row>
    <row r="92">
      <c r="A92" s="3">
        <f>IFERROR(__xludf.DUMMYFUNCTION("""COMPUTED_VALUE"""),21.0)</f>
        <v>21</v>
      </c>
      <c r="B92" s="3" t="str">
        <f>IFERROR(__xludf.DUMMYFUNCTION("""COMPUTED_VALUE"""),"Laviva")</f>
        <v>Laviva</v>
      </c>
    </row>
    <row r="93">
      <c r="A93" s="3">
        <f>IFERROR(__xludf.DUMMYFUNCTION("""COMPUTED_VALUE"""),23.0)</f>
        <v>23</v>
      </c>
      <c r="B93" s="3" t="str">
        <f>IFERROR(__xludf.DUMMYFUNCTION("""COMPUTED_VALUE"""),"Freez")</f>
        <v>Freez</v>
      </c>
    </row>
    <row r="94">
      <c r="A94" s="3">
        <f>IFERROR(__xludf.DUMMYFUNCTION("""COMPUTED_VALUE"""),25.0)</f>
        <v>25</v>
      </c>
      <c r="B94" s="3" t="str">
        <f>IFERROR(__xludf.DUMMYFUNCTION("""COMPUTED_VALUE"""),"Twix")</f>
        <v>Twix</v>
      </c>
    </row>
    <row r="95">
      <c r="A95" s="3">
        <f>IFERROR(__xludf.DUMMYFUNCTION("""COMPUTED_VALUE"""),26.0)</f>
        <v>26</v>
      </c>
      <c r="B95" s="3" t="str">
        <f>IFERROR(__xludf.DUMMYFUNCTION("""COMPUTED_VALUE"""),"Bounty")</f>
        <v>Bounty</v>
      </c>
    </row>
    <row r="96">
      <c r="A96" s="3">
        <f>IFERROR(__xludf.DUMMYFUNCTION("""COMPUTED_VALUE"""),27.0)</f>
        <v>27</v>
      </c>
      <c r="B96" s="3" t="str">
        <f>IFERROR(__xludf.DUMMYFUNCTION("""COMPUTED_VALUE"""),"Gardena")</f>
        <v>Gardena</v>
      </c>
    </row>
    <row r="97">
      <c r="A97" s="3">
        <f>IFERROR(__xludf.DUMMYFUNCTION("""COMPUTED_VALUE"""),28.0)</f>
        <v>28</v>
      </c>
      <c r="B97" s="3" t="str">
        <f>IFERROR(__xludf.DUMMYFUNCTION("""COMPUTED_VALUE"""),"Snickers")</f>
        <v>Snickers</v>
      </c>
    </row>
    <row r="98">
      <c r="A98" s="3">
        <f>IFERROR(__xludf.DUMMYFUNCTION("""COMPUTED_VALUE"""),29.0)</f>
        <v>29</v>
      </c>
      <c r="B98" s="3" t="str">
        <f>IFERROR(__xludf.DUMMYFUNCTION("""COMPUTED_VALUE"""),"Pepsi")</f>
        <v>Pepsi</v>
      </c>
    </row>
    <row r="99">
      <c r="A99" s="3">
        <f>IFERROR(__xludf.DUMMYFUNCTION("""COMPUTED_VALUE"""),30.0)</f>
        <v>30</v>
      </c>
      <c r="B99" s="3" t="str">
        <f>IFERROR(__xludf.DUMMYFUNCTION("""COMPUTED_VALUE"""),"Mars")</f>
        <v>Mars</v>
      </c>
    </row>
    <row r="100">
      <c r="A100" s="3">
        <f>IFERROR(__xludf.DUMMYFUNCTION("""COMPUTED_VALUE"""),31.0)</f>
        <v>31</v>
      </c>
      <c r="B100" s="3" t="str">
        <f>IFERROR(__xludf.DUMMYFUNCTION("""COMPUTED_VALUE"""),"Rauch Drink")</f>
        <v>Rauch Drink</v>
      </c>
    </row>
    <row r="101">
      <c r="A101" s="3">
        <f>IFERROR(__xludf.DUMMYFUNCTION("""COMPUTED_VALUE"""),32.0)</f>
        <v>32</v>
      </c>
      <c r="B101" s="3" t="str">
        <f>IFERROR(__xludf.DUMMYFUNCTION("""COMPUTED_VALUE"""),"Almarai Chocolate")</f>
        <v>Almarai Chocolate</v>
      </c>
    </row>
    <row r="102">
      <c r="A102" s="3">
        <f>IFERROR(__xludf.DUMMYFUNCTION("""COMPUTED_VALUE"""),33.0)</f>
        <v>33</v>
      </c>
      <c r="B102" s="3" t="str">
        <f>IFERROR(__xludf.DUMMYFUNCTION("""COMPUTED_VALUE"""),"Corissant Karuzo")</f>
        <v>Corissant Karuzo</v>
      </c>
    </row>
    <row r="103">
      <c r="A103" s="3">
        <f>IFERROR(__xludf.DUMMYFUNCTION("""COMPUTED_VALUE"""),35.0)</f>
        <v>35</v>
      </c>
      <c r="B103" s="3" t="str">
        <f>IFERROR(__xludf.DUMMYFUNCTION("""COMPUTED_VALUE"""),"Sirma")</f>
        <v>Sirma</v>
      </c>
    </row>
    <row r="104">
      <c r="A104" s="3">
        <f>IFERROR(__xludf.DUMMYFUNCTION("""COMPUTED_VALUE"""),36.0)</f>
        <v>36</v>
      </c>
      <c r="B104" s="3" t="str">
        <f>IFERROR(__xludf.DUMMYFUNCTION("""COMPUTED_VALUE"""),"Kunuz Juice")</f>
        <v>Kunuz Juice</v>
      </c>
    </row>
    <row r="105">
      <c r="A105" s="3">
        <f>IFERROR(__xludf.DUMMYFUNCTION("""COMPUTED_VALUE"""),37.0)</f>
        <v>37</v>
      </c>
      <c r="B105" s="3" t="str">
        <f>IFERROR(__xludf.DUMMYFUNCTION("""COMPUTED_VALUE"""),"Digestive")</f>
        <v>Digestive</v>
      </c>
    </row>
    <row r="106">
      <c r="A106" s="3">
        <f>IFERROR(__xludf.DUMMYFUNCTION("""COMPUTED_VALUE"""),38.0)</f>
        <v>38</v>
      </c>
      <c r="B106" s="3" t="str">
        <f>IFERROR(__xludf.DUMMYFUNCTION("""COMPUTED_VALUE"""),"Lovita cookies")</f>
        <v>Lovita cookies</v>
      </c>
    </row>
    <row r="107">
      <c r="A107" s="3">
        <f>IFERROR(__xludf.DUMMYFUNCTION("""COMPUTED_VALUE"""),40.0)</f>
        <v>40</v>
      </c>
      <c r="B107" s="3" t="str">
        <f>IFERROR(__xludf.DUMMYFUNCTION("""COMPUTED_VALUE"""),"KitKat")</f>
        <v>KitKat</v>
      </c>
    </row>
    <row r="108">
      <c r="A108" s="3">
        <f>IFERROR(__xludf.DUMMYFUNCTION("""COMPUTED_VALUE"""),41.0)</f>
        <v>41</v>
      </c>
      <c r="B108" s="3" t="str">
        <f>IFERROR(__xludf.DUMMYFUNCTION("""COMPUTED_VALUE"""),"Pretzels")</f>
        <v>Pretzels</v>
      </c>
    </row>
    <row r="109">
      <c r="A109" s="3">
        <f>IFERROR(__xludf.DUMMYFUNCTION("""COMPUTED_VALUE"""),42.0)</f>
        <v>42</v>
      </c>
      <c r="B109" s="3" t="str">
        <f>IFERROR(__xludf.DUMMYFUNCTION("""COMPUTED_VALUE"""),"Green")</f>
        <v>Green</v>
      </c>
    </row>
    <row r="110">
      <c r="A110" s="3">
        <f>IFERROR(__xludf.DUMMYFUNCTION("""COMPUTED_VALUE"""),43.0)</f>
        <v>43</v>
      </c>
      <c r="B110" s="3" t="str">
        <f>IFERROR(__xludf.DUMMYFUNCTION("""COMPUTED_VALUE"""),"MrCrunch")</f>
        <v>MrCrunch</v>
      </c>
    </row>
    <row r="111">
      <c r="A111" s="3">
        <f>IFERROR(__xludf.DUMMYFUNCTION("""COMPUTED_VALUE"""),44.0)</f>
        <v>44</v>
      </c>
      <c r="B111" s="3" t="str">
        <f>IFERROR(__xludf.DUMMYFUNCTION("""COMPUTED_VALUE"""),"Caser Juice")</f>
        <v>Caser Juice</v>
      </c>
    </row>
    <row r="112">
      <c r="A112" s="3">
        <f>IFERROR(__xludf.DUMMYFUNCTION("""COMPUTED_VALUE"""),45.0)</f>
        <v>45</v>
      </c>
      <c r="B112" s="3" t="str">
        <f>IFERROR(__xludf.DUMMYFUNCTION("""COMPUTED_VALUE"""),"Natural Grape")</f>
        <v>Natural Grape</v>
      </c>
    </row>
    <row r="113">
      <c r="A113" s="3">
        <f>IFERROR(__xludf.DUMMYFUNCTION("""COMPUTED_VALUE"""),47.0)</f>
        <v>47</v>
      </c>
      <c r="B113" s="3" t="str">
        <f>IFERROR(__xludf.DUMMYFUNCTION("""COMPUTED_VALUE"""),"MrCrunch Normal")</f>
        <v>MrCrunch Normal</v>
      </c>
    </row>
    <row r="114">
      <c r="A114" s="3">
        <f>IFERROR(__xludf.DUMMYFUNCTION("""COMPUTED_VALUE"""),48.0)</f>
        <v>48</v>
      </c>
      <c r="B114" s="3" t="str">
        <f>IFERROR(__xludf.DUMMYFUNCTION("""COMPUTED_VALUE"""),"Kinder bueno1stick")</f>
        <v>Kinder bueno1stick</v>
      </c>
    </row>
    <row r="115">
      <c r="A115" s="3">
        <f>IFERROR(__xludf.DUMMYFUNCTION("""COMPUTED_VALUE"""),51.0)</f>
        <v>51</v>
      </c>
      <c r="B115" s="3" t="str">
        <f>IFERROR(__xludf.DUMMYFUNCTION("""COMPUTED_VALUE"""),"Justo Drink")</f>
        <v>Justo Drink</v>
      </c>
    </row>
    <row r="116">
      <c r="A116" s="3">
        <f>IFERROR(__xludf.DUMMYFUNCTION("""COMPUTED_VALUE"""),1.0)</f>
        <v>1</v>
      </c>
      <c r="B116" s="3" t="str">
        <f>IFERROR(__xludf.DUMMYFUNCTION("""COMPUTED_VALUE"""),"Doritos nacho")</f>
        <v>Doritos nacho</v>
      </c>
    </row>
    <row r="117">
      <c r="A117" s="3">
        <f>IFERROR(__xludf.DUMMYFUNCTION("""COMPUTED_VALUE"""),2.0)</f>
        <v>2</v>
      </c>
      <c r="B117" s="3" t="str">
        <f>IFERROR(__xludf.DUMMYFUNCTION("""COMPUTED_VALUE"""),"Water")</f>
        <v>Water</v>
      </c>
    </row>
    <row r="118">
      <c r="A118" s="3">
        <f>IFERROR(__xludf.DUMMYFUNCTION("""COMPUTED_VALUE"""),3.0)</f>
        <v>3</v>
      </c>
      <c r="B118" s="3" t="str">
        <f>IFERROR(__xludf.DUMMYFUNCTION("""COMPUTED_VALUE"""),"Maltesers")</f>
        <v>Maltesers</v>
      </c>
    </row>
    <row r="119">
      <c r="A119" s="3">
        <f>IFERROR(__xludf.DUMMYFUNCTION("""COMPUTED_VALUE"""),5.0)</f>
        <v>5</v>
      </c>
      <c r="B119" s="3" t="str">
        <f>IFERROR(__xludf.DUMMYFUNCTION("""COMPUTED_VALUE"""),"Schweppes")</f>
        <v>Schweppes</v>
      </c>
    </row>
    <row r="120">
      <c r="A120" s="3">
        <f>IFERROR(__xludf.DUMMYFUNCTION("""COMPUTED_VALUE"""),6.0)</f>
        <v>6</v>
      </c>
      <c r="B120" s="3" t="str">
        <f>IFERROR(__xludf.DUMMYFUNCTION("""COMPUTED_VALUE"""),"Tiger *12")</f>
        <v>Tiger *12</v>
      </c>
    </row>
    <row r="121">
      <c r="A121" s="3">
        <f>IFERROR(__xludf.DUMMYFUNCTION("""COMPUTED_VALUE"""),8.0)</f>
        <v>8</v>
      </c>
      <c r="B121" s="3" t="str">
        <f>IFERROR(__xludf.DUMMYFUNCTION("""COMPUTED_VALUE"""),"Xo Energy")</f>
        <v>Xo Energy</v>
      </c>
    </row>
    <row r="122">
      <c r="A122" s="3">
        <f>IFERROR(__xludf.DUMMYFUNCTION("""COMPUTED_VALUE"""),10.0)</f>
        <v>10</v>
      </c>
      <c r="B122" s="3" t="str">
        <f>IFERROR(__xludf.DUMMYFUNCTION("""COMPUTED_VALUE"""),"Skittles")</f>
        <v>Skittles</v>
      </c>
    </row>
    <row r="123">
      <c r="A123" s="3">
        <f>IFERROR(__xludf.DUMMYFUNCTION("""COMPUTED_VALUE"""),11.0)</f>
        <v>11</v>
      </c>
      <c r="B123" s="3" t="str">
        <f>IFERROR(__xludf.DUMMYFUNCTION("""COMPUTED_VALUE"""),"X!R")</f>
        <v>X!R</v>
      </c>
    </row>
    <row r="124">
      <c r="A124" s="3">
        <f>IFERROR(__xludf.DUMMYFUNCTION("""COMPUTED_VALUE"""),12.0)</f>
        <v>12</v>
      </c>
      <c r="B124" s="3" t="str">
        <f>IFERROR(__xludf.DUMMYFUNCTION("""COMPUTED_VALUE"""),"sunTop")</f>
        <v>sunTop</v>
      </c>
    </row>
    <row r="125">
      <c r="A125" s="3">
        <f>IFERROR(__xludf.DUMMYFUNCTION("""COMPUTED_VALUE"""),13.0)</f>
        <v>13</v>
      </c>
      <c r="B125" s="3" t="str">
        <f>IFERROR(__xludf.DUMMYFUNCTION("""COMPUTED_VALUE"""),"Ono cake")</f>
        <v>Ono cake</v>
      </c>
    </row>
    <row r="126">
      <c r="A126" s="3">
        <f>IFERROR(__xludf.DUMMYFUNCTION("""COMPUTED_VALUE"""),14.0)</f>
        <v>14</v>
      </c>
      <c r="B126" s="3" t="str">
        <f>IFERROR(__xludf.DUMMYFUNCTION("""COMPUTED_VALUE"""),"Kinder Bueno")</f>
        <v>Kinder Bueno</v>
      </c>
    </row>
    <row r="127">
      <c r="A127" s="3">
        <f>IFERROR(__xludf.DUMMYFUNCTION("""COMPUTED_VALUE"""),15.0)</f>
        <v>15</v>
      </c>
      <c r="B127" s="3" t="str">
        <f>IFERROR(__xludf.DUMMYFUNCTION("""COMPUTED_VALUE"""),"kinza")</f>
        <v>kinza</v>
      </c>
    </row>
    <row r="128">
      <c r="A128" s="3">
        <f>IFERROR(__xludf.DUMMYFUNCTION("""COMPUTED_VALUE"""),16.0)</f>
        <v>16</v>
      </c>
      <c r="B128" s="3" t="str">
        <f>IFERROR(__xludf.DUMMYFUNCTION("""COMPUTED_VALUE"""),"wafe'up")</f>
        <v>wafe'up</v>
      </c>
    </row>
    <row r="129">
      <c r="A129" s="3">
        <f>IFERROR(__xludf.DUMMYFUNCTION("""COMPUTED_VALUE"""),17.0)</f>
        <v>17</v>
      </c>
      <c r="B129" s="3" t="str">
        <f>IFERROR(__xludf.DUMMYFUNCTION("""COMPUTED_VALUE"""),"Doritos Dinamita")</f>
        <v>Doritos Dinamita</v>
      </c>
    </row>
    <row r="130">
      <c r="A130" s="3">
        <f>IFERROR(__xludf.DUMMYFUNCTION("""COMPUTED_VALUE"""),18.0)</f>
        <v>18</v>
      </c>
      <c r="B130" s="3" t="str">
        <f>IFERROR(__xludf.DUMMYFUNCTION("""COMPUTED_VALUE"""),"Takies")</f>
        <v>Takies</v>
      </c>
    </row>
    <row r="131">
      <c r="A131" s="3">
        <f>IFERROR(__xludf.DUMMYFUNCTION("""COMPUTED_VALUE"""),19.0)</f>
        <v>19</v>
      </c>
      <c r="B131" s="3" t="str">
        <f>IFERROR(__xludf.DUMMYFUNCTION("""COMPUTED_VALUE"""),"mr bite")</f>
        <v>mr bite</v>
      </c>
    </row>
    <row r="132">
      <c r="A132" s="3">
        <f>IFERROR(__xludf.DUMMYFUNCTION("""COMPUTED_VALUE"""),21.0)</f>
        <v>21</v>
      </c>
      <c r="B132" s="3" t="str">
        <f>IFERROR(__xludf.DUMMYFUNCTION("""COMPUTED_VALUE"""),"Laviva")</f>
        <v>Laviva</v>
      </c>
    </row>
    <row r="133">
      <c r="A133" s="3">
        <f>IFERROR(__xludf.DUMMYFUNCTION("""COMPUTED_VALUE"""),22.0)</f>
        <v>22</v>
      </c>
      <c r="B133" s="3" t="str">
        <f>IFERROR(__xludf.DUMMYFUNCTION("""COMPUTED_VALUE"""),"bonart")</f>
        <v>bonart</v>
      </c>
    </row>
    <row r="134">
      <c r="A134" s="3">
        <f>IFERROR(__xludf.DUMMYFUNCTION("""COMPUTED_VALUE"""),23.0)</f>
        <v>23</v>
      </c>
      <c r="B134" s="3" t="str">
        <f>IFERROR(__xludf.DUMMYFUNCTION("""COMPUTED_VALUE"""),"Freez")</f>
        <v>Freez</v>
      </c>
    </row>
    <row r="135">
      <c r="A135" s="3">
        <f>IFERROR(__xludf.DUMMYFUNCTION("""COMPUTED_VALUE"""),25.0)</f>
        <v>25</v>
      </c>
      <c r="B135" s="3" t="str">
        <f>IFERROR(__xludf.DUMMYFUNCTION("""COMPUTED_VALUE"""),"Twix")</f>
        <v>Twix</v>
      </c>
    </row>
    <row r="136">
      <c r="A136" s="3">
        <f>IFERROR(__xludf.DUMMYFUNCTION("""COMPUTED_VALUE"""),26.0)</f>
        <v>26</v>
      </c>
      <c r="B136" s="3" t="str">
        <f>IFERROR(__xludf.DUMMYFUNCTION("""COMPUTED_VALUE"""),"Bounty")</f>
        <v>Bounty</v>
      </c>
    </row>
    <row r="137">
      <c r="A137" s="3">
        <f>IFERROR(__xludf.DUMMYFUNCTION("""COMPUTED_VALUE"""),27.0)</f>
        <v>27</v>
      </c>
      <c r="B137" s="3" t="str">
        <f>IFERROR(__xludf.DUMMYFUNCTION("""COMPUTED_VALUE"""),"Gardena")</f>
        <v>Gardena</v>
      </c>
    </row>
    <row r="138">
      <c r="A138" s="3">
        <f>IFERROR(__xludf.DUMMYFUNCTION("""COMPUTED_VALUE"""),28.0)</f>
        <v>28</v>
      </c>
      <c r="B138" s="3" t="str">
        <f>IFERROR(__xludf.DUMMYFUNCTION("""COMPUTED_VALUE"""),"Snickers")</f>
        <v>Snickers</v>
      </c>
    </row>
    <row r="139">
      <c r="A139" s="3">
        <f>IFERROR(__xludf.DUMMYFUNCTION("""COMPUTED_VALUE"""),29.0)</f>
        <v>29</v>
      </c>
      <c r="B139" s="3" t="str">
        <f>IFERROR(__xludf.DUMMYFUNCTION("""COMPUTED_VALUE"""),"Pepsi")</f>
        <v>Pepsi</v>
      </c>
    </row>
    <row r="140">
      <c r="A140" s="3">
        <f>IFERROR(__xludf.DUMMYFUNCTION("""COMPUTED_VALUE"""),35.0)</f>
        <v>35</v>
      </c>
      <c r="B140" s="3" t="str">
        <f>IFERROR(__xludf.DUMMYFUNCTION("""COMPUTED_VALUE"""),"Sirma")</f>
        <v>Sirma</v>
      </c>
    </row>
    <row r="141">
      <c r="A141" s="3">
        <f>IFERROR(__xludf.DUMMYFUNCTION("""COMPUTED_VALUE"""),42.0)</f>
        <v>42</v>
      </c>
      <c r="B141" s="3" t="str">
        <f>IFERROR(__xludf.DUMMYFUNCTION("""COMPUTED_VALUE"""),"Green")</f>
        <v>Green</v>
      </c>
    </row>
    <row r="142">
      <c r="A142" s="3">
        <f>IFERROR(__xludf.DUMMYFUNCTION("""COMPUTED_VALUE"""),48.0)</f>
        <v>48</v>
      </c>
      <c r="B142" s="3" t="str">
        <f>IFERROR(__xludf.DUMMYFUNCTION("""COMPUTED_VALUE"""),"Kinder bueno1stick")</f>
        <v>Kinder bueno1stick</v>
      </c>
    </row>
    <row r="143">
      <c r="A143" s="3">
        <f>IFERROR(__xludf.DUMMYFUNCTION("""COMPUTED_VALUE"""),49.0)</f>
        <v>49</v>
      </c>
      <c r="B143" s="3" t="str">
        <f>IFERROR(__xludf.DUMMYFUNCTION("""COMPUTED_VALUE"""),"Haribo")</f>
        <v>Haribo</v>
      </c>
    </row>
    <row r="144">
      <c r="A144" s="3">
        <f>IFERROR(__xludf.DUMMYFUNCTION("""COMPUTED_VALUE"""),1.0)</f>
        <v>1</v>
      </c>
      <c r="B144" s="3" t="str">
        <f>IFERROR(__xludf.DUMMYFUNCTION("""COMPUTED_VALUE"""),"Doritos cool ranc")</f>
        <v>Doritos cool ranc</v>
      </c>
    </row>
    <row r="145">
      <c r="A145" s="3">
        <f>IFERROR(__xludf.DUMMYFUNCTION("""COMPUTED_VALUE"""),2.0)</f>
        <v>2</v>
      </c>
      <c r="B145" s="3" t="str">
        <f>IFERROR(__xludf.DUMMYFUNCTION("""COMPUTED_VALUE"""),"Water")</f>
        <v>Water</v>
      </c>
    </row>
    <row r="146">
      <c r="A146" s="3">
        <f>IFERROR(__xludf.DUMMYFUNCTION("""COMPUTED_VALUE"""),3.0)</f>
        <v>3</v>
      </c>
      <c r="B146" s="3" t="str">
        <f>IFERROR(__xludf.DUMMYFUNCTION("""COMPUTED_VALUE"""),"Maltesers")</f>
        <v>Maltesers</v>
      </c>
    </row>
    <row r="147">
      <c r="A147" s="3">
        <f>IFERROR(__xludf.DUMMYFUNCTION("""COMPUTED_VALUE"""),5.0)</f>
        <v>5</v>
      </c>
      <c r="B147" s="3" t="str">
        <f>IFERROR(__xludf.DUMMYFUNCTION("""COMPUTED_VALUE"""),"Schweppes")</f>
        <v>Schweppes</v>
      </c>
    </row>
    <row r="148">
      <c r="A148" s="3">
        <f>IFERROR(__xludf.DUMMYFUNCTION("""COMPUTED_VALUE"""),6.0)</f>
        <v>6</v>
      </c>
      <c r="B148" s="3" t="str">
        <f>IFERROR(__xludf.DUMMYFUNCTION("""COMPUTED_VALUE"""),"Tiger *12")</f>
        <v>Tiger *12</v>
      </c>
    </row>
    <row r="149">
      <c r="A149" s="3">
        <f>IFERROR(__xludf.DUMMYFUNCTION("""COMPUTED_VALUE"""),11.0)</f>
        <v>11</v>
      </c>
      <c r="B149" s="3" t="str">
        <f>IFERROR(__xludf.DUMMYFUNCTION("""COMPUTED_VALUE"""),"X!R")</f>
        <v>X!R</v>
      </c>
    </row>
    <row r="150">
      <c r="A150" s="3">
        <f>IFERROR(__xludf.DUMMYFUNCTION("""COMPUTED_VALUE"""),12.0)</f>
        <v>12</v>
      </c>
      <c r="B150" s="3" t="str">
        <f>IFERROR(__xludf.DUMMYFUNCTION("""COMPUTED_VALUE"""),"sunTop")</f>
        <v>sunTop</v>
      </c>
    </row>
    <row r="151">
      <c r="A151" s="3">
        <f>IFERROR(__xludf.DUMMYFUNCTION("""COMPUTED_VALUE"""),14.0)</f>
        <v>14</v>
      </c>
      <c r="B151" s="3" t="str">
        <f>IFERROR(__xludf.DUMMYFUNCTION("""COMPUTED_VALUE"""),"Kinder Bueno")</f>
        <v>Kinder Bueno</v>
      </c>
    </row>
    <row r="152">
      <c r="A152" s="3">
        <f>IFERROR(__xludf.DUMMYFUNCTION("""COMPUTED_VALUE"""),19.0)</f>
        <v>19</v>
      </c>
      <c r="B152" s="3" t="str">
        <f>IFERROR(__xludf.DUMMYFUNCTION("""COMPUTED_VALUE"""),"mr bite")</f>
        <v>mr bite</v>
      </c>
    </row>
    <row r="153">
      <c r="A153" s="3">
        <f>IFERROR(__xludf.DUMMYFUNCTION("""COMPUTED_VALUE"""),21.0)</f>
        <v>21</v>
      </c>
      <c r="B153" s="3" t="str">
        <f>IFERROR(__xludf.DUMMYFUNCTION("""COMPUTED_VALUE"""),"Laviva")</f>
        <v>Laviva</v>
      </c>
    </row>
    <row r="154">
      <c r="A154" s="3">
        <f>IFERROR(__xludf.DUMMYFUNCTION("""COMPUTED_VALUE"""),23.0)</f>
        <v>23</v>
      </c>
      <c r="B154" s="3" t="str">
        <f>IFERROR(__xludf.DUMMYFUNCTION("""COMPUTED_VALUE"""),"Freez")</f>
        <v>Freez</v>
      </c>
    </row>
    <row r="155">
      <c r="A155" s="3">
        <f>IFERROR(__xludf.DUMMYFUNCTION("""COMPUTED_VALUE"""),25.0)</f>
        <v>25</v>
      </c>
      <c r="B155" s="3" t="str">
        <f>IFERROR(__xludf.DUMMYFUNCTION("""COMPUTED_VALUE"""),"Twix")</f>
        <v>Twix</v>
      </c>
    </row>
    <row r="156">
      <c r="A156" s="3">
        <f>IFERROR(__xludf.DUMMYFUNCTION("""COMPUTED_VALUE"""),28.0)</f>
        <v>28</v>
      </c>
      <c r="B156" s="3" t="str">
        <f>IFERROR(__xludf.DUMMYFUNCTION("""COMPUTED_VALUE"""),"Snickers")</f>
        <v>Snickers</v>
      </c>
    </row>
    <row r="157">
      <c r="A157" s="3">
        <f>IFERROR(__xludf.DUMMYFUNCTION("""COMPUTED_VALUE"""),29.0)</f>
        <v>29</v>
      </c>
      <c r="B157" s="3" t="str">
        <f>IFERROR(__xludf.DUMMYFUNCTION("""COMPUTED_VALUE"""),"Pepsi")</f>
        <v>Pepsi</v>
      </c>
    </row>
    <row r="158">
      <c r="A158" s="3">
        <f>IFERROR(__xludf.DUMMYFUNCTION("""COMPUTED_VALUE"""),30.0)</f>
        <v>30</v>
      </c>
      <c r="B158" s="3" t="str">
        <f>IFERROR(__xludf.DUMMYFUNCTION("""COMPUTED_VALUE"""),"Mars")</f>
        <v>Mars</v>
      </c>
    </row>
    <row r="159">
      <c r="A159" s="3">
        <f>IFERROR(__xludf.DUMMYFUNCTION("""COMPUTED_VALUE"""),32.0)</f>
        <v>32</v>
      </c>
      <c r="B159" s="3" t="str">
        <f>IFERROR(__xludf.DUMMYFUNCTION("""COMPUTED_VALUE"""),"Almarai Chocolate")</f>
        <v>Almarai Chocolate</v>
      </c>
    </row>
    <row r="160">
      <c r="A160" s="3">
        <f>IFERROR(__xludf.DUMMYFUNCTION("""COMPUTED_VALUE"""),32.0)</f>
        <v>32</v>
      </c>
      <c r="B160" s="3" t="str">
        <f>IFERROR(__xludf.DUMMYFUNCTION("""COMPUTED_VALUE"""),"Almarai Chocolate")</f>
        <v>Almarai Chocolate</v>
      </c>
    </row>
    <row r="161">
      <c r="A161" s="3">
        <f>IFERROR(__xludf.DUMMYFUNCTION("""COMPUTED_VALUE"""),33.0)</f>
        <v>33</v>
      </c>
      <c r="B161" s="3" t="str">
        <f>IFERROR(__xludf.DUMMYFUNCTION("""COMPUTED_VALUE"""),"Corissant Karuzo")</f>
        <v>Corissant Karuzo</v>
      </c>
    </row>
    <row r="162">
      <c r="A162" s="3">
        <f>IFERROR(__xludf.DUMMYFUNCTION("""COMPUTED_VALUE"""),36.0)</f>
        <v>36</v>
      </c>
      <c r="B162" s="3" t="str">
        <f>IFERROR(__xludf.DUMMYFUNCTION("""COMPUTED_VALUE"""),"Kunuz Juice")</f>
        <v>Kunuz Juice</v>
      </c>
    </row>
    <row r="163">
      <c r="A163" s="3">
        <f>IFERROR(__xludf.DUMMYFUNCTION("""COMPUTED_VALUE"""),37.0)</f>
        <v>37</v>
      </c>
      <c r="B163" s="3" t="str">
        <f>IFERROR(__xludf.DUMMYFUNCTION("""COMPUTED_VALUE"""),"Digestive")</f>
        <v>Digestive</v>
      </c>
    </row>
    <row r="164">
      <c r="A164" s="3">
        <f>IFERROR(__xludf.DUMMYFUNCTION("""COMPUTED_VALUE"""),38.0)</f>
        <v>38</v>
      </c>
      <c r="B164" s="3" t="str">
        <f>IFERROR(__xludf.DUMMYFUNCTION("""COMPUTED_VALUE"""),"Lovita cookies")</f>
        <v>Lovita cookies</v>
      </c>
    </row>
    <row r="165">
      <c r="A165" s="3">
        <f>IFERROR(__xludf.DUMMYFUNCTION("""COMPUTED_VALUE"""),40.0)</f>
        <v>40</v>
      </c>
      <c r="B165" s="3" t="str">
        <f>IFERROR(__xludf.DUMMYFUNCTION("""COMPUTED_VALUE"""),"KitKat")</f>
        <v>KitKat</v>
      </c>
    </row>
    <row r="166">
      <c r="A166" s="3">
        <f>IFERROR(__xludf.DUMMYFUNCTION("""COMPUTED_VALUE"""),41.0)</f>
        <v>41</v>
      </c>
      <c r="B166" s="3" t="str">
        <f>IFERROR(__xludf.DUMMYFUNCTION("""COMPUTED_VALUE"""),"Pretzels")</f>
        <v>Pretzels</v>
      </c>
    </row>
    <row r="167">
      <c r="A167" s="3">
        <f>IFERROR(__xludf.DUMMYFUNCTION("""COMPUTED_VALUE"""),42.0)</f>
        <v>42</v>
      </c>
      <c r="B167" s="3" t="str">
        <f>IFERROR(__xludf.DUMMYFUNCTION("""COMPUTED_VALUE"""),"Green")</f>
        <v>Green</v>
      </c>
    </row>
    <row r="168">
      <c r="A168" s="3">
        <f>IFERROR(__xludf.DUMMYFUNCTION("""COMPUTED_VALUE"""),43.0)</f>
        <v>43</v>
      </c>
      <c r="B168" s="3" t="str">
        <f>IFERROR(__xludf.DUMMYFUNCTION("""COMPUTED_VALUE"""),"MrCrunch")</f>
        <v>MrCrunch</v>
      </c>
    </row>
    <row r="169">
      <c r="A169" s="3">
        <f>IFERROR(__xludf.DUMMYFUNCTION("""COMPUTED_VALUE"""),44.0)</f>
        <v>44</v>
      </c>
      <c r="B169" s="3" t="str">
        <f>IFERROR(__xludf.DUMMYFUNCTION("""COMPUTED_VALUE"""),"Caser Juice")</f>
        <v>Caser Juice</v>
      </c>
    </row>
    <row r="170">
      <c r="A170" s="3">
        <f>IFERROR(__xludf.DUMMYFUNCTION("""COMPUTED_VALUE"""),48.0)</f>
        <v>48</v>
      </c>
      <c r="B170" s="3" t="str">
        <f>IFERROR(__xludf.DUMMYFUNCTION("""COMPUTED_VALUE"""),"Kinder bueno1stick")</f>
        <v>Kinder bueno1stick</v>
      </c>
    </row>
    <row r="171">
      <c r="A171" s="3">
        <f>IFERROR(__xludf.DUMMYFUNCTION("""COMPUTED_VALUE"""),50.0)</f>
        <v>50</v>
      </c>
      <c r="B171" s="3" t="str">
        <f>IFERROR(__xludf.DUMMYFUNCTION("""COMPUTED_VALUE"""),"Ivsar water")</f>
        <v>Ivsar water</v>
      </c>
    </row>
    <row r="172">
      <c r="A172" s="3">
        <f>IFERROR(__xludf.DUMMYFUNCTION("""COMPUTED_VALUE"""),51.0)</f>
        <v>51</v>
      </c>
      <c r="B172" s="3" t="str">
        <f>IFERROR(__xludf.DUMMYFUNCTION("""COMPUTED_VALUE"""),"Justo Drink")</f>
        <v>Justo Drink</v>
      </c>
    </row>
    <row r="173">
      <c r="A173" s="3">
        <f>IFERROR(__xludf.DUMMYFUNCTION("""COMPUTED_VALUE"""),53.0)</f>
        <v>53</v>
      </c>
      <c r="B173" s="3" t="str">
        <f>IFERROR(__xludf.DUMMYFUNCTION("""COMPUTED_VALUE"""),"7up")</f>
        <v>7up</v>
      </c>
    </row>
    <row r="174">
      <c r="A174" s="3">
        <f>IFERROR(__xludf.DUMMYFUNCTION("""COMPUTED_VALUE"""),54.0)</f>
        <v>54</v>
      </c>
      <c r="B174" s="3" t="str">
        <f>IFERROR(__xludf.DUMMYFUNCTION("""COMPUTED_VALUE"""),"Mirinda")</f>
        <v>Mirinda</v>
      </c>
    </row>
    <row r="175">
      <c r="A175" s="3">
        <f>IFERROR(__xludf.DUMMYFUNCTION("""COMPUTED_VALUE"""),55.0)</f>
        <v>55</v>
      </c>
      <c r="B175" s="3" t="str">
        <f>IFERROR(__xludf.DUMMYFUNCTION("""COMPUTED_VALUE"""),"Tropia")</f>
        <v>Tropia</v>
      </c>
    </row>
    <row r="176">
      <c r="A176" s="3">
        <f>IFERROR(__xludf.DUMMYFUNCTION("""COMPUTED_VALUE"""),56.0)</f>
        <v>56</v>
      </c>
      <c r="B176" s="3" t="str">
        <f>IFERROR(__xludf.DUMMYFUNCTION("""COMPUTED_VALUE"""),"Bourbon biscuit")</f>
        <v>Bourbon biscuit</v>
      </c>
    </row>
    <row r="177">
      <c r="A177" s="3">
        <f>IFERROR(__xludf.DUMMYFUNCTION("""COMPUTED_VALUE"""),1.0)</f>
        <v>1</v>
      </c>
      <c r="B177" s="3" t="str">
        <f>IFERROR(__xludf.DUMMYFUNCTION("""COMPUTED_VALUE"""),"Doritos cool ranc")</f>
        <v>Doritos cool ranc</v>
      </c>
    </row>
    <row r="178">
      <c r="A178" s="3">
        <f>IFERROR(__xludf.DUMMYFUNCTION("""COMPUTED_VALUE"""),2.0)</f>
        <v>2</v>
      </c>
      <c r="B178" s="3" t="str">
        <f>IFERROR(__xludf.DUMMYFUNCTION("""COMPUTED_VALUE"""),"Water")</f>
        <v>Water</v>
      </c>
    </row>
    <row r="179">
      <c r="A179" s="3">
        <f>IFERROR(__xludf.DUMMYFUNCTION("""COMPUTED_VALUE"""),3.0)</f>
        <v>3</v>
      </c>
      <c r="B179" s="3" t="str">
        <f>IFERROR(__xludf.DUMMYFUNCTION("""COMPUTED_VALUE"""),"Maltesers")</f>
        <v>Maltesers</v>
      </c>
    </row>
    <row r="180">
      <c r="A180" s="3">
        <f>IFERROR(__xludf.DUMMYFUNCTION("""COMPUTED_VALUE"""),5.0)</f>
        <v>5</v>
      </c>
      <c r="B180" s="3" t="str">
        <f>IFERROR(__xludf.DUMMYFUNCTION("""COMPUTED_VALUE"""),"Schweppes")</f>
        <v>Schweppes</v>
      </c>
    </row>
    <row r="181">
      <c r="A181" s="3">
        <f>IFERROR(__xludf.DUMMYFUNCTION("""COMPUTED_VALUE"""),6.0)</f>
        <v>6</v>
      </c>
      <c r="B181" s="3" t="str">
        <f>IFERROR(__xludf.DUMMYFUNCTION("""COMPUTED_VALUE"""),"Tiger *12")</f>
        <v>Tiger *12</v>
      </c>
    </row>
    <row r="182">
      <c r="A182" s="3">
        <f>IFERROR(__xludf.DUMMYFUNCTION("""COMPUTED_VALUE"""),9.0)</f>
        <v>9</v>
      </c>
      <c r="B182" s="3" t="str">
        <f>IFERROR(__xludf.DUMMYFUNCTION("""COMPUTED_VALUE"""),"Pepsi 500ml")</f>
        <v>Pepsi 500ml</v>
      </c>
    </row>
    <row r="183">
      <c r="A183" s="3">
        <f>IFERROR(__xludf.DUMMYFUNCTION("""COMPUTED_VALUE"""),10.0)</f>
        <v>10</v>
      </c>
      <c r="B183" s="3" t="str">
        <f>IFERROR(__xludf.DUMMYFUNCTION("""COMPUTED_VALUE"""),"Skittles")</f>
        <v>Skittles</v>
      </c>
    </row>
    <row r="184">
      <c r="A184" s="3">
        <f>IFERROR(__xludf.DUMMYFUNCTION("""COMPUTED_VALUE"""),11.0)</f>
        <v>11</v>
      </c>
      <c r="B184" s="3" t="str">
        <f>IFERROR(__xludf.DUMMYFUNCTION("""COMPUTED_VALUE"""),"X!R")</f>
        <v>X!R</v>
      </c>
    </row>
    <row r="185">
      <c r="A185" s="3">
        <f>IFERROR(__xludf.DUMMYFUNCTION("""COMPUTED_VALUE"""),12.0)</f>
        <v>12</v>
      </c>
      <c r="B185" s="3" t="str">
        <f>IFERROR(__xludf.DUMMYFUNCTION("""COMPUTED_VALUE"""),"sunTop")</f>
        <v>sunTop</v>
      </c>
    </row>
    <row r="186">
      <c r="A186" s="3">
        <f>IFERROR(__xludf.DUMMYFUNCTION("""COMPUTED_VALUE"""),14.0)</f>
        <v>14</v>
      </c>
      <c r="B186" s="3" t="str">
        <f>IFERROR(__xludf.DUMMYFUNCTION("""COMPUTED_VALUE"""),"Kinder Bueno")</f>
        <v>Kinder Bueno</v>
      </c>
    </row>
    <row r="187">
      <c r="A187" s="3">
        <f>IFERROR(__xludf.DUMMYFUNCTION("""COMPUTED_VALUE"""),15.0)</f>
        <v>15</v>
      </c>
      <c r="B187" s="3" t="str">
        <f>IFERROR(__xludf.DUMMYFUNCTION("""COMPUTED_VALUE"""),"kinza")</f>
        <v>kinza</v>
      </c>
    </row>
    <row r="188">
      <c r="A188" s="3">
        <f>IFERROR(__xludf.DUMMYFUNCTION("""COMPUTED_VALUE"""),17.0)</f>
        <v>17</v>
      </c>
      <c r="B188" s="3" t="str">
        <f>IFERROR(__xludf.DUMMYFUNCTION("""COMPUTED_VALUE"""),"Doritos Dinamita")</f>
        <v>Doritos Dinamita</v>
      </c>
    </row>
    <row r="189">
      <c r="A189" s="3">
        <f>IFERROR(__xludf.DUMMYFUNCTION("""COMPUTED_VALUE"""),19.0)</f>
        <v>19</v>
      </c>
      <c r="B189" s="3" t="str">
        <f>IFERROR(__xludf.DUMMYFUNCTION("""COMPUTED_VALUE"""),"mr bite")</f>
        <v>mr bite</v>
      </c>
    </row>
    <row r="190">
      <c r="A190" s="3">
        <f>IFERROR(__xludf.DUMMYFUNCTION("""COMPUTED_VALUE"""),21.0)</f>
        <v>21</v>
      </c>
      <c r="B190" s="3" t="str">
        <f>IFERROR(__xludf.DUMMYFUNCTION("""COMPUTED_VALUE"""),"Laviva")</f>
        <v>Laviva</v>
      </c>
    </row>
    <row r="191">
      <c r="A191" s="3">
        <f>IFERROR(__xludf.DUMMYFUNCTION("""COMPUTED_VALUE"""),22.0)</f>
        <v>22</v>
      </c>
      <c r="B191" s="3" t="str">
        <f>IFERROR(__xludf.DUMMYFUNCTION("""COMPUTED_VALUE"""),"bonart")</f>
        <v>bonart</v>
      </c>
    </row>
    <row r="192">
      <c r="A192" s="3">
        <f>IFERROR(__xludf.DUMMYFUNCTION("""COMPUTED_VALUE"""),23.0)</f>
        <v>23</v>
      </c>
      <c r="B192" s="3" t="str">
        <f>IFERROR(__xludf.DUMMYFUNCTION("""COMPUTED_VALUE"""),"Freez")</f>
        <v>Freez</v>
      </c>
    </row>
    <row r="193">
      <c r="A193" s="3">
        <f>IFERROR(__xludf.DUMMYFUNCTION("""COMPUTED_VALUE"""),25.0)</f>
        <v>25</v>
      </c>
      <c r="B193" s="3" t="str">
        <f>IFERROR(__xludf.DUMMYFUNCTION("""COMPUTED_VALUE"""),"Twix")</f>
        <v>Twix</v>
      </c>
    </row>
    <row r="194">
      <c r="A194" s="3">
        <f>IFERROR(__xludf.DUMMYFUNCTION("""COMPUTED_VALUE"""),26.0)</f>
        <v>26</v>
      </c>
      <c r="B194" s="3" t="str">
        <f>IFERROR(__xludf.DUMMYFUNCTION("""COMPUTED_VALUE"""),"Bounty")</f>
        <v>Bounty</v>
      </c>
    </row>
    <row r="195">
      <c r="A195" s="3">
        <f>IFERROR(__xludf.DUMMYFUNCTION("""COMPUTED_VALUE"""),28.0)</f>
        <v>28</v>
      </c>
      <c r="B195" s="3" t="str">
        <f>IFERROR(__xludf.DUMMYFUNCTION("""COMPUTED_VALUE"""),"Snickers")</f>
        <v>Snickers</v>
      </c>
    </row>
    <row r="196">
      <c r="A196" s="3">
        <f>IFERROR(__xludf.DUMMYFUNCTION("""COMPUTED_VALUE"""),29.0)</f>
        <v>29</v>
      </c>
      <c r="B196" s="3" t="str">
        <f>IFERROR(__xludf.DUMMYFUNCTION("""COMPUTED_VALUE"""),"Pepsi")</f>
        <v>Pepsi</v>
      </c>
    </row>
    <row r="197">
      <c r="A197" s="3">
        <f>IFERROR(__xludf.DUMMYFUNCTION("""COMPUTED_VALUE"""),30.0)</f>
        <v>30</v>
      </c>
      <c r="B197" s="3" t="str">
        <f>IFERROR(__xludf.DUMMYFUNCTION("""COMPUTED_VALUE"""),"Mars")</f>
        <v>Mars</v>
      </c>
    </row>
    <row r="198">
      <c r="A198" s="3">
        <f>IFERROR(__xludf.DUMMYFUNCTION("""COMPUTED_VALUE"""),40.0)</f>
        <v>40</v>
      </c>
      <c r="B198" s="3" t="str">
        <f>IFERROR(__xludf.DUMMYFUNCTION("""COMPUTED_VALUE"""),"KitKat")</f>
        <v>KitKat</v>
      </c>
    </row>
    <row r="199">
      <c r="A199" s="3">
        <f>IFERROR(__xludf.DUMMYFUNCTION("""COMPUTED_VALUE"""),43.0)</f>
        <v>43</v>
      </c>
      <c r="B199" s="3" t="str">
        <f>IFERROR(__xludf.DUMMYFUNCTION("""COMPUTED_VALUE"""),"MrCrunch")</f>
        <v>MrCrunch</v>
      </c>
    </row>
    <row r="200">
      <c r="A200" s="3">
        <f>IFERROR(__xludf.DUMMYFUNCTION("""COMPUTED_VALUE"""),48.0)</f>
        <v>48</v>
      </c>
      <c r="B200" s="3" t="str">
        <f>IFERROR(__xludf.DUMMYFUNCTION("""COMPUTED_VALUE"""),"Kinder bueno1stick")</f>
        <v>Kinder bueno1stick</v>
      </c>
    </row>
    <row r="201">
      <c r="A201" s="3">
        <f>IFERROR(__xludf.DUMMYFUNCTION("""COMPUTED_VALUE"""),49.0)</f>
        <v>49</v>
      </c>
      <c r="B201" s="3" t="str">
        <f>IFERROR(__xludf.DUMMYFUNCTION("""COMPUTED_VALUE"""),"Haribo")</f>
        <v>Haribo</v>
      </c>
    </row>
    <row r="202">
      <c r="A202" s="3">
        <f>IFERROR(__xludf.DUMMYFUNCTION("""COMPUTED_VALUE"""),53.0)</f>
        <v>53</v>
      </c>
      <c r="B202" s="3" t="str">
        <f>IFERROR(__xludf.DUMMYFUNCTION("""COMPUTED_VALUE"""),"7up")</f>
        <v>7up</v>
      </c>
    </row>
    <row r="203">
      <c r="A203" s="3">
        <f>IFERROR(__xludf.DUMMYFUNCTION("""COMPUTED_VALUE"""),54.0)</f>
        <v>54</v>
      </c>
      <c r="B203" s="3" t="str">
        <f>IFERROR(__xludf.DUMMYFUNCTION("""COMPUTED_VALUE"""),"Mirinda")</f>
        <v>Mirinda</v>
      </c>
    </row>
    <row r="204">
      <c r="A204" s="3">
        <f>IFERROR(__xludf.DUMMYFUNCTION("""COMPUTED_VALUE"""),2.0)</f>
        <v>2</v>
      </c>
      <c r="B204" s="3" t="str">
        <f>IFERROR(__xludf.DUMMYFUNCTION("""COMPUTED_VALUE"""),"Water")</f>
        <v>Water</v>
      </c>
    </row>
    <row r="205">
      <c r="A205" s="3">
        <f>IFERROR(__xludf.DUMMYFUNCTION("""COMPUTED_VALUE"""),4.0)</f>
        <v>4</v>
      </c>
      <c r="B205" s="3" t="str">
        <f>IFERROR(__xludf.DUMMYFUNCTION("""COMPUTED_VALUE"""),"Skittles drink")</f>
        <v>Skittles drink</v>
      </c>
    </row>
    <row r="206">
      <c r="A206" s="3">
        <f>IFERROR(__xludf.DUMMYFUNCTION("""COMPUTED_VALUE"""),5.0)</f>
        <v>5</v>
      </c>
      <c r="B206" s="3" t="str">
        <f>IFERROR(__xludf.DUMMYFUNCTION("""COMPUTED_VALUE"""),"Schweppes")</f>
        <v>Schweppes</v>
      </c>
    </row>
    <row r="207">
      <c r="A207" s="3">
        <f>IFERROR(__xludf.DUMMYFUNCTION("""COMPUTED_VALUE"""),6.0)</f>
        <v>6</v>
      </c>
      <c r="B207" s="3" t="str">
        <f>IFERROR(__xludf.DUMMYFUNCTION("""COMPUTED_VALUE"""),"Tiger *12")</f>
        <v>Tiger *12</v>
      </c>
    </row>
    <row r="208">
      <c r="A208" s="3">
        <f>IFERROR(__xludf.DUMMYFUNCTION("""COMPUTED_VALUE"""),9.0)</f>
        <v>9</v>
      </c>
      <c r="B208" s="3" t="str">
        <f>IFERROR(__xludf.DUMMYFUNCTION("""COMPUTED_VALUE"""),"Pepsi 500ml")</f>
        <v>Pepsi 500ml</v>
      </c>
    </row>
    <row r="209">
      <c r="A209" s="3">
        <f>IFERROR(__xludf.DUMMYFUNCTION("""COMPUTED_VALUE"""),12.0)</f>
        <v>12</v>
      </c>
      <c r="B209" s="3" t="str">
        <f>IFERROR(__xludf.DUMMYFUNCTION("""COMPUTED_VALUE"""),"sunTop")</f>
        <v>sunTop</v>
      </c>
    </row>
    <row r="210">
      <c r="A210" s="3">
        <f>IFERROR(__xludf.DUMMYFUNCTION("""COMPUTED_VALUE"""),13.0)</f>
        <v>13</v>
      </c>
      <c r="B210" s="3" t="str">
        <f>IFERROR(__xludf.DUMMYFUNCTION("""COMPUTED_VALUE"""),"Ono cake")</f>
        <v>Ono cake</v>
      </c>
    </row>
    <row r="211">
      <c r="A211" s="3">
        <f>IFERROR(__xludf.DUMMYFUNCTION("""COMPUTED_VALUE"""),15.0)</f>
        <v>15</v>
      </c>
      <c r="B211" s="3" t="str">
        <f>IFERROR(__xludf.DUMMYFUNCTION("""COMPUTED_VALUE"""),"kinza")</f>
        <v>kinza</v>
      </c>
    </row>
    <row r="212">
      <c r="A212" s="3">
        <f>IFERROR(__xludf.DUMMYFUNCTION("""COMPUTED_VALUE"""),17.0)</f>
        <v>17</v>
      </c>
      <c r="B212" s="3" t="str">
        <f>IFERROR(__xludf.DUMMYFUNCTION("""COMPUTED_VALUE"""),"Doritos Dinamita")</f>
        <v>Doritos Dinamita</v>
      </c>
    </row>
    <row r="213">
      <c r="A213" s="3">
        <f>IFERROR(__xludf.DUMMYFUNCTION("""COMPUTED_VALUE"""),19.0)</f>
        <v>19</v>
      </c>
      <c r="B213" s="3" t="str">
        <f>IFERROR(__xludf.DUMMYFUNCTION("""COMPUTED_VALUE"""),"mr bite")</f>
        <v>mr bite</v>
      </c>
    </row>
    <row r="214">
      <c r="A214" s="3">
        <f>IFERROR(__xludf.DUMMYFUNCTION("""COMPUTED_VALUE"""),20.0)</f>
        <v>20</v>
      </c>
      <c r="B214" s="3" t="str">
        <f>IFERROR(__xludf.DUMMYFUNCTION("""COMPUTED_VALUE"""),"m&amp;m")</f>
        <v>m&amp;m</v>
      </c>
    </row>
    <row r="215">
      <c r="A215" s="3">
        <f>IFERROR(__xludf.DUMMYFUNCTION("""COMPUTED_VALUE"""),22.0)</f>
        <v>22</v>
      </c>
      <c r="B215" s="3" t="str">
        <f>IFERROR(__xludf.DUMMYFUNCTION("""COMPUTED_VALUE"""),"bonart")</f>
        <v>bonart</v>
      </c>
    </row>
    <row r="216">
      <c r="A216" s="3">
        <f>IFERROR(__xludf.DUMMYFUNCTION("""COMPUTED_VALUE"""),59.0)</f>
        <v>59</v>
      </c>
      <c r="B216" s="3" t="str">
        <f>IFERROR(__xludf.DUMMYFUNCTION("""COMPUTED_VALUE"""),"Toren Dark Chocolate")</f>
        <v>Toren Dark Chocolate</v>
      </c>
    </row>
    <row r="217">
      <c r="A217" s="3">
        <f>IFERROR(__xludf.DUMMYFUNCTION("""COMPUTED_VALUE"""),60.0)</f>
        <v>60</v>
      </c>
      <c r="B217" s="3" t="str">
        <f>IFERROR(__xludf.DUMMYFUNCTION("""COMPUTED_VALUE"""),"zigi marinated peanuts")</f>
        <v>zigi marinated peanuts</v>
      </c>
    </row>
    <row r="218">
      <c r="A218" s="3">
        <f>IFERROR(__xludf.DUMMYFUNCTION("""COMPUTED_VALUE"""),64.0)</f>
        <v>64</v>
      </c>
      <c r="B218" s="3" t="str">
        <f>IFERROR(__xludf.DUMMYFUNCTION("""COMPUTED_VALUE"""),"Almarai Strawberry")</f>
        <v>Almarai Strawberry</v>
      </c>
    </row>
    <row r="219">
      <c r="A219" s="3">
        <f>IFERROR(__xludf.DUMMYFUNCTION("""COMPUTED_VALUE"""),1.0)</f>
        <v>1</v>
      </c>
      <c r="B219" s="3" t="str">
        <f>IFERROR(__xludf.DUMMYFUNCTION("""COMPUTED_VALUE"""),"Doritos cool ranc")</f>
        <v>Doritos cool ranc</v>
      </c>
    </row>
    <row r="220">
      <c r="A220" s="3">
        <f>IFERROR(__xludf.DUMMYFUNCTION("""COMPUTED_VALUE"""),2.0)</f>
        <v>2</v>
      </c>
      <c r="B220" s="3" t="str">
        <f>IFERROR(__xludf.DUMMYFUNCTION("""COMPUTED_VALUE"""),"Water")</f>
        <v>Water</v>
      </c>
    </row>
    <row r="221">
      <c r="A221" s="3">
        <f>IFERROR(__xludf.DUMMYFUNCTION("""COMPUTED_VALUE"""),3.0)</f>
        <v>3</v>
      </c>
      <c r="B221" s="3" t="str">
        <f>IFERROR(__xludf.DUMMYFUNCTION("""COMPUTED_VALUE"""),"Maltesers")</f>
        <v>Maltesers</v>
      </c>
    </row>
    <row r="222">
      <c r="A222" s="3">
        <f>IFERROR(__xludf.DUMMYFUNCTION("""COMPUTED_VALUE"""),5.0)</f>
        <v>5</v>
      </c>
      <c r="B222" s="3" t="str">
        <f>IFERROR(__xludf.DUMMYFUNCTION("""COMPUTED_VALUE"""),"Schweppes")</f>
        <v>Schweppes</v>
      </c>
    </row>
    <row r="223">
      <c r="A223" s="3">
        <f>IFERROR(__xludf.DUMMYFUNCTION("""COMPUTED_VALUE"""),6.0)</f>
        <v>6</v>
      </c>
      <c r="B223" s="3" t="str">
        <f>IFERROR(__xludf.DUMMYFUNCTION("""COMPUTED_VALUE"""),"Tiger *12")</f>
        <v>Tiger *12</v>
      </c>
    </row>
    <row r="224">
      <c r="A224" s="3">
        <f>IFERROR(__xludf.DUMMYFUNCTION("""COMPUTED_VALUE"""),11.0)</f>
        <v>11</v>
      </c>
      <c r="B224" s="3" t="str">
        <f>IFERROR(__xludf.DUMMYFUNCTION("""COMPUTED_VALUE"""),"X!R")</f>
        <v>X!R</v>
      </c>
    </row>
    <row r="225">
      <c r="A225" s="3">
        <f>IFERROR(__xludf.DUMMYFUNCTION("""COMPUTED_VALUE"""),12.0)</f>
        <v>12</v>
      </c>
      <c r="B225" s="3" t="str">
        <f>IFERROR(__xludf.DUMMYFUNCTION("""COMPUTED_VALUE"""),"sunTop")</f>
        <v>sunTop</v>
      </c>
    </row>
    <row r="226">
      <c r="A226" s="3">
        <f>IFERROR(__xludf.DUMMYFUNCTION("""COMPUTED_VALUE"""),14.0)</f>
        <v>14</v>
      </c>
      <c r="B226" s="3" t="str">
        <f>IFERROR(__xludf.DUMMYFUNCTION("""COMPUTED_VALUE"""),"Kinder Bueno")</f>
        <v>Kinder Bueno</v>
      </c>
    </row>
    <row r="227">
      <c r="A227" s="3">
        <f>IFERROR(__xludf.DUMMYFUNCTION("""COMPUTED_VALUE"""),15.0)</f>
        <v>15</v>
      </c>
      <c r="B227" s="3" t="str">
        <f>IFERROR(__xludf.DUMMYFUNCTION("""COMPUTED_VALUE"""),"kinza")</f>
        <v>kinza</v>
      </c>
    </row>
    <row r="228">
      <c r="A228" s="3">
        <f>IFERROR(__xludf.DUMMYFUNCTION("""COMPUTED_VALUE"""),16.0)</f>
        <v>16</v>
      </c>
      <c r="B228" s="3" t="str">
        <f>IFERROR(__xludf.DUMMYFUNCTION("""COMPUTED_VALUE"""),"wafe'up")</f>
        <v>wafe'up</v>
      </c>
    </row>
    <row r="229">
      <c r="A229" s="3">
        <f>IFERROR(__xludf.DUMMYFUNCTION("""COMPUTED_VALUE"""),19.0)</f>
        <v>19</v>
      </c>
      <c r="B229" s="3" t="str">
        <f>IFERROR(__xludf.DUMMYFUNCTION("""COMPUTED_VALUE"""),"mr bite")</f>
        <v>mr bite</v>
      </c>
    </row>
    <row r="230">
      <c r="A230" s="3">
        <f>IFERROR(__xludf.DUMMYFUNCTION("""COMPUTED_VALUE"""),21.0)</f>
        <v>21</v>
      </c>
      <c r="B230" s="3" t="str">
        <f>IFERROR(__xludf.DUMMYFUNCTION("""COMPUTED_VALUE"""),"Laviva")</f>
        <v>Laviva</v>
      </c>
    </row>
    <row r="231">
      <c r="A231" s="3">
        <f>IFERROR(__xludf.DUMMYFUNCTION("""COMPUTED_VALUE"""),23.0)</f>
        <v>23</v>
      </c>
      <c r="B231" s="3" t="str">
        <f>IFERROR(__xludf.DUMMYFUNCTION("""COMPUTED_VALUE"""),"Freez")</f>
        <v>Freez</v>
      </c>
    </row>
    <row r="232">
      <c r="A232" s="3">
        <f>IFERROR(__xludf.DUMMYFUNCTION("""COMPUTED_VALUE"""),25.0)</f>
        <v>25</v>
      </c>
      <c r="B232" s="3" t="str">
        <f>IFERROR(__xludf.DUMMYFUNCTION("""COMPUTED_VALUE"""),"Twix")</f>
        <v>Twix</v>
      </c>
    </row>
    <row r="233">
      <c r="A233" s="3">
        <f>IFERROR(__xludf.DUMMYFUNCTION("""COMPUTED_VALUE"""),28.0)</f>
        <v>28</v>
      </c>
      <c r="B233" s="3" t="str">
        <f>IFERROR(__xludf.DUMMYFUNCTION("""COMPUTED_VALUE"""),"Snickers")</f>
        <v>Snickers</v>
      </c>
    </row>
    <row r="234">
      <c r="A234" s="3">
        <f>IFERROR(__xludf.DUMMYFUNCTION("""COMPUTED_VALUE"""),29.0)</f>
        <v>29</v>
      </c>
      <c r="B234" s="3" t="str">
        <f>IFERROR(__xludf.DUMMYFUNCTION("""COMPUTED_VALUE"""),"Pepsi")</f>
        <v>Pepsi</v>
      </c>
    </row>
    <row r="235">
      <c r="A235" s="3">
        <f>IFERROR(__xludf.DUMMYFUNCTION("""COMPUTED_VALUE"""),30.0)</f>
        <v>30</v>
      </c>
      <c r="B235" s="3" t="str">
        <f>IFERROR(__xludf.DUMMYFUNCTION("""COMPUTED_VALUE"""),"Mars")</f>
        <v>Mars</v>
      </c>
    </row>
    <row r="236">
      <c r="A236" s="3">
        <f>IFERROR(__xludf.DUMMYFUNCTION("""COMPUTED_VALUE"""),32.0)</f>
        <v>32</v>
      </c>
      <c r="B236" s="3" t="str">
        <f>IFERROR(__xludf.DUMMYFUNCTION("""COMPUTED_VALUE"""),"Almarai Chocolate")</f>
        <v>Almarai Chocolate</v>
      </c>
    </row>
    <row r="237">
      <c r="A237" s="3">
        <f>IFERROR(__xludf.DUMMYFUNCTION("""COMPUTED_VALUE"""),33.0)</f>
        <v>33</v>
      </c>
      <c r="B237" s="3" t="str">
        <f>IFERROR(__xludf.DUMMYFUNCTION("""COMPUTED_VALUE"""),"Corissant Karuzo")</f>
        <v>Corissant Karuzo</v>
      </c>
    </row>
    <row r="238">
      <c r="A238" s="3">
        <f>IFERROR(__xludf.DUMMYFUNCTION("""COMPUTED_VALUE"""),36.0)</f>
        <v>36</v>
      </c>
      <c r="B238" s="3" t="str">
        <f>IFERROR(__xludf.DUMMYFUNCTION("""COMPUTED_VALUE"""),"Kunuz Juice")</f>
        <v>Kunuz Juice</v>
      </c>
    </row>
    <row r="239">
      <c r="A239" s="3">
        <f>IFERROR(__xludf.DUMMYFUNCTION("""COMPUTED_VALUE"""),37.0)</f>
        <v>37</v>
      </c>
      <c r="B239" s="3" t="str">
        <f>IFERROR(__xludf.DUMMYFUNCTION("""COMPUTED_VALUE"""),"Digestive")</f>
        <v>Digestive</v>
      </c>
    </row>
    <row r="240">
      <c r="A240" s="3">
        <f>IFERROR(__xludf.DUMMYFUNCTION("""COMPUTED_VALUE"""),38.0)</f>
        <v>38</v>
      </c>
      <c r="B240" s="3" t="str">
        <f>IFERROR(__xludf.DUMMYFUNCTION("""COMPUTED_VALUE"""),"Lovita cookies")</f>
        <v>Lovita cookies</v>
      </c>
    </row>
    <row r="241">
      <c r="A241" s="3">
        <f>IFERROR(__xludf.DUMMYFUNCTION("""COMPUTED_VALUE"""),40.0)</f>
        <v>40</v>
      </c>
      <c r="B241" s="3" t="str">
        <f>IFERROR(__xludf.DUMMYFUNCTION("""COMPUTED_VALUE"""),"KitKat")</f>
        <v>KitKat</v>
      </c>
    </row>
    <row r="242">
      <c r="A242" s="3">
        <f>IFERROR(__xludf.DUMMYFUNCTION("""COMPUTED_VALUE"""),41.0)</f>
        <v>41</v>
      </c>
      <c r="B242" s="3" t="str">
        <f>IFERROR(__xludf.DUMMYFUNCTION("""COMPUTED_VALUE"""),"Pretzels")</f>
        <v>Pretzels</v>
      </c>
    </row>
    <row r="243">
      <c r="A243" s="3">
        <f>IFERROR(__xludf.DUMMYFUNCTION("""COMPUTED_VALUE"""),42.0)</f>
        <v>42</v>
      </c>
      <c r="B243" s="3" t="str">
        <f>IFERROR(__xludf.DUMMYFUNCTION("""COMPUTED_VALUE"""),"Green")</f>
        <v>Green</v>
      </c>
    </row>
    <row r="244">
      <c r="A244" s="3">
        <f>IFERROR(__xludf.DUMMYFUNCTION("""COMPUTED_VALUE"""),43.0)</f>
        <v>43</v>
      </c>
      <c r="B244" s="3" t="str">
        <f>IFERROR(__xludf.DUMMYFUNCTION("""COMPUTED_VALUE"""),"MrCrunch")</f>
        <v>MrCrunch</v>
      </c>
    </row>
    <row r="245">
      <c r="A245" s="3">
        <f>IFERROR(__xludf.DUMMYFUNCTION("""COMPUTED_VALUE"""),44.0)</f>
        <v>44</v>
      </c>
      <c r="B245" s="3" t="str">
        <f>IFERROR(__xludf.DUMMYFUNCTION("""COMPUTED_VALUE"""),"Caser Juice")</f>
        <v>Caser Juice</v>
      </c>
    </row>
    <row r="246">
      <c r="A246" s="3">
        <f>IFERROR(__xludf.DUMMYFUNCTION("""COMPUTED_VALUE"""),48.0)</f>
        <v>48</v>
      </c>
      <c r="B246" s="3" t="str">
        <f>IFERROR(__xludf.DUMMYFUNCTION("""COMPUTED_VALUE"""),"Kinder bueno1stick")</f>
        <v>Kinder bueno1stick</v>
      </c>
    </row>
    <row r="247">
      <c r="A247" s="3">
        <f>IFERROR(__xludf.DUMMYFUNCTION("""COMPUTED_VALUE"""),52.0)</f>
        <v>52</v>
      </c>
      <c r="B247" s="3" t="str">
        <f>IFERROR(__xludf.DUMMYFUNCTION("""COMPUTED_VALUE"""),"MR Crunch")</f>
        <v>MR Crunch</v>
      </c>
    </row>
    <row r="248">
      <c r="A248" s="3">
        <f>IFERROR(__xludf.DUMMYFUNCTION("""COMPUTED_VALUE"""),53.0)</f>
        <v>53</v>
      </c>
      <c r="B248" s="3" t="str">
        <f>IFERROR(__xludf.DUMMYFUNCTION("""COMPUTED_VALUE"""),"7up")</f>
        <v>7up</v>
      </c>
    </row>
    <row r="249">
      <c r="A249" s="3">
        <f>IFERROR(__xludf.DUMMYFUNCTION("""COMPUTED_VALUE"""),54.0)</f>
        <v>54</v>
      </c>
      <c r="B249" s="3" t="str">
        <f>IFERROR(__xludf.DUMMYFUNCTION("""COMPUTED_VALUE"""),"Mirinda")</f>
        <v>Mirinda</v>
      </c>
    </row>
    <row r="250">
      <c r="A250" s="3">
        <f>IFERROR(__xludf.DUMMYFUNCTION("""COMPUTED_VALUE"""),55.0)</f>
        <v>55</v>
      </c>
      <c r="B250" s="3" t="str">
        <f>IFERROR(__xludf.DUMMYFUNCTION("""COMPUTED_VALUE"""),"Tropia")</f>
        <v>Tropia</v>
      </c>
    </row>
    <row r="251">
      <c r="A251" s="3">
        <f>IFERROR(__xludf.DUMMYFUNCTION("""COMPUTED_VALUE"""),56.0)</f>
        <v>56</v>
      </c>
      <c r="B251" s="3" t="str">
        <f>IFERROR(__xludf.DUMMYFUNCTION("""COMPUTED_VALUE"""),"Bourbon biscuit")</f>
        <v>Bourbon biscuit</v>
      </c>
    </row>
    <row r="252">
      <c r="A252" s="3">
        <f>IFERROR(__xludf.DUMMYFUNCTION("""COMPUTED_VALUE"""),64.0)</f>
        <v>64</v>
      </c>
      <c r="B252" s="3" t="str">
        <f>IFERROR(__xludf.DUMMYFUNCTION("""COMPUTED_VALUE"""),"Almarai Strawberry")</f>
        <v>Almarai Strawberry</v>
      </c>
    </row>
    <row r="253">
      <c r="A253" s="3">
        <f>IFERROR(__xludf.DUMMYFUNCTION("""COMPUTED_VALUE"""),70.0)</f>
        <v>70</v>
      </c>
      <c r="B253" s="3" t="str">
        <f>IFERROR(__xludf.DUMMYFUNCTION("""COMPUTED_VALUE"""),"Indomie")</f>
        <v>Indomie</v>
      </c>
    </row>
    <row r="254">
      <c r="A254" s="3">
        <f>IFERROR(__xludf.DUMMYFUNCTION("""COMPUTED_VALUE"""),71.0)</f>
        <v>71</v>
      </c>
      <c r="B254" s="3" t="str">
        <f>IFERROR(__xludf.DUMMYFUNCTION("""COMPUTED_VALUE"""),"MrCrunch-RingGo")</f>
        <v>MrCrunch-RingGo</v>
      </c>
    </row>
    <row r="255">
      <c r="A255" s="3">
        <f>IFERROR(__xludf.DUMMYFUNCTION("""COMPUTED_VALUE"""),73.0)</f>
        <v>73</v>
      </c>
      <c r="B255" s="3" t="str">
        <f>IFERROR(__xludf.DUMMYFUNCTION("""COMPUTED_VALUE"""),"Rani")</f>
        <v>Rani</v>
      </c>
    </row>
    <row r="256">
      <c r="A256" s="3">
        <f>IFERROR(__xludf.DUMMYFUNCTION("""COMPUTED_VALUE"""),75.0)</f>
        <v>75</v>
      </c>
      <c r="B256" s="3" t="str">
        <f>IFERROR(__xludf.DUMMYFUNCTION("""COMPUTED_VALUE"""),"Twix ex")</f>
        <v>Twix ex</v>
      </c>
    </row>
    <row r="257">
      <c r="A257" s="3">
        <f>IFERROR(__xludf.DUMMYFUNCTION("""COMPUTED_VALUE"""),76.0)</f>
        <v>76</v>
      </c>
      <c r="B257" s="3" t="str">
        <f>IFERROR(__xludf.DUMMYFUNCTION("""COMPUTED_VALUE"""),"koren Indomie")</f>
        <v>koren Indomie</v>
      </c>
    </row>
    <row r="258">
      <c r="A258" s="3">
        <f>IFERROR(__xludf.DUMMYFUNCTION("""COMPUTED_VALUE"""),1.0)</f>
        <v>1</v>
      </c>
      <c r="B258" s="3" t="str">
        <f>IFERROR(__xludf.DUMMYFUNCTION("""COMPUTED_VALUE"""),"Doritos cool ranc")</f>
        <v>Doritos cool ranc</v>
      </c>
    </row>
    <row r="259">
      <c r="A259" s="3">
        <f>IFERROR(__xludf.DUMMYFUNCTION("""COMPUTED_VALUE"""),2.0)</f>
        <v>2</v>
      </c>
      <c r="B259" s="3" t="str">
        <f>IFERROR(__xludf.DUMMYFUNCTION("""COMPUTED_VALUE"""),"Water")</f>
        <v>Water</v>
      </c>
    </row>
    <row r="260">
      <c r="A260" s="3">
        <f>IFERROR(__xludf.DUMMYFUNCTION("""COMPUTED_VALUE"""),3.0)</f>
        <v>3</v>
      </c>
      <c r="B260" s="3" t="str">
        <f>IFERROR(__xludf.DUMMYFUNCTION("""COMPUTED_VALUE"""),"Maltesers")</f>
        <v>Maltesers</v>
      </c>
    </row>
    <row r="261">
      <c r="A261" s="3">
        <f>IFERROR(__xludf.DUMMYFUNCTION("""COMPUTED_VALUE"""),5.0)</f>
        <v>5</v>
      </c>
      <c r="B261" s="3" t="str">
        <f>IFERROR(__xludf.DUMMYFUNCTION("""COMPUTED_VALUE"""),"Schweppes")</f>
        <v>Schweppes</v>
      </c>
    </row>
    <row r="262">
      <c r="A262" s="3">
        <f>IFERROR(__xludf.DUMMYFUNCTION("""COMPUTED_VALUE"""),6.0)</f>
        <v>6</v>
      </c>
      <c r="B262" s="3" t="str">
        <f>IFERROR(__xludf.DUMMYFUNCTION("""COMPUTED_VALUE"""),"Tiger *12")</f>
        <v>Tiger *12</v>
      </c>
    </row>
    <row r="263">
      <c r="A263" s="3">
        <f>IFERROR(__xludf.DUMMYFUNCTION("""COMPUTED_VALUE"""),9.0)</f>
        <v>9</v>
      </c>
      <c r="B263" s="3" t="str">
        <f>IFERROR(__xludf.DUMMYFUNCTION("""COMPUTED_VALUE"""),"Pepsi 500ml")</f>
        <v>Pepsi 500ml</v>
      </c>
    </row>
    <row r="264">
      <c r="A264" s="3">
        <f>IFERROR(__xludf.DUMMYFUNCTION("""COMPUTED_VALUE"""),10.0)</f>
        <v>10</v>
      </c>
      <c r="B264" s="3" t="str">
        <f>IFERROR(__xludf.DUMMYFUNCTION("""COMPUTED_VALUE"""),"Skittles")</f>
        <v>Skittles</v>
      </c>
    </row>
    <row r="265">
      <c r="A265" s="3">
        <f>IFERROR(__xludf.DUMMYFUNCTION("""COMPUTED_VALUE"""),11.0)</f>
        <v>11</v>
      </c>
      <c r="B265" s="3" t="str">
        <f>IFERROR(__xludf.DUMMYFUNCTION("""COMPUTED_VALUE"""),"X!R")</f>
        <v>X!R</v>
      </c>
    </row>
    <row r="266">
      <c r="A266" s="3">
        <f>IFERROR(__xludf.DUMMYFUNCTION("""COMPUTED_VALUE"""),12.0)</f>
        <v>12</v>
      </c>
      <c r="B266" s="3" t="str">
        <f>IFERROR(__xludf.DUMMYFUNCTION("""COMPUTED_VALUE"""),"sunTop")</f>
        <v>sunTop</v>
      </c>
    </row>
    <row r="267">
      <c r="A267" s="3">
        <f>IFERROR(__xludf.DUMMYFUNCTION("""COMPUTED_VALUE"""),14.0)</f>
        <v>14</v>
      </c>
      <c r="B267" s="3" t="str">
        <f>IFERROR(__xludf.DUMMYFUNCTION("""COMPUTED_VALUE"""),"Kinder Bueno")</f>
        <v>Kinder Bueno</v>
      </c>
    </row>
    <row r="268">
      <c r="A268" s="3">
        <f>IFERROR(__xludf.DUMMYFUNCTION("""COMPUTED_VALUE"""),15.0)</f>
        <v>15</v>
      </c>
      <c r="B268" s="3" t="str">
        <f>IFERROR(__xludf.DUMMYFUNCTION("""COMPUTED_VALUE"""),"kinza")</f>
        <v>kinza</v>
      </c>
    </row>
    <row r="269">
      <c r="A269" s="3">
        <f>IFERROR(__xludf.DUMMYFUNCTION("""COMPUTED_VALUE"""),19.0)</f>
        <v>19</v>
      </c>
      <c r="B269" s="3" t="str">
        <f>IFERROR(__xludf.DUMMYFUNCTION("""COMPUTED_VALUE"""),"mr bite")</f>
        <v>mr bite</v>
      </c>
    </row>
    <row r="270">
      <c r="A270" s="3">
        <f>IFERROR(__xludf.DUMMYFUNCTION("""COMPUTED_VALUE"""),21.0)</f>
        <v>21</v>
      </c>
      <c r="B270" s="3" t="str">
        <f>IFERROR(__xludf.DUMMYFUNCTION("""COMPUTED_VALUE"""),"Laviva")</f>
        <v>Laviva</v>
      </c>
    </row>
    <row r="271">
      <c r="A271" s="3">
        <f>IFERROR(__xludf.DUMMYFUNCTION("""COMPUTED_VALUE"""),22.0)</f>
        <v>22</v>
      </c>
      <c r="B271" s="3" t="str">
        <f>IFERROR(__xludf.DUMMYFUNCTION("""COMPUTED_VALUE"""),"bonart")</f>
        <v>bonart</v>
      </c>
    </row>
    <row r="272">
      <c r="A272" s="3">
        <f>IFERROR(__xludf.DUMMYFUNCTION("""COMPUTED_VALUE"""),23.0)</f>
        <v>23</v>
      </c>
      <c r="B272" s="3" t="str">
        <f>IFERROR(__xludf.DUMMYFUNCTION("""COMPUTED_VALUE"""),"Freez")</f>
        <v>Freez</v>
      </c>
    </row>
    <row r="273">
      <c r="A273" s="3">
        <f>IFERROR(__xludf.DUMMYFUNCTION("""COMPUTED_VALUE"""),25.0)</f>
        <v>25</v>
      </c>
      <c r="B273" s="3" t="str">
        <f>IFERROR(__xludf.DUMMYFUNCTION("""COMPUTED_VALUE"""),"Twix")</f>
        <v>Twix</v>
      </c>
    </row>
    <row r="274">
      <c r="A274" s="3">
        <f>IFERROR(__xludf.DUMMYFUNCTION("""COMPUTED_VALUE"""),26.0)</f>
        <v>26</v>
      </c>
      <c r="B274" s="3" t="str">
        <f>IFERROR(__xludf.DUMMYFUNCTION("""COMPUTED_VALUE"""),"Bounty")</f>
        <v>Bounty</v>
      </c>
    </row>
    <row r="275">
      <c r="A275" s="3">
        <f>IFERROR(__xludf.DUMMYFUNCTION("""COMPUTED_VALUE"""),28.0)</f>
        <v>28</v>
      </c>
      <c r="B275" s="3" t="str">
        <f>IFERROR(__xludf.DUMMYFUNCTION("""COMPUTED_VALUE"""),"Snickers")</f>
        <v>Snickers</v>
      </c>
    </row>
    <row r="276">
      <c r="A276" s="3">
        <f>IFERROR(__xludf.DUMMYFUNCTION("""COMPUTED_VALUE"""),29.0)</f>
        <v>29</v>
      </c>
      <c r="B276" s="3" t="str">
        <f>IFERROR(__xludf.DUMMYFUNCTION("""COMPUTED_VALUE"""),"Pepsi")</f>
        <v>Pepsi</v>
      </c>
    </row>
    <row r="277">
      <c r="A277" s="3">
        <f>IFERROR(__xludf.DUMMYFUNCTION("""COMPUTED_VALUE"""),30.0)</f>
        <v>30</v>
      </c>
      <c r="B277" s="3" t="str">
        <f>IFERROR(__xludf.DUMMYFUNCTION("""COMPUTED_VALUE"""),"Mars")</f>
        <v>Mars</v>
      </c>
    </row>
    <row r="278">
      <c r="A278" s="3">
        <f>IFERROR(__xludf.DUMMYFUNCTION("""COMPUTED_VALUE"""),32.0)</f>
        <v>32</v>
      </c>
      <c r="B278" s="3" t="str">
        <f>IFERROR(__xludf.DUMMYFUNCTION("""COMPUTED_VALUE"""),"Almarai Chocolate")</f>
        <v>Almarai Chocolate</v>
      </c>
    </row>
    <row r="279">
      <c r="A279" s="3">
        <f>IFERROR(__xludf.DUMMYFUNCTION("""COMPUTED_VALUE"""),42.0)</f>
        <v>42</v>
      </c>
      <c r="B279" s="3" t="str">
        <f>IFERROR(__xludf.DUMMYFUNCTION("""COMPUTED_VALUE"""),"Green")</f>
        <v>Green</v>
      </c>
    </row>
    <row r="280">
      <c r="A280" s="3">
        <f>IFERROR(__xludf.DUMMYFUNCTION("""COMPUTED_VALUE"""),43.0)</f>
        <v>43</v>
      </c>
      <c r="B280" s="3" t="str">
        <f>IFERROR(__xludf.DUMMYFUNCTION("""COMPUTED_VALUE"""),"MrCrunch")</f>
        <v>MrCrunch</v>
      </c>
    </row>
    <row r="281">
      <c r="A281" s="3">
        <f>IFERROR(__xludf.DUMMYFUNCTION("""COMPUTED_VALUE"""),47.0)</f>
        <v>47</v>
      </c>
      <c r="B281" s="3" t="str">
        <f>IFERROR(__xludf.DUMMYFUNCTION("""COMPUTED_VALUE"""),"MrCrunch Normal")</f>
        <v>MrCrunch Normal</v>
      </c>
    </row>
    <row r="282">
      <c r="A282" s="3">
        <f>IFERROR(__xludf.DUMMYFUNCTION("""COMPUTED_VALUE"""),48.0)</f>
        <v>48</v>
      </c>
      <c r="B282" s="3" t="str">
        <f>IFERROR(__xludf.DUMMYFUNCTION("""COMPUTED_VALUE"""),"Kinder bueno1stick")</f>
        <v>Kinder bueno1stick</v>
      </c>
    </row>
    <row r="283">
      <c r="A283" s="3">
        <f>IFERROR(__xludf.DUMMYFUNCTION("""COMPUTED_VALUE"""),49.0)</f>
        <v>49</v>
      </c>
      <c r="B283" s="3" t="str">
        <f>IFERROR(__xludf.DUMMYFUNCTION("""COMPUTED_VALUE"""),"Haribo")</f>
        <v>Haribo</v>
      </c>
    </row>
    <row r="284">
      <c r="A284" s="3">
        <f>IFERROR(__xludf.DUMMYFUNCTION("""COMPUTED_VALUE"""),53.0)</f>
        <v>53</v>
      </c>
      <c r="B284" s="3" t="str">
        <f>IFERROR(__xludf.DUMMYFUNCTION("""COMPUTED_VALUE"""),"7up")</f>
        <v>7up</v>
      </c>
    </row>
    <row r="285">
      <c r="A285" s="3">
        <f>IFERROR(__xludf.DUMMYFUNCTION("""COMPUTED_VALUE"""),54.0)</f>
        <v>54</v>
      </c>
      <c r="B285" s="3" t="str">
        <f>IFERROR(__xludf.DUMMYFUNCTION("""COMPUTED_VALUE"""),"Mirinda")</f>
        <v>Mirinda</v>
      </c>
    </row>
    <row r="286">
      <c r="A286" s="3">
        <f>IFERROR(__xludf.DUMMYFUNCTION("""COMPUTED_VALUE"""),64.0)</f>
        <v>64</v>
      </c>
      <c r="B286" s="3" t="str">
        <f>IFERROR(__xludf.DUMMYFUNCTION("""COMPUTED_VALUE"""),"Almarai Strawberry")</f>
        <v>Almarai Strawberry</v>
      </c>
    </row>
    <row r="287">
      <c r="A287" s="3">
        <f>IFERROR(__xludf.DUMMYFUNCTION("""COMPUTED_VALUE"""),73.0)</f>
        <v>73</v>
      </c>
      <c r="B287" s="3" t="str">
        <f>IFERROR(__xludf.DUMMYFUNCTION("""COMPUTED_VALUE"""),"Rani")</f>
        <v>Rani</v>
      </c>
    </row>
    <row r="288">
      <c r="A288" s="3">
        <f>IFERROR(__xludf.DUMMYFUNCTION("""COMPUTED_VALUE"""),75.0)</f>
        <v>75</v>
      </c>
      <c r="B288" s="3" t="str">
        <f>IFERROR(__xludf.DUMMYFUNCTION("""COMPUTED_VALUE"""),"Twix ex")</f>
        <v>Twix ex</v>
      </c>
    </row>
    <row r="289">
      <c r="A289" s="3">
        <f>IFERROR(__xludf.DUMMYFUNCTION("""COMPUTED_VALUE"""),83.0)</f>
        <v>83</v>
      </c>
      <c r="B289" s="3" t="str">
        <f>IFERROR(__xludf.DUMMYFUNCTION("""COMPUTED_VALUE"""),"Doritos real")</f>
        <v>Doritos real</v>
      </c>
    </row>
    <row r="290">
      <c r="A290" s="3">
        <f>IFERROR(__xludf.DUMMYFUNCTION("""COMPUTED_VALUE"""),84.0)</f>
        <v>84</v>
      </c>
      <c r="B290" s="3" t="str">
        <f>IFERROR(__xludf.DUMMYFUNCTION("""COMPUTED_VALUE"""),"ex mars")</f>
        <v>ex mars</v>
      </c>
    </row>
    <row r="291">
      <c r="A291" s="3">
        <f>IFERROR(__xludf.DUMMYFUNCTION("""COMPUTED_VALUE"""),2.0)</f>
        <v>2</v>
      </c>
      <c r="B291" s="3" t="str">
        <f>IFERROR(__xludf.DUMMYFUNCTION("""COMPUTED_VALUE"""),"Water")</f>
        <v>Water</v>
      </c>
    </row>
    <row r="292">
      <c r="A292" s="3">
        <f>IFERROR(__xludf.DUMMYFUNCTION("""COMPUTED_VALUE"""),6.0)</f>
        <v>6</v>
      </c>
      <c r="B292" s="3" t="str">
        <f>IFERROR(__xludf.DUMMYFUNCTION("""COMPUTED_VALUE"""),"Tiger *12")</f>
        <v>Tiger *12</v>
      </c>
    </row>
    <row r="293">
      <c r="A293" s="3">
        <f>IFERROR(__xludf.DUMMYFUNCTION("""COMPUTED_VALUE"""),12.0)</f>
        <v>12</v>
      </c>
      <c r="B293" s="3" t="str">
        <f>IFERROR(__xludf.DUMMYFUNCTION("""COMPUTED_VALUE"""),"sunTop")</f>
        <v>sunTop</v>
      </c>
    </row>
    <row r="294">
      <c r="A294" s="3">
        <f>IFERROR(__xludf.DUMMYFUNCTION("""COMPUTED_VALUE"""),15.0)</f>
        <v>15</v>
      </c>
      <c r="B294" s="3" t="str">
        <f>IFERROR(__xludf.DUMMYFUNCTION("""COMPUTED_VALUE"""),"kinza")</f>
        <v>kinza</v>
      </c>
    </row>
    <row r="295">
      <c r="A295" s="3">
        <f>IFERROR(__xludf.DUMMYFUNCTION("""COMPUTED_VALUE"""),32.0)</f>
        <v>32</v>
      </c>
      <c r="B295" s="3" t="str">
        <f>IFERROR(__xludf.DUMMYFUNCTION("""COMPUTED_VALUE"""),"Almarai Chocolate")</f>
        <v>Almarai Chocolate</v>
      </c>
    </row>
    <row r="296">
      <c r="A296" s="3">
        <f>IFERROR(__xludf.DUMMYFUNCTION("""COMPUTED_VALUE"""),38.0)</f>
        <v>38</v>
      </c>
      <c r="B296" s="3" t="str">
        <f>IFERROR(__xludf.DUMMYFUNCTION("""COMPUTED_VALUE"""),"Lovita cookies")</f>
        <v>Lovita cookies</v>
      </c>
    </row>
    <row r="297">
      <c r="A297" s="3">
        <f>IFERROR(__xludf.DUMMYFUNCTION("""COMPUTED_VALUE"""),41.0)</f>
        <v>41</v>
      </c>
      <c r="B297" s="3" t="str">
        <f>IFERROR(__xludf.DUMMYFUNCTION("""COMPUTED_VALUE"""),"Pretzels")</f>
        <v>Pretzels</v>
      </c>
    </row>
    <row r="298">
      <c r="A298" s="3">
        <f>IFERROR(__xludf.DUMMYFUNCTION("""COMPUTED_VALUE"""),44.0)</f>
        <v>44</v>
      </c>
      <c r="B298" s="3" t="str">
        <f>IFERROR(__xludf.DUMMYFUNCTION("""COMPUTED_VALUE"""),"Caser Juice")</f>
        <v>Caser Juice</v>
      </c>
    </row>
    <row r="299">
      <c r="A299" s="3">
        <f>IFERROR(__xludf.DUMMYFUNCTION("""COMPUTED_VALUE"""),57.0)</f>
        <v>57</v>
      </c>
      <c r="B299" s="3" t="str">
        <f>IFERROR(__xludf.DUMMYFUNCTION("""COMPUTED_VALUE"""),"ifruit juice")</f>
        <v>ifruit juice</v>
      </c>
    </row>
    <row r="300">
      <c r="A300" s="3">
        <f>IFERROR(__xludf.DUMMYFUNCTION("""COMPUTED_VALUE"""),58.0)</f>
        <v>58</v>
      </c>
      <c r="B300" s="3" t="str">
        <f>IFERROR(__xludf.DUMMYFUNCTION("""COMPUTED_VALUE"""),"Today Chocolate")</f>
        <v>Today Chocolate</v>
      </c>
    </row>
    <row r="301">
      <c r="A301" s="3">
        <f>IFERROR(__xludf.DUMMYFUNCTION("""COMPUTED_VALUE"""),59.0)</f>
        <v>59</v>
      </c>
      <c r="B301" s="3" t="str">
        <f>IFERROR(__xludf.DUMMYFUNCTION("""COMPUTED_VALUE"""),"Toren Dark Chocolate")</f>
        <v>Toren Dark Chocolate</v>
      </c>
    </row>
    <row r="302">
      <c r="A302" s="3">
        <f>IFERROR(__xludf.DUMMYFUNCTION("""COMPUTED_VALUE"""),60.0)</f>
        <v>60</v>
      </c>
      <c r="B302" s="3" t="str">
        <f>IFERROR(__xludf.DUMMYFUNCTION("""COMPUTED_VALUE"""),"zigi marinated peanuts")</f>
        <v>zigi marinated peanuts</v>
      </c>
    </row>
    <row r="303">
      <c r="A303" s="3">
        <f>IFERROR(__xludf.DUMMYFUNCTION("""COMPUTED_VALUE"""),61.0)</f>
        <v>61</v>
      </c>
      <c r="B303" s="3" t="str">
        <f>IFERROR(__xludf.DUMMYFUNCTION("""COMPUTED_VALUE"""),"Prime")</f>
        <v>Prime</v>
      </c>
    </row>
    <row r="304">
      <c r="A304" s="3">
        <f>IFERROR(__xludf.DUMMYFUNCTION("""COMPUTED_VALUE"""),62.0)</f>
        <v>62</v>
      </c>
      <c r="B304" s="3" t="str">
        <f>IFERROR(__xludf.DUMMYFUNCTION("""COMPUTED_VALUE"""),"Jannaty")</f>
        <v>Jannaty</v>
      </c>
    </row>
    <row r="305">
      <c r="A305" s="3">
        <f>IFERROR(__xludf.DUMMYFUNCTION("""COMPUTED_VALUE"""),63.0)</f>
        <v>63</v>
      </c>
      <c r="B305" s="3" t="str">
        <f>IFERROR(__xludf.DUMMYFUNCTION("""COMPUTED_VALUE"""),"PopCorn Chocolate")</f>
        <v>PopCorn Chocolate</v>
      </c>
    </row>
    <row r="306">
      <c r="A306" s="3">
        <f>IFERROR(__xludf.DUMMYFUNCTION("""COMPUTED_VALUE"""),64.0)</f>
        <v>64</v>
      </c>
      <c r="B306" s="3" t="str">
        <f>IFERROR(__xludf.DUMMYFUNCTION("""COMPUTED_VALUE"""),"Almarai Strawberry")</f>
        <v>Almarai Strawberry</v>
      </c>
    </row>
    <row r="307">
      <c r="A307" s="3">
        <f>IFERROR(__xludf.DUMMYFUNCTION("""COMPUTED_VALUE"""),65.0)</f>
        <v>65</v>
      </c>
      <c r="B307" s="3" t="str">
        <f>IFERROR(__xludf.DUMMYFUNCTION("""COMPUTED_VALUE"""),"Dallas juice")</f>
        <v>Dallas juice</v>
      </c>
    </row>
    <row r="308">
      <c r="A308" s="3">
        <f>IFERROR(__xludf.DUMMYFUNCTION("""COMPUTED_VALUE"""),66.0)</f>
        <v>66</v>
      </c>
      <c r="B308" s="3" t="str">
        <f>IFERROR(__xludf.DUMMYFUNCTION("""COMPUTED_VALUE"""),"Prime Ex")</f>
        <v>Prime Ex</v>
      </c>
    </row>
    <row r="309">
      <c r="A309" s="3">
        <f>IFERROR(__xludf.DUMMYFUNCTION("""COMPUTED_VALUE"""),67.0)</f>
        <v>67</v>
      </c>
      <c r="B309" s="3" t="str">
        <f>IFERROR(__xludf.DUMMYFUNCTION("""COMPUTED_VALUE"""),"Nuts")</f>
        <v>Nuts</v>
      </c>
    </row>
    <row r="310">
      <c r="A310" s="3">
        <f>IFERROR(__xludf.DUMMYFUNCTION("""COMPUTED_VALUE"""),68.0)</f>
        <v>68</v>
      </c>
      <c r="B310" s="3" t="str">
        <f>IFERROR(__xludf.DUMMYFUNCTION("""COMPUTED_VALUE"""),"Yipy Juice")</f>
        <v>Yipy Juice</v>
      </c>
    </row>
    <row r="311">
      <c r="A311" s="3">
        <f>IFERROR(__xludf.DUMMYFUNCTION("""COMPUTED_VALUE"""),72.0)</f>
        <v>72</v>
      </c>
      <c r="B311" s="3" t="str">
        <f>IFERROR(__xludf.DUMMYFUNCTION("""COMPUTED_VALUE"""),"Roshetto")</f>
        <v>Roshetto</v>
      </c>
    </row>
    <row r="312">
      <c r="A312" s="3">
        <f>IFERROR(__xludf.DUMMYFUNCTION("""COMPUTED_VALUE"""),73.0)</f>
        <v>73</v>
      </c>
      <c r="B312" s="3" t="str">
        <f>IFERROR(__xludf.DUMMYFUNCTION("""COMPUTED_VALUE"""),"Rani")</f>
        <v>Rani</v>
      </c>
    </row>
    <row r="313">
      <c r="A313" s="3">
        <f>IFERROR(__xludf.DUMMYFUNCTION("""COMPUTED_VALUE"""),74.0)</f>
        <v>74</v>
      </c>
      <c r="B313" s="3" t="str">
        <f>IFERROR(__xludf.DUMMYFUNCTION("""COMPUTED_VALUE"""),"HiPro")</f>
        <v>HiPro</v>
      </c>
    </row>
    <row r="314">
      <c r="A314" s="3">
        <f>IFERROR(__xludf.DUMMYFUNCTION("""COMPUTED_VALUE"""),77.0)</f>
        <v>77</v>
      </c>
      <c r="B314" s="3" t="str">
        <f>IFERROR(__xludf.DUMMYFUNCTION("""COMPUTED_VALUE"""),"Saminsa")</f>
        <v>Saminsa</v>
      </c>
    </row>
    <row r="315">
      <c r="A315" s="3">
        <f>IFERROR(__xludf.DUMMYFUNCTION("""COMPUTED_VALUE"""),78.0)</f>
        <v>78</v>
      </c>
      <c r="B315" s="3" t="str">
        <f>IFERROR(__xludf.DUMMYFUNCTION("""COMPUTED_VALUE"""),"Mulino Cookis")</f>
        <v>Mulino Cookis</v>
      </c>
    </row>
    <row r="316">
      <c r="A316" s="3">
        <f>IFERROR(__xludf.DUMMYFUNCTION("""COMPUTED_VALUE"""),80.0)</f>
        <v>80</v>
      </c>
      <c r="B316" s="3" t="str">
        <f>IFERROR(__xludf.DUMMYFUNCTION("""COMPUTED_VALUE"""),"Yasmin Penuts")</f>
        <v>Yasmin Penuts</v>
      </c>
    </row>
    <row r="317">
      <c r="A317" s="3">
        <f>IFERROR(__xludf.DUMMYFUNCTION("""COMPUTED_VALUE"""),81.0)</f>
        <v>81</v>
      </c>
      <c r="B317" s="3" t="str">
        <f>IFERROR(__xludf.DUMMYFUNCTION("""COMPUTED_VALUE"""),"Smsm")</f>
        <v>Smsm</v>
      </c>
    </row>
    <row r="318">
      <c r="A318" s="3">
        <f>IFERROR(__xludf.DUMMYFUNCTION("""COMPUTED_VALUE"""),82.0)</f>
        <v>82</v>
      </c>
      <c r="B318" s="3" t="str">
        <f>IFERROR(__xludf.DUMMYFUNCTION("""COMPUTED_VALUE"""),"L suntop")</f>
        <v>L suntop</v>
      </c>
    </row>
    <row r="319">
      <c r="A319" s="3">
        <f>IFERROR(__xludf.DUMMYFUNCTION("""COMPUTED_VALUE"""),2.0)</f>
        <v>2</v>
      </c>
      <c r="B319" s="3" t="str">
        <f>IFERROR(__xludf.DUMMYFUNCTION("""COMPUTED_VALUE"""),"Water")</f>
        <v>Water</v>
      </c>
    </row>
    <row r="320">
      <c r="A320" s="3">
        <f>IFERROR(__xludf.DUMMYFUNCTION("""COMPUTED_VALUE"""),3.0)</f>
        <v>3</v>
      </c>
      <c r="B320" s="3" t="str">
        <f>IFERROR(__xludf.DUMMYFUNCTION("""COMPUTED_VALUE"""),"Maltesers")</f>
        <v>Maltesers</v>
      </c>
    </row>
    <row r="321">
      <c r="A321" s="3">
        <f>IFERROR(__xludf.DUMMYFUNCTION("""COMPUTED_VALUE"""),5.0)</f>
        <v>5</v>
      </c>
      <c r="B321" s="3" t="str">
        <f>IFERROR(__xludf.DUMMYFUNCTION("""COMPUTED_VALUE"""),"Schweppes")</f>
        <v>Schweppes</v>
      </c>
    </row>
    <row r="322">
      <c r="A322" s="3">
        <f>IFERROR(__xludf.DUMMYFUNCTION("""COMPUTED_VALUE"""),6.0)</f>
        <v>6</v>
      </c>
      <c r="B322" s="3" t="str">
        <f>IFERROR(__xludf.DUMMYFUNCTION("""COMPUTED_VALUE"""),"Tiger *12")</f>
        <v>Tiger *12</v>
      </c>
    </row>
    <row r="323">
      <c r="A323" s="3">
        <f>IFERROR(__xludf.DUMMYFUNCTION("""COMPUTED_VALUE"""),11.0)</f>
        <v>11</v>
      </c>
      <c r="B323" s="3" t="str">
        <f>IFERROR(__xludf.DUMMYFUNCTION("""COMPUTED_VALUE"""),"X!R")</f>
        <v>X!R</v>
      </c>
    </row>
    <row r="324">
      <c r="A324" s="3">
        <f>IFERROR(__xludf.DUMMYFUNCTION("""COMPUTED_VALUE"""),12.0)</f>
        <v>12</v>
      </c>
      <c r="B324" s="3" t="str">
        <f>IFERROR(__xludf.DUMMYFUNCTION("""COMPUTED_VALUE"""),"sunTop")</f>
        <v>sunTop</v>
      </c>
    </row>
    <row r="325">
      <c r="A325" s="3">
        <f>IFERROR(__xludf.DUMMYFUNCTION("""COMPUTED_VALUE"""),14.0)</f>
        <v>14</v>
      </c>
      <c r="B325" s="3" t="str">
        <f>IFERROR(__xludf.DUMMYFUNCTION("""COMPUTED_VALUE"""),"Kinder Bueno")</f>
        <v>Kinder Bueno</v>
      </c>
    </row>
    <row r="326">
      <c r="A326" s="3">
        <f>IFERROR(__xludf.DUMMYFUNCTION("""COMPUTED_VALUE"""),15.0)</f>
        <v>15</v>
      </c>
      <c r="B326" s="3" t="str">
        <f>IFERROR(__xludf.DUMMYFUNCTION("""COMPUTED_VALUE"""),"kinza")</f>
        <v>kinza</v>
      </c>
    </row>
    <row r="327">
      <c r="A327" s="3">
        <f>IFERROR(__xludf.DUMMYFUNCTION("""COMPUTED_VALUE"""),19.0)</f>
        <v>19</v>
      </c>
      <c r="B327" s="3" t="str">
        <f>IFERROR(__xludf.DUMMYFUNCTION("""COMPUTED_VALUE"""),"mr bite")</f>
        <v>mr bite</v>
      </c>
    </row>
    <row r="328">
      <c r="A328" s="3">
        <f>IFERROR(__xludf.DUMMYFUNCTION("""COMPUTED_VALUE"""),21.0)</f>
        <v>21</v>
      </c>
      <c r="B328" s="3" t="str">
        <f>IFERROR(__xludf.DUMMYFUNCTION("""COMPUTED_VALUE"""),"Laviva")</f>
        <v>Laviva</v>
      </c>
    </row>
    <row r="329">
      <c r="A329" s="3">
        <f>IFERROR(__xludf.DUMMYFUNCTION("""COMPUTED_VALUE"""),25.0)</f>
        <v>25</v>
      </c>
      <c r="B329" s="3" t="str">
        <f>IFERROR(__xludf.DUMMYFUNCTION("""COMPUTED_VALUE"""),"Twix")</f>
        <v>Twix</v>
      </c>
    </row>
    <row r="330">
      <c r="A330" s="3">
        <f>IFERROR(__xludf.DUMMYFUNCTION("""COMPUTED_VALUE"""),28.0)</f>
        <v>28</v>
      </c>
      <c r="B330" s="3" t="str">
        <f>IFERROR(__xludf.DUMMYFUNCTION("""COMPUTED_VALUE"""),"Snickers")</f>
        <v>Snickers</v>
      </c>
    </row>
    <row r="331">
      <c r="A331" s="3">
        <f>IFERROR(__xludf.DUMMYFUNCTION("""COMPUTED_VALUE"""),29.0)</f>
        <v>29</v>
      </c>
      <c r="B331" s="3" t="str">
        <f>IFERROR(__xludf.DUMMYFUNCTION("""COMPUTED_VALUE"""),"Pepsi")</f>
        <v>Pepsi</v>
      </c>
    </row>
    <row r="332">
      <c r="A332" s="3">
        <f>IFERROR(__xludf.DUMMYFUNCTION("""COMPUTED_VALUE"""),30.0)</f>
        <v>30</v>
      </c>
      <c r="B332" s="3" t="str">
        <f>IFERROR(__xludf.DUMMYFUNCTION("""COMPUTED_VALUE"""),"Mars")</f>
        <v>Mars</v>
      </c>
    </row>
    <row r="333">
      <c r="A333" s="3">
        <f>IFERROR(__xludf.DUMMYFUNCTION("""COMPUTED_VALUE"""),32.0)</f>
        <v>32</v>
      </c>
      <c r="B333" s="3" t="str">
        <f>IFERROR(__xludf.DUMMYFUNCTION("""COMPUTED_VALUE"""),"Almarai Chocolate")</f>
        <v>Almarai Chocolate</v>
      </c>
    </row>
    <row r="334">
      <c r="A334" s="3">
        <f>IFERROR(__xludf.DUMMYFUNCTION("""COMPUTED_VALUE"""),33.0)</f>
        <v>33</v>
      </c>
      <c r="B334" s="3" t="str">
        <f>IFERROR(__xludf.DUMMYFUNCTION("""COMPUTED_VALUE"""),"Corissant Karuzo")</f>
        <v>Corissant Karuzo</v>
      </c>
    </row>
    <row r="335">
      <c r="A335" s="3">
        <f>IFERROR(__xludf.DUMMYFUNCTION("""COMPUTED_VALUE"""),37.0)</f>
        <v>37</v>
      </c>
      <c r="B335" s="3" t="str">
        <f>IFERROR(__xludf.DUMMYFUNCTION("""COMPUTED_VALUE"""),"Digestive")</f>
        <v>Digestive</v>
      </c>
    </row>
    <row r="336">
      <c r="A336" s="3">
        <f>IFERROR(__xludf.DUMMYFUNCTION("""COMPUTED_VALUE"""),38.0)</f>
        <v>38</v>
      </c>
      <c r="B336" s="3" t="str">
        <f>IFERROR(__xludf.DUMMYFUNCTION("""COMPUTED_VALUE"""),"Lovita cookies")</f>
        <v>Lovita cookies</v>
      </c>
    </row>
    <row r="337">
      <c r="A337" s="3">
        <f>IFERROR(__xludf.DUMMYFUNCTION("""COMPUTED_VALUE"""),40.0)</f>
        <v>40</v>
      </c>
      <c r="B337" s="3" t="str">
        <f>IFERROR(__xludf.DUMMYFUNCTION("""COMPUTED_VALUE"""),"KitKat")</f>
        <v>KitKat</v>
      </c>
    </row>
    <row r="338">
      <c r="A338" s="3">
        <f>IFERROR(__xludf.DUMMYFUNCTION("""COMPUTED_VALUE"""),41.0)</f>
        <v>41</v>
      </c>
      <c r="B338" s="3" t="str">
        <f>IFERROR(__xludf.DUMMYFUNCTION("""COMPUTED_VALUE"""),"Pretzels")</f>
        <v>Pretzels</v>
      </c>
    </row>
    <row r="339">
      <c r="A339" s="3">
        <f>IFERROR(__xludf.DUMMYFUNCTION("""COMPUTED_VALUE"""),42.0)</f>
        <v>42</v>
      </c>
      <c r="B339" s="3" t="str">
        <f>IFERROR(__xludf.DUMMYFUNCTION("""COMPUTED_VALUE"""),"Green")</f>
        <v>Green</v>
      </c>
    </row>
    <row r="340">
      <c r="A340" s="3">
        <f>IFERROR(__xludf.DUMMYFUNCTION("""COMPUTED_VALUE"""),43.0)</f>
        <v>43</v>
      </c>
      <c r="B340" s="3" t="str">
        <f>IFERROR(__xludf.DUMMYFUNCTION("""COMPUTED_VALUE"""),"MrCrunch")</f>
        <v>MrCrunch</v>
      </c>
    </row>
    <row r="341">
      <c r="A341" s="3">
        <f>IFERROR(__xludf.DUMMYFUNCTION("""COMPUTED_VALUE"""),44.0)</f>
        <v>44</v>
      </c>
      <c r="B341" s="3" t="str">
        <f>IFERROR(__xludf.DUMMYFUNCTION("""COMPUTED_VALUE"""),"Caser Juice")</f>
        <v>Caser Juice</v>
      </c>
    </row>
    <row r="342">
      <c r="A342" s="3">
        <f>IFERROR(__xludf.DUMMYFUNCTION("""COMPUTED_VALUE"""),47.0)</f>
        <v>47</v>
      </c>
      <c r="B342" s="3" t="str">
        <f>IFERROR(__xludf.DUMMYFUNCTION("""COMPUTED_VALUE"""),"MrCrunch Normal")</f>
        <v>MrCrunch Normal</v>
      </c>
    </row>
    <row r="343">
      <c r="A343" s="3">
        <f>IFERROR(__xludf.DUMMYFUNCTION("""COMPUTED_VALUE"""),48.0)</f>
        <v>48</v>
      </c>
      <c r="B343" s="3" t="str">
        <f>IFERROR(__xludf.DUMMYFUNCTION("""COMPUTED_VALUE"""),"Kinder bueno1stick")</f>
        <v>Kinder bueno1stick</v>
      </c>
    </row>
    <row r="344">
      <c r="A344" s="3">
        <f>IFERROR(__xludf.DUMMYFUNCTION("""COMPUTED_VALUE"""),54.0)</f>
        <v>54</v>
      </c>
      <c r="B344" s="3" t="str">
        <f>IFERROR(__xludf.DUMMYFUNCTION("""COMPUTED_VALUE"""),"Mirinda")</f>
        <v>Mirinda</v>
      </c>
    </row>
    <row r="345">
      <c r="A345" s="3">
        <f>IFERROR(__xludf.DUMMYFUNCTION("""COMPUTED_VALUE"""),64.0)</f>
        <v>64</v>
      </c>
      <c r="B345" s="3" t="str">
        <f>IFERROR(__xludf.DUMMYFUNCTION("""COMPUTED_VALUE"""),"Almarai Strawberry")</f>
        <v>Almarai Strawberry</v>
      </c>
    </row>
    <row r="346">
      <c r="A346" s="3">
        <f>IFERROR(__xludf.DUMMYFUNCTION("""COMPUTED_VALUE"""),70.0)</f>
        <v>70</v>
      </c>
      <c r="B346" s="3" t="str">
        <f>IFERROR(__xludf.DUMMYFUNCTION("""COMPUTED_VALUE"""),"Indomie")</f>
        <v>Indomie</v>
      </c>
    </row>
    <row r="347">
      <c r="A347" s="3">
        <f>IFERROR(__xludf.DUMMYFUNCTION("""COMPUTED_VALUE"""),71.0)</f>
        <v>71</v>
      </c>
      <c r="B347" s="3" t="str">
        <f>IFERROR(__xludf.DUMMYFUNCTION("""COMPUTED_VALUE"""),"MrCrunch-RingGo")</f>
        <v>MrCrunch-RingGo</v>
      </c>
    </row>
    <row r="348">
      <c r="A348" s="3">
        <f>IFERROR(__xludf.DUMMYFUNCTION("""COMPUTED_VALUE"""),73.0)</f>
        <v>73</v>
      </c>
      <c r="B348" s="3" t="str">
        <f>IFERROR(__xludf.DUMMYFUNCTION("""COMPUTED_VALUE"""),"Rani")</f>
        <v>Rani</v>
      </c>
    </row>
    <row r="349">
      <c r="A349" s="3">
        <f>IFERROR(__xludf.DUMMYFUNCTION("""COMPUTED_VALUE"""),74.0)</f>
        <v>74</v>
      </c>
      <c r="B349" s="3" t="str">
        <f>IFERROR(__xludf.DUMMYFUNCTION("""COMPUTED_VALUE"""),"HiPro")</f>
        <v>HiPro</v>
      </c>
    </row>
    <row r="350">
      <c r="A350" s="3">
        <f>IFERROR(__xludf.DUMMYFUNCTION("""COMPUTED_VALUE"""),75.0)</f>
        <v>75</v>
      </c>
      <c r="B350" s="3" t="str">
        <f>IFERROR(__xludf.DUMMYFUNCTION("""COMPUTED_VALUE"""),"Twix ex")</f>
        <v>Twix ex</v>
      </c>
    </row>
    <row r="351">
      <c r="A351" s="3">
        <f>IFERROR(__xludf.DUMMYFUNCTION("""COMPUTED_VALUE"""),76.0)</f>
        <v>76</v>
      </c>
      <c r="B351" s="3" t="str">
        <f>IFERROR(__xludf.DUMMYFUNCTION("""COMPUTED_VALUE"""),"koren Indomie")</f>
        <v>koren Indomie</v>
      </c>
    </row>
    <row r="352">
      <c r="A352" s="3">
        <f>IFERROR(__xludf.DUMMYFUNCTION("""COMPUTED_VALUE"""),83.0)</f>
        <v>83</v>
      </c>
      <c r="B352" s="3" t="str">
        <f>IFERROR(__xludf.DUMMYFUNCTION("""COMPUTED_VALUE"""),"Doritos real")</f>
        <v>Doritos real</v>
      </c>
    </row>
    <row r="353">
      <c r="A353" s="3">
        <f>IFERROR(__xludf.DUMMYFUNCTION("""COMPUTED_VALUE"""),84.0)</f>
        <v>84</v>
      </c>
      <c r="B353" s="3" t="str">
        <f>IFERROR(__xludf.DUMMYFUNCTION("""COMPUTED_VALUE"""),"ex mars")</f>
        <v>ex mars</v>
      </c>
    </row>
    <row r="354">
      <c r="A354" s="3">
        <f>IFERROR(__xludf.DUMMYFUNCTION("""COMPUTED_VALUE"""),1.0)</f>
        <v>1</v>
      </c>
      <c r="B354" s="3" t="str">
        <f>IFERROR(__xludf.DUMMYFUNCTION("""COMPUTED_VALUE"""),"Doritos cool ranc")</f>
        <v>Doritos cool ranc</v>
      </c>
    </row>
    <row r="355">
      <c r="A355" s="3">
        <f>IFERROR(__xludf.DUMMYFUNCTION("""COMPUTED_VALUE"""),2.0)</f>
        <v>2</v>
      </c>
      <c r="B355" s="3" t="str">
        <f>IFERROR(__xludf.DUMMYFUNCTION("""COMPUTED_VALUE"""),"Water")</f>
        <v>Water</v>
      </c>
    </row>
    <row r="356">
      <c r="A356" s="3">
        <f>IFERROR(__xludf.DUMMYFUNCTION("""COMPUTED_VALUE"""),3.0)</f>
        <v>3</v>
      </c>
      <c r="B356" s="3" t="str">
        <f>IFERROR(__xludf.DUMMYFUNCTION("""COMPUTED_VALUE"""),"Maltesers")</f>
        <v>Maltesers</v>
      </c>
    </row>
    <row r="357">
      <c r="A357" s="3">
        <f>IFERROR(__xludf.DUMMYFUNCTION("""COMPUTED_VALUE"""),5.0)</f>
        <v>5</v>
      </c>
      <c r="B357" s="3" t="str">
        <f>IFERROR(__xludf.DUMMYFUNCTION("""COMPUTED_VALUE"""),"Schweppes")</f>
        <v>Schweppes</v>
      </c>
    </row>
    <row r="358">
      <c r="A358" s="3">
        <f>IFERROR(__xludf.DUMMYFUNCTION("""COMPUTED_VALUE"""),6.0)</f>
        <v>6</v>
      </c>
      <c r="B358" s="3" t="str">
        <f>IFERROR(__xludf.DUMMYFUNCTION("""COMPUTED_VALUE"""),"Tiger *12")</f>
        <v>Tiger *12</v>
      </c>
    </row>
    <row r="359">
      <c r="A359" s="3">
        <f>IFERROR(__xludf.DUMMYFUNCTION("""COMPUTED_VALUE"""),11.0)</f>
        <v>11</v>
      </c>
      <c r="B359" s="3" t="str">
        <f>IFERROR(__xludf.DUMMYFUNCTION("""COMPUTED_VALUE"""),"X!R")</f>
        <v>X!R</v>
      </c>
    </row>
    <row r="360">
      <c r="A360" s="3">
        <f>IFERROR(__xludf.DUMMYFUNCTION("""COMPUTED_VALUE"""),12.0)</f>
        <v>12</v>
      </c>
      <c r="B360" s="3" t="str">
        <f>IFERROR(__xludf.DUMMYFUNCTION("""COMPUTED_VALUE"""),"sunTop")</f>
        <v>sunTop</v>
      </c>
    </row>
    <row r="361">
      <c r="A361" s="3">
        <f>IFERROR(__xludf.DUMMYFUNCTION("""COMPUTED_VALUE"""),14.0)</f>
        <v>14</v>
      </c>
      <c r="B361" s="3" t="str">
        <f>IFERROR(__xludf.DUMMYFUNCTION("""COMPUTED_VALUE"""),"Kinder Bueno")</f>
        <v>Kinder Bueno</v>
      </c>
    </row>
    <row r="362">
      <c r="A362" s="3">
        <f>IFERROR(__xludf.DUMMYFUNCTION("""COMPUTED_VALUE"""),19.0)</f>
        <v>19</v>
      </c>
      <c r="B362" s="3" t="str">
        <f>IFERROR(__xludf.DUMMYFUNCTION("""COMPUTED_VALUE"""),"mr bite")</f>
        <v>mr bite</v>
      </c>
    </row>
    <row r="363">
      <c r="A363" s="3">
        <f>IFERROR(__xludf.DUMMYFUNCTION("""COMPUTED_VALUE"""),21.0)</f>
        <v>21</v>
      </c>
      <c r="B363" s="3" t="str">
        <f>IFERROR(__xludf.DUMMYFUNCTION("""COMPUTED_VALUE"""),"Laviva")</f>
        <v>Laviva</v>
      </c>
    </row>
    <row r="364">
      <c r="A364" s="3">
        <f>IFERROR(__xludf.DUMMYFUNCTION("""COMPUTED_VALUE"""),22.0)</f>
        <v>22</v>
      </c>
      <c r="B364" s="3" t="str">
        <f>IFERROR(__xludf.DUMMYFUNCTION("""COMPUTED_VALUE"""),"bonart")</f>
        <v>bonart</v>
      </c>
    </row>
    <row r="365">
      <c r="A365" s="3">
        <f>IFERROR(__xludf.DUMMYFUNCTION("""COMPUTED_VALUE"""),25.0)</f>
        <v>25</v>
      </c>
      <c r="B365" s="3" t="str">
        <f>IFERROR(__xludf.DUMMYFUNCTION("""COMPUTED_VALUE"""),"Twix")</f>
        <v>Twix</v>
      </c>
    </row>
    <row r="366">
      <c r="A366" s="3">
        <f>IFERROR(__xludf.DUMMYFUNCTION("""COMPUTED_VALUE"""),26.0)</f>
        <v>26</v>
      </c>
      <c r="B366" s="3" t="str">
        <f>IFERROR(__xludf.DUMMYFUNCTION("""COMPUTED_VALUE"""),"Bounty")</f>
        <v>Bounty</v>
      </c>
    </row>
    <row r="367">
      <c r="A367" s="3">
        <f>IFERROR(__xludf.DUMMYFUNCTION("""COMPUTED_VALUE"""),28.0)</f>
        <v>28</v>
      </c>
      <c r="B367" s="3" t="str">
        <f>IFERROR(__xludf.DUMMYFUNCTION("""COMPUTED_VALUE"""),"Snickers")</f>
        <v>Snickers</v>
      </c>
    </row>
    <row r="368">
      <c r="A368" s="3">
        <f>IFERROR(__xludf.DUMMYFUNCTION("""COMPUTED_VALUE"""),29.0)</f>
        <v>29</v>
      </c>
      <c r="B368" s="3" t="str">
        <f>IFERROR(__xludf.DUMMYFUNCTION("""COMPUTED_VALUE"""),"Pepsi")</f>
        <v>Pepsi</v>
      </c>
    </row>
    <row r="369">
      <c r="A369" s="3">
        <f>IFERROR(__xludf.DUMMYFUNCTION("""COMPUTED_VALUE"""),32.0)</f>
        <v>32</v>
      </c>
      <c r="B369" s="3" t="str">
        <f>IFERROR(__xludf.DUMMYFUNCTION("""COMPUTED_VALUE"""),"Almarai Chocolate")</f>
        <v>Almarai Chocolate</v>
      </c>
    </row>
    <row r="370">
      <c r="A370" s="3">
        <f>IFERROR(__xludf.DUMMYFUNCTION("""COMPUTED_VALUE"""),42.0)</f>
        <v>42</v>
      </c>
      <c r="B370" s="3" t="str">
        <f>IFERROR(__xludf.DUMMYFUNCTION("""COMPUTED_VALUE"""),"Green")</f>
        <v>Green</v>
      </c>
    </row>
    <row r="371">
      <c r="A371" s="3">
        <f>IFERROR(__xludf.DUMMYFUNCTION("""COMPUTED_VALUE"""),43.0)</f>
        <v>43</v>
      </c>
      <c r="B371" s="3" t="str">
        <f>IFERROR(__xludf.DUMMYFUNCTION("""COMPUTED_VALUE"""),"MrCrunch")</f>
        <v>MrCrunch</v>
      </c>
    </row>
    <row r="372">
      <c r="A372" s="3">
        <f>IFERROR(__xludf.DUMMYFUNCTION("""COMPUTED_VALUE"""),47.0)</f>
        <v>47</v>
      </c>
      <c r="B372" s="3" t="str">
        <f>IFERROR(__xludf.DUMMYFUNCTION("""COMPUTED_VALUE"""),"MrCrunch Normal")</f>
        <v>MrCrunch Normal</v>
      </c>
    </row>
    <row r="373">
      <c r="A373" s="3">
        <f>IFERROR(__xludf.DUMMYFUNCTION("""COMPUTED_VALUE"""),48.0)</f>
        <v>48</v>
      </c>
      <c r="B373" s="3" t="str">
        <f>IFERROR(__xludf.DUMMYFUNCTION("""COMPUTED_VALUE"""),"Kinder bueno1stick")</f>
        <v>Kinder bueno1stick</v>
      </c>
    </row>
    <row r="374">
      <c r="A374" s="3">
        <f>IFERROR(__xludf.DUMMYFUNCTION("""COMPUTED_VALUE"""),49.0)</f>
        <v>49</v>
      </c>
      <c r="B374" s="3" t="str">
        <f>IFERROR(__xludf.DUMMYFUNCTION("""COMPUTED_VALUE"""),"Haribo")</f>
        <v>Haribo</v>
      </c>
    </row>
    <row r="375">
      <c r="A375" s="3">
        <f>IFERROR(__xludf.DUMMYFUNCTION("""COMPUTED_VALUE"""),53.0)</f>
        <v>53</v>
      </c>
      <c r="B375" s="3" t="str">
        <f>IFERROR(__xludf.DUMMYFUNCTION("""COMPUTED_VALUE"""),"7up")</f>
        <v>7up</v>
      </c>
    </row>
    <row r="376">
      <c r="A376" s="3">
        <f>IFERROR(__xludf.DUMMYFUNCTION("""COMPUTED_VALUE"""),54.0)</f>
        <v>54</v>
      </c>
      <c r="B376" s="3" t="str">
        <f>IFERROR(__xludf.DUMMYFUNCTION("""COMPUTED_VALUE"""),"Mirinda")</f>
        <v>Mirinda</v>
      </c>
    </row>
    <row r="377">
      <c r="A377" s="3">
        <f>IFERROR(__xludf.DUMMYFUNCTION("""COMPUTED_VALUE"""),64.0)</f>
        <v>64</v>
      </c>
      <c r="B377" s="3" t="str">
        <f>IFERROR(__xludf.DUMMYFUNCTION("""COMPUTED_VALUE"""),"Almarai Strawberry")</f>
        <v>Almarai Strawberry</v>
      </c>
    </row>
    <row r="378">
      <c r="A378" s="3">
        <f>IFERROR(__xludf.DUMMYFUNCTION("""COMPUTED_VALUE"""),71.0)</f>
        <v>71</v>
      </c>
      <c r="B378" s="3" t="str">
        <f>IFERROR(__xludf.DUMMYFUNCTION("""COMPUTED_VALUE"""),"MrCrunch-RingGo")</f>
        <v>MrCrunch-RingGo</v>
      </c>
    </row>
    <row r="379">
      <c r="A379" s="3">
        <f>IFERROR(__xludf.DUMMYFUNCTION("""COMPUTED_VALUE"""),73.0)</f>
        <v>73</v>
      </c>
      <c r="B379" s="3" t="str">
        <f>IFERROR(__xludf.DUMMYFUNCTION("""COMPUTED_VALUE"""),"Rani")</f>
        <v>Rani</v>
      </c>
    </row>
    <row r="380">
      <c r="A380" s="3">
        <f>IFERROR(__xludf.DUMMYFUNCTION("""COMPUTED_VALUE"""),74.0)</f>
        <v>74</v>
      </c>
      <c r="B380" s="3" t="str">
        <f>IFERROR(__xludf.DUMMYFUNCTION("""COMPUTED_VALUE"""),"HiPro")</f>
        <v>HiPro</v>
      </c>
    </row>
    <row r="381">
      <c r="A381" s="3">
        <f>IFERROR(__xludf.DUMMYFUNCTION("""COMPUTED_VALUE"""),75.0)</f>
        <v>75</v>
      </c>
      <c r="B381" s="3" t="str">
        <f>IFERROR(__xludf.DUMMYFUNCTION("""COMPUTED_VALUE"""),"Twix ex")</f>
        <v>Twix ex</v>
      </c>
    </row>
    <row r="382">
      <c r="A382" s="3">
        <f>IFERROR(__xludf.DUMMYFUNCTION("""COMPUTED_VALUE"""),83.0)</f>
        <v>83</v>
      </c>
      <c r="B382" s="3" t="str">
        <f>IFERROR(__xludf.DUMMYFUNCTION("""COMPUTED_VALUE"""),"Doritos real")</f>
        <v>Doritos real</v>
      </c>
    </row>
    <row r="383">
      <c r="A383" s="3">
        <f>IFERROR(__xludf.DUMMYFUNCTION("""COMPUTED_VALUE"""),84.0)</f>
        <v>84</v>
      </c>
      <c r="B383" s="3" t="str">
        <f>IFERROR(__xludf.DUMMYFUNCTION("""COMPUTED_VALUE"""),"ex mars")</f>
        <v>ex mars</v>
      </c>
    </row>
    <row r="384">
      <c r="A384" s="3">
        <f>IFERROR(__xludf.DUMMYFUNCTION("""COMPUTED_VALUE"""),2.0)</f>
        <v>2</v>
      </c>
      <c r="B384" s="3" t="str">
        <f>IFERROR(__xludf.DUMMYFUNCTION("""COMPUTED_VALUE"""),"Water")</f>
        <v>Water</v>
      </c>
    </row>
    <row r="385">
      <c r="A385" s="3">
        <f>IFERROR(__xludf.DUMMYFUNCTION("""COMPUTED_VALUE"""),12.0)</f>
        <v>12</v>
      </c>
      <c r="B385" s="3" t="str">
        <f>IFERROR(__xludf.DUMMYFUNCTION("""COMPUTED_VALUE"""),"sunTop")</f>
        <v>sunTop</v>
      </c>
    </row>
    <row r="386">
      <c r="A386" s="3">
        <f>IFERROR(__xludf.DUMMYFUNCTION("""COMPUTED_VALUE"""),32.0)</f>
        <v>32</v>
      </c>
      <c r="B386" s="3" t="str">
        <f>IFERROR(__xludf.DUMMYFUNCTION("""COMPUTED_VALUE"""),"Almarai Chocolate")</f>
        <v>Almarai Chocolate</v>
      </c>
    </row>
    <row r="387">
      <c r="A387" s="3">
        <f>IFERROR(__xludf.DUMMYFUNCTION("""COMPUTED_VALUE"""),38.0)</f>
        <v>38</v>
      </c>
      <c r="B387" s="3" t="str">
        <f>IFERROR(__xludf.DUMMYFUNCTION("""COMPUTED_VALUE"""),"Lovita cookies")</f>
        <v>Lovita cookies</v>
      </c>
    </row>
    <row r="388">
      <c r="A388" s="3">
        <f>IFERROR(__xludf.DUMMYFUNCTION("""COMPUTED_VALUE"""),41.0)</f>
        <v>41</v>
      </c>
      <c r="B388" s="3" t="str">
        <f>IFERROR(__xludf.DUMMYFUNCTION("""COMPUTED_VALUE"""),"Pretzels")</f>
        <v>Pretzels</v>
      </c>
    </row>
    <row r="389">
      <c r="A389" s="3">
        <f>IFERROR(__xludf.DUMMYFUNCTION("""COMPUTED_VALUE"""),44.0)</f>
        <v>44</v>
      </c>
      <c r="B389" s="3" t="str">
        <f>IFERROR(__xludf.DUMMYFUNCTION("""COMPUTED_VALUE"""),"Caser Juice")</f>
        <v>Caser Juice</v>
      </c>
    </row>
    <row r="390">
      <c r="A390" s="3">
        <f>IFERROR(__xludf.DUMMYFUNCTION("""COMPUTED_VALUE"""),57.0)</f>
        <v>57</v>
      </c>
      <c r="B390" s="3" t="str">
        <f>IFERROR(__xludf.DUMMYFUNCTION("""COMPUTED_VALUE"""),"ifruit juice")</f>
        <v>ifruit juice</v>
      </c>
    </row>
    <row r="391">
      <c r="A391" s="3">
        <f>IFERROR(__xludf.DUMMYFUNCTION("""COMPUTED_VALUE"""),58.0)</f>
        <v>58</v>
      </c>
      <c r="B391" s="3" t="str">
        <f>IFERROR(__xludf.DUMMYFUNCTION("""COMPUTED_VALUE"""),"Today Chocolate")</f>
        <v>Today Chocolate</v>
      </c>
    </row>
    <row r="392">
      <c r="A392" s="3">
        <f>IFERROR(__xludf.DUMMYFUNCTION("""COMPUTED_VALUE"""),59.0)</f>
        <v>59</v>
      </c>
      <c r="B392" s="3" t="str">
        <f>IFERROR(__xludf.DUMMYFUNCTION("""COMPUTED_VALUE"""),"Toren Dark Chocolate")</f>
        <v>Toren Dark Chocolate</v>
      </c>
    </row>
    <row r="393">
      <c r="A393" s="3">
        <f>IFERROR(__xludf.DUMMYFUNCTION("""COMPUTED_VALUE"""),60.0)</f>
        <v>60</v>
      </c>
      <c r="B393" s="3" t="str">
        <f>IFERROR(__xludf.DUMMYFUNCTION("""COMPUTED_VALUE"""),"zigi marinated peanuts")</f>
        <v>zigi marinated peanuts</v>
      </c>
    </row>
    <row r="394">
      <c r="A394" s="3">
        <f>IFERROR(__xludf.DUMMYFUNCTION("""COMPUTED_VALUE"""),61.0)</f>
        <v>61</v>
      </c>
      <c r="B394" s="3" t="str">
        <f>IFERROR(__xludf.DUMMYFUNCTION("""COMPUTED_VALUE"""),"Prime")</f>
        <v>Prime</v>
      </c>
    </row>
    <row r="395">
      <c r="A395" s="3">
        <f>IFERROR(__xludf.DUMMYFUNCTION("""COMPUTED_VALUE"""),62.0)</f>
        <v>62</v>
      </c>
      <c r="B395" s="3" t="str">
        <f>IFERROR(__xludf.DUMMYFUNCTION("""COMPUTED_VALUE"""),"Jannaty")</f>
        <v>Jannaty</v>
      </c>
    </row>
    <row r="396">
      <c r="A396" s="3">
        <f>IFERROR(__xludf.DUMMYFUNCTION("""COMPUTED_VALUE"""),63.0)</f>
        <v>63</v>
      </c>
      <c r="B396" s="3" t="str">
        <f>IFERROR(__xludf.DUMMYFUNCTION("""COMPUTED_VALUE"""),"PopCorn Chocolate")</f>
        <v>PopCorn Chocolate</v>
      </c>
    </row>
    <row r="397">
      <c r="A397" s="3">
        <f>IFERROR(__xludf.DUMMYFUNCTION("""COMPUTED_VALUE"""),64.0)</f>
        <v>64</v>
      </c>
      <c r="B397" s="3" t="str">
        <f>IFERROR(__xludf.DUMMYFUNCTION("""COMPUTED_VALUE"""),"Almarai Strawberry")</f>
        <v>Almarai Strawberry</v>
      </c>
    </row>
    <row r="398">
      <c r="A398" s="3">
        <f>IFERROR(__xludf.DUMMYFUNCTION("""COMPUTED_VALUE"""),65.0)</f>
        <v>65</v>
      </c>
      <c r="B398" s="3" t="str">
        <f>IFERROR(__xludf.DUMMYFUNCTION("""COMPUTED_VALUE"""),"Dallas juice")</f>
        <v>Dallas juice</v>
      </c>
    </row>
    <row r="399">
      <c r="A399" s="3">
        <f>IFERROR(__xludf.DUMMYFUNCTION("""COMPUTED_VALUE"""),66.0)</f>
        <v>66</v>
      </c>
      <c r="B399" s="3" t="str">
        <f>IFERROR(__xludf.DUMMYFUNCTION("""COMPUTED_VALUE"""),"Prime Ex")</f>
        <v>Prime Ex</v>
      </c>
    </row>
    <row r="400">
      <c r="A400" s="3">
        <f>IFERROR(__xludf.DUMMYFUNCTION("""COMPUTED_VALUE"""),67.0)</f>
        <v>67</v>
      </c>
      <c r="B400" s="3" t="str">
        <f>IFERROR(__xludf.DUMMYFUNCTION("""COMPUTED_VALUE"""),"Nuts")</f>
        <v>Nuts</v>
      </c>
    </row>
    <row r="401">
      <c r="A401" s="3">
        <f>IFERROR(__xludf.DUMMYFUNCTION("""COMPUTED_VALUE"""),68.0)</f>
        <v>68</v>
      </c>
      <c r="B401" s="3" t="str">
        <f>IFERROR(__xludf.DUMMYFUNCTION("""COMPUTED_VALUE"""),"Yipy Juice")</f>
        <v>Yipy Juice</v>
      </c>
    </row>
    <row r="402">
      <c r="A402" s="3">
        <f>IFERROR(__xludf.DUMMYFUNCTION("""COMPUTED_VALUE"""),72.0)</f>
        <v>72</v>
      </c>
      <c r="B402" s="3" t="str">
        <f>IFERROR(__xludf.DUMMYFUNCTION("""COMPUTED_VALUE"""),"Roshetto")</f>
        <v>Roshetto</v>
      </c>
    </row>
    <row r="403">
      <c r="A403" s="3">
        <f>IFERROR(__xludf.DUMMYFUNCTION("""COMPUTED_VALUE"""),73.0)</f>
        <v>73</v>
      </c>
      <c r="B403" s="3" t="str">
        <f>IFERROR(__xludf.DUMMYFUNCTION("""COMPUTED_VALUE"""),"Rani")</f>
        <v>Rani</v>
      </c>
    </row>
    <row r="404">
      <c r="A404" s="3">
        <f>IFERROR(__xludf.DUMMYFUNCTION("""COMPUTED_VALUE"""),74.0)</f>
        <v>74</v>
      </c>
      <c r="B404" s="3" t="str">
        <f>IFERROR(__xludf.DUMMYFUNCTION("""COMPUTED_VALUE"""),"HiPro")</f>
        <v>HiPro</v>
      </c>
    </row>
    <row r="405">
      <c r="A405" s="3">
        <f>IFERROR(__xludf.DUMMYFUNCTION("""COMPUTED_VALUE"""),77.0)</f>
        <v>77</v>
      </c>
      <c r="B405" s="3" t="str">
        <f>IFERROR(__xludf.DUMMYFUNCTION("""COMPUTED_VALUE"""),"Saminsa")</f>
        <v>Saminsa</v>
      </c>
    </row>
    <row r="406">
      <c r="A406" s="3">
        <f>IFERROR(__xludf.DUMMYFUNCTION("""COMPUTED_VALUE"""),78.0)</f>
        <v>78</v>
      </c>
      <c r="B406" s="3" t="str">
        <f>IFERROR(__xludf.DUMMYFUNCTION("""COMPUTED_VALUE"""),"Mulino Cookis")</f>
        <v>Mulino Cookis</v>
      </c>
    </row>
    <row r="407">
      <c r="A407" s="3">
        <f>IFERROR(__xludf.DUMMYFUNCTION("""COMPUTED_VALUE"""),79.0)</f>
        <v>79</v>
      </c>
      <c r="B407" s="3" t="str">
        <f>IFERROR(__xludf.DUMMYFUNCTION("""COMPUTED_VALUE"""),"Yasmin Almonds")</f>
        <v>Yasmin Almonds</v>
      </c>
    </row>
    <row r="408">
      <c r="A408" s="3">
        <f>IFERROR(__xludf.DUMMYFUNCTION("""COMPUTED_VALUE"""),80.0)</f>
        <v>80</v>
      </c>
      <c r="B408" s="3" t="str">
        <f>IFERROR(__xludf.DUMMYFUNCTION("""COMPUTED_VALUE"""),"Yasmin Penuts")</f>
        <v>Yasmin Penuts</v>
      </c>
    </row>
    <row r="409">
      <c r="A409" s="3">
        <f>IFERROR(__xludf.DUMMYFUNCTION("""COMPUTED_VALUE"""),81.0)</f>
        <v>81</v>
      </c>
      <c r="B409" s="3" t="str">
        <f>IFERROR(__xludf.DUMMYFUNCTION("""COMPUTED_VALUE"""),"Smsm")</f>
        <v>Smsm</v>
      </c>
    </row>
    <row r="410">
      <c r="A410" s="3">
        <f>IFERROR(__xludf.DUMMYFUNCTION("""COMPUTED_VALUE"""),82.0)</f>
        <v>82</v>
      </c>
      <c r="B410" s="3" t="str">
        <f>IFERROR(__xludf.DUMMYFUNCTION("""COMPUTED_VALUE"""),"L suntop")</f>
        <v>L suntop</v>
      </c>
    </row>
    <row r="411">
      <c r="A411" s="3">
        <f>IFERROR(__xludf.DUMMYFUNCTION("""COMPUTED_VALUE"""),1.0)</f>
        <v>1</v>
      </c>
      <c r="B411" s="3" t="str">
        <f>IFERROR(__xludf.DUMMYFUNCTION("""COMPUTED_VALUE"""),"Doritos cool ranc")</f>
        <v>Doritos cool ranc</v>
      </c>
    </row>
    <row r="412">
      <c r="A412" s="3">
        <f>IFERROR(__xludf.DUMMYFUNCTION("""COMPUTED_VALUE"""),2.0)</f>
        <v>2</v>
      </c>
      <c r="B412" s="3" t="str">
        <f>IFERROR(__xludf.DUMMYFUNCTION("""COMPUTED_VALUE"""),"Water")</f>
        <v>Water</v>
      </c>
    </row>
    <row r="413">
      <c r="A413" s="3">
        <f>IFERROR(__xludf.DUMMYFUNCTION("""COMPUTED_VALUE"""),3.0)</f>
        <v>3</v>
      </c>
      <c r="B413" s="3" t="str">
        <f>IFERROR(__xludf.DUMMYFUNCTION("""COMPUTED_VALUE"""),"Maltesers")</f>
        <v>Maltesers</v>
      </c>
    </row>
    <row r="414">
      <c r="A414" s="3">
        <f>IFERROR(__xludf.DUMMYFUNCTION("""COMPUTED_VALUE"""),5.0)</f>
        <v>5</v>
      </c>
      <c r="B414" s="3" t="str">
        <f>IFERROR(__xludf.DUMMYFUNCTION("""COMPUTED_VALUE"""),"Schweppes")</f>
        <v>Schweppes</v>
      </c>
    </row>
    <row r="415">
      <c r="A415" s="3">
        <f>IFERROR(__xludf.DUMMYFUNCTION("""COMPUTED_VALUE"""),6.0)</f>
        <v>6</v>
      </c>
      <c r="B415" s="3" t="str">
        <f>IFERROR(__xludf.DUMMYFUNCTION("""COMPUTED_VALUE"""),"Tiger *12")</f>
        <v>Tiger *12</v>
      </c>
    </row>
    <row r="416">
      <c r="A416" s="3">
        <f>IFERROR(__xludf.DUMMYFUNCTION("""COMPUTED_VALUE"""),11.0)</f>
        <v>11</v>
      </c>
      <c r="B416" s="3" t="str">
        <f>IFERROR(__xludf.DUMMYFUNCTION("""COMPUTED_VALUE"""),"X!R")</f>
        <v>X!R</v>
      </c>
    </row>
    <row r="417">
      <c r="A417" s="3">
        <f>IFERROR(__xludf.DUMMYFUNCTION("""COMPUTED_VALUE"""),12.0)</f>
        <v>12</v>
      </c>
      <c r="B417" s="3" t="str">
        <f>IFERROR(__xludf.DUMMYFUNCTION("""COMPUTED_VALUE"""),"sunTop")</f>
        <v>sunTop</v>
      </c>
    </row>
    <row r="418">
      <c r="A418" s="3">
        <f>IFERROR(__xludf.DUMMYFUNCTION("""COMPUTED_VALUE"""),14.0)</f>
        <v>14</v>
      </c>
      <c r="B418" s="3" t="str">
        <f>IFERROR(__xludf.DUMMYFUNCTION("""COMPUTED_VALUE"""),"Kinder Bueno")</f>
        <v>Kinder Bueno</v>
      </c>
    </row>
    <row r="419">
      <c r="A419" s="3">
        <f>IFERROR(__xludf.DUMMYFUNCTION("""COMPUTED_VALUE"""),19.0)</f>
        <v>19</v>
      </c>
      <c r="B419" s="3" t="str">
        <f>IFERROR(__xludf.DUMMYFUNCTION("""COMPUTED_VALUE"""),"mr bite")</f>
        <v>mr bite</v>
      </c>
    </row>
    <row r="420">
      <c r="A420" s="3">
        <f>IFERROR(__xludf.DUMMYFUNCTION("""COMPUTED_VALUE"""),21.0)</f>
        <v>21</v>
      </c>
      <c r="B420" s="3" t="str">
        <f>IFERROR(__xludf.DUMMYFUNCTION("""COMPUTED_VALUE"""),"Laviva")</f>
        <v>Laviva</v>
      </c>
    </row>
    <row r="421">
      <c r="A421" s="3">
        <f>IFERROR(__xludf.DUMMYFUNCTION("""COMPUTED_VALUE"""),25.0)</f>
        <v>25</v>
      </c>
      <c r="B421" s="3" t="str">
        <f>IFERROR(__xludf.DUMMYFUNCTION("""COMPUTED_VALUE"""),"Twix")</f>
        <v>Twix</v>
      </c>
    </row>
    <row r="422">
      <c r="A422" s="3">
        <f>IFERROR(__xludf.DUMMYFUNCTION("""COMPUTED_VALUE"""),28.0)</f>
        <v>28</v>
      </c>
      <c r="B422" s="3" t="str">
        <f>IFERROR(__xludf.DUMMYFUNCTION("""COMPUTED_VALUE"""),"Snickers")</f>
        <v>Snickers</v>
      </c>
    </row>
    <row r="423">
      <c r="A423" s="3">
        <f>IFERROR(__xludf.DUMMYFUNCTION("""COMPUTED_VALUE"""),29.0)</f>
        <v>29</v>
      </c>
      <c r="B423" s="3" t="str">
        <f>IFERROR(__xludf.DUMMYFUNCTION("""COMPUTED_VALUE"""),"Pepsi")</f>
        <v>Pepsi</v>
      </c>
    </row>
    <row r="424">
      <c r="A424" s="3">
        <f>IFERROR(__xludf.DUMMYFUNCTION("""COMPUTED_VALUE"""),30.0)</f>
        <v>30</v>
      </c>
      <c r="B424" s="3" t="str">
        <f>IFERROR(__xludf.DUMMYFUNCTION("""COMPUTED_VALUE"""),"Mars")</f>
        <v>Mars</v>
      </c>
    </row>
    <row r="425">
      <c r="A425" s="3">
        <f>IFERROR(__xludf.DUMMYFUNCTION("""COMPUTED_VALUE"""),32.0)</f>
        <v>32</v>
      </c>
      <c r="B425" s="3" t="str">
        <f>IFERROR(__xludf.DUMMYFUNCTION("""COMPUTED_VALUE"""),"Almarai Chocolate")</f>
        <v>Almarai Chocolate</v>
      </c>
    </row>
    <row r="426">
      <c r="A426" s="3">
        <f>IFERROR(__xludf.DUMMYFUNCTION("""COMPUTED_VALUE"""),33.0)</f>
        <v>33</v>
      </c>
      <c r="B426" s="3" t="str">
        <f>IFERROR(__xludf.DUMMYFUNCTION("""COMPUTED_VALUE"""),"Corissant Karuzo")</f>
        <v>Corissant Karuzo</v>
      </c>
    </row>
    <row r="427">
      <c r="A427" s="3">
        <f>IFERROR(__xludf.DUMMYFUNCTION("""COMPUTED_VALUE"""),36.0)</f>
        <v>36</v>
      </c>
      <c r="B427" s="3" t="str">
        <f>IFERROR(__xludf.DUMMYFUNCTION("""COMPUTED_VALUE"""),"Kunuz Juice")</f>
        <v>Kunuz Juice</v>
      </c>
    </row>
    <row r="428">
      <c r="A428" s="3">
        <f>IFERROR(__xludf.DUMMYFUNCTION("""COMPUTED_VALUE"""),37.0)</f>
        <v>37</v>
      </c>
      <c r="B428" s="3" t="str">
        <f>IFERROR(__xludf.DUMMYFUNCTION("""COMPUTED_VALUE"""),"Digestive")</f>
        <v>Digestive</v>
      </c>
    </row>
    <row r="429">
      <c r="A429" s="3">
        <f>IFERROR(__xludf.DUMMYFUNCTION("""COMPUTED_VALUE"""),38.0)</f>
        <v>38</v>
      </c>
      <c r="B429" s="3" t="str">
        <f>IFERROR(__xludf.DUMMYFUNCTION("""COMPUTED_VALUE"""),"Lovita cookies")</f>
        <v>Lovita cookies</v>
      </c>
    </row>
    <row r="430">
      <c r="A430" s="3">
        <f>IFERROR(__xludf.DUMMYFUNCTION("""COMPUTED_VALUE"""),41.0)</f>
        <v>41</v>
      </c>
      <c r="B430" s="3" t="str">
        <f>IFERROR(__xludf.DUMMYFUNCTION("""COMPUTED_VALUE"""),"Pretzels")</f>
        <v>Pretzels</v>
      </c>
    </row>
    <row r="431">
      <c r="A431" s="3">
        <f>IFERROR(__xludf.DUMMYFUNCTION("""COMPUTED_VALUE"""),43.0)</f>
        <v>43</v>
      </c>
      <c r="B431" s="3" t="str">
        <f>IFERROR(__xludf.DUMMYFUNCTION("""COMPUTED_VALUE"""),"MrCrunch")</f>
        <v>MrCrunch</v>
      </c>
    </row>
    <row r="432">
      <c r="A432" s="3">
        <f>IFERROR(__xludf.DUMMYFUNCTION("""COMPUTED_VALUE"""),44.0)</f>
        <v>44</v>
      </c>
      <c r="B432" s="3" t="str">
        <f>IFERROR(__xludf.DUMMYFUNCTION("""COMPUTED_VALUE"""),"Caser Juice")</f>
        <v>Caser Juice</v>
      </c>
    </row>
    <row r="433">
      <c r="A433" s="3">
        <f>IFERROR(__xludf.DUMMYFUNCTION("""COMPUTED_VALUE"""),47.0)</f>
        <v>47</v>
      </c>
      <c r="B433" s="3" t="str">
        <f>IFERROR(__xludf.DUMMYFUNCTION("""COMPUTED_VALUE"""),"MrCrunch Normal")</f>
        <v>MrCrunch Normal</v>
      </c>
    </row>
    <row r="434">
      <c r="A434" s="3">
        <f>IFERROR(__xludf.DUMMYFUNCTION("""COMPUTED_VALUE"""),48.0)</f>
        <v>48</v>
      </c>
      <c r="B434" s="3" t="str">
        <f>IFERROR(__xludf.DUMMYFUNCTION("""COMPUTED_VALUE"""),"Kinder bueno1stick")</f>
        <v>Kinder bueno1stick</v>
      </c>
    </row>
    <row r="435">
      <c r="A435" s="3">
        <f>IFERROR(__xludf.DUMMYFUNCTION("""COMPUTED_VALUE"""),54.0)</f>
        <v>54</v>
      </c>
      <c r="B435" s="3" t="str">
        <f>IFERROR(__xludf.DUMMYFUNCTION("""COMPUTED_VALUE"""),"Mirinda")</f>
        <v>Mirinda</v>
      </c>
    </row>
    <row r="436">
      <c r="A436" s="3">
        <f>IFERROR(__xludf.DUMMYFUNCTION("""COMPUTED_VALUE"""),64.0)</f>
        <v>64</v>
      </c>
      <c r="B436" s="3" t="str">
        <f>IFERROR(__xludf.DUMMYFUNCTION("""COMPUTED_VALUE"""),"Almarai Strawberry")</f>
        <v>Almarai Strawberry</v>
      </c>
    </row>
    <row r="437">
      <c r="A437" s="3">
        <f>IFERROR(__xludf.DUMMYFUNCTION("""COMPUTED_VALUE"""),70.0)</f>
        <v>70</v>
      </c>
      <c r="B437" s="3" t="str">
        <f>IFERROR(__xludf.DUMMYFUNCTION("""COMPUTED_VALUE"""),"Indomie")</f>
        <v>Indomie</v>
      </c>
    </row>
    <row r="438">
      <c r="A438" s="3">
        <f>IFERROR(__xludf.DUMMYFUNCTION("""COMPUTED_VALUE"""),71.0)</f>
        <v>71</v>
      </c>
      <c r="B438" s="3" t="str">
        <f>IFERROR(__xludf.DUMMYFUNCTION("""COMPUTED_VALUE"""),"MrCrunch-RingGo")</f>
        <v>MrCrunch-RingGo</v>
      </c>
    </row>
    <row r="439">
      <c r="A439" s="3">
        <f>IFERROR(__xludf.DUMMYFUNCTION("""COMPUTED_VALUE"""),73.0)</f>
        <v>73</v>
      </c>
      <c r="B439" s="3" t="str">
        <f>IFERROR(__xludf.DUMMYFUNCTION("""COMPUTED_VALUE"""),"Rani")</f>
        <v>Rani</v>
      </c>
    </row>
    <row r="440">
      <c r="A440" s="3">
        <f>IFERROR(__xludf.DUMMYFUNCTION("""COMPUTED_VALUE"""),76.0)</f>
        <v>76</v>
      </c>
      <c r="B440" s="3" t="str">
        <f>IFERROR(__xludf.DUMMYFUNCTION("""COMPUTED_VALUE"""),"koren Indomie")</f>
        <v>koren Indomie</v>
      </c>
    </row>
    <row r="441">
      <c r="A441" s="3">
        <f>IFERROR(__xludf.DUMMYFUNCTION("""COMPUTED_VALUE"""),83.0)</f>
        <v>83</v>
      </c>
      <c r="B441" s="3" t="str">
        <f>IFERROR(__xludf.DUMMYFUNCTION("""COMPUTED_VALUE"""),"Doritos real")</f>
        <v>Doritos real</v>
      </c>
    </row>
    <row r="442">
      <c r="A442" s="3">
        <f>IFERROR(__xludf.DUMMYFUNCTION("""COMPUTED_VALUE"""),84.0)</f>
        <v>84</v>
      </c>
      <c r="B442" s="3" t="str">
        <f>IFERROR(__xludf.DUMMYFUNCTION("""COMPUTED_VALUE"""),"ex mars")</f>
        <v>ex mars</v>
      </c>
    </row>
    <row r="443">
      <c r="A443" s="3">
        <f>IFERROR(__xludf.DUMMYFUNCTION("""COMPUTED_VALUE"""),1.0)</f>
        <v>1</v>
      </c>
      <c r="B443" s="3" t="str">
        <f>IFERROR(__xludf.DUMMYFUNCTION("""COMPUTED_VALUE"""),"Doritos cool ranc")</f>
        <v>Doritos cool ranc</v>
      </c>
    </row>
    <row r="444">
      <c r="A444" s="3">
        <f>IFERROR(__xludf.DUMMYFUNCTION("""COMPUTED_VALUE"""),2.0)</f>
        <v>2</v>
      </c>
      <c r="B444" s="3" t="str">
        <f>IFERROR(__xludf.DUMMYFUNCTION("""COMPUTED_VALUE"""),"Water")</f>
        <v>Water</v>
      </c>
    </row>
    <row r="445">
      <c r="A445" s="3">
        <f>IFERROR(__xludf.DUMMYFUNCTION("""COMPUTED_VALUE"""),3.0)</f>
        <v>3</v>
      </c>
      <c r="B445" s="3" t="str">
        <f>IFERROR(__xludf.DUMMYFUNCTION("""COMPUTED_VALUE"""),"Maltesers")</f>
        <v>Maltesers</v>
      </c>
    </row>
    <row r="446">
      <c r="A446" s="3">
        <f>IFERROR(__xludf.DUMMYFUNCTION("""COMPUTED_VALUE"""),5.0)</f>
        <v>5</v>
      </c>
      <c r="B446" s="3" t="str">
        <f>IFERROR(__xludf.DUMMYFUNCTION("""COMPUTED_VALUE"""),"Schweppes")</f>
        <v>Schweppes</v>
      </c>
    </row>
    <row r="447">
      <c r="A447" s="3">
        <f>IFERROR(__xludf.DUMMYFUNCTION("""COMPUTED_VALUE"""),6.0)</f>
        <v>6</v>
      </c>
      <c r="B447" s="3" t="str">
        <f>IFERROR(__xludf.DUMMYFUNCTION("""COMPUTED_VALUE"""),"Tiger *12")</f>
        <v>Tiger *12</v>
      </c>
    </row>
    <row r="448">
      <c r="A448" s="3">
        <f>IFERROR(__xludf.DUMMYFUNCTION("""COMPUTED_VALUE"""),10.0)</f>
        <v>10</v>
      </c>
      <c r="B448" s="3" t="str">
        <f>IFERROR(__xludf.DUMMYFUNCTION("""COMPUTED_VALUE"""),"Skittles")</f>
        <v>Skittles</v>
      </c>
    </row>
    <row r="449">
      <c r="A449" s="3">
        <f>IFERROR(__xludf.DUMMYFUNCTION("""COMPUTED_VALUE"""),11.0)</f>
        <v>11</v>
      </c>
      <c r="B449" s="3" t="str">
        <f>IFERROR(__xludf.DUMMYFUNCTION("""COMPUTED_VALUE"""),"X!R")</f>
        <v>X!R</v>
      </c>
    </row>
    <row r="450">
      <c r="A450" s="3">
        <f>IFERROR(__xludf.DUMMYFUNCTION("""COMPUTED_VALUE"""),12.0)</f>
        <v>12</v>
      </c>
      <c r="B450" s="3" t="str">
        <f>IFERROR(__xludf.DUMMYFUNCTION("""COMPUTED_VALUE"""),"sunTop")</f>
        <v>sunTop</v>
      </c>
    </row>
    <row r="451">
      <c r="A451" s="3">
        <f>IFERROR(__xludf.DUMMYFUNCTION("""COMPUTED_VALUE"""),14.0)</f>
        <v>14</v>
      </c>
      <c r="B451" s="3" t="str">
        <f>IFERROR(__xludf.DUMMYFUNCTION("""COMPUTED_VALUE"""),"Kinder Bueno")</f>
        <v>Kinder Bueno</v>
      </c>
    </row>
    <row r="452">
      <c r="A452" s="3">
        <f>IFERROR(__xludf.DUMMYFUNCTION("""COMPUTED_VALUE"""),19.0)</f>
        <v>19</v>
      </c>
      <c r="B452" s="3" t="str">
        <f>IFERROR(__xludf.DUMMYFUNCTION("""COMPUTED_VALUE"""),"mr bite")</f>
        <v>mr bite</v>
      </c>
    </row>
    <row r="453">
      <c r="A453" s="3">
        <f>IFERROR(__xludf.DUMMYFUNCTION("""COMPUTED_VALUE"""),21.0)</f>
        <v>21</v>
      </c>
      <c r="B453" s="3" t="str">
        <f>IFERROR(__xludf.DUMMYFUNCTION("""COMPUTED_VALUE"""),"Laviva")</f>
        <v>Laviva</v>
      </c>
    </row>
    <row r="454">
      <c r="A454" s="3">
        <f>IFERROR(__xludf.DUMMYFUNCTION("""COMPUTED_VALUE"""),25.0)</f>
        <v>25</v>
      </c>
      <c r="B454" s="3" t="str">
        <f>IFERROR(__xludf.DUMMYFUNCTION("""COMPUTED_VALUE"""),"Twix")</f>
        <v>Twix</v>
      </c>
    </row>
    <row r="455">
      <c r="A455" s="3">
        <f>IFERROR(__xludf.DUMMYFUNCTION("""COMPUTED_VALUE"""),26.0)</f>
        <v>26</v>
      </c>
      <c r="B455" s="3" t="str">
        <f>IFERROR(__xludf.DUMMYFUNCTION("""COMPUTED_VALUE"""),"Bounty")</f>
        <v>Bounty</v>
      </c>
    </row>
    <row r="456">
      <c r="A456" s="3">
        <f>IFERROR(__xludf.DUMMYFUNCTION("""COMPUTED_VALUE"""),28.0)</f>
        <v>28</v>
      </c>
      <c r="B456" s="3" t="str">
        <f>IFERROR(__xludf.DUMMYFUNCTION("""COMPUTED_VALUE"""),"Snickers")</f>
        <v>Snickers</v>
      </c>
    </row>
    <row r="457">
      <c r="A457" s="3">
        <f>IFERROR(__xludf.DUMMYFUNCTION("""COMPUTED_VALUE"""),29.0)</f>
        <v>29</v>
      </c>
      <c r="B457" s="3" t="str">
        <f>IFERROR(__xludf.DUMMYFUNCTION("""COMPUTED_VALUE"""),"Pepsi")</f>
        <v>Pepsi</v>
      </c>
    </row>
    <row r="458">
      <c r="A458" s="3">
        <f>IFERROR(__xludf.DUMMYFUNCTION("""COMPUTED_VALUE"""),32.0)</f>
        <v>32</v>
      </c>
      <c r="B458" s="3" t="str">
        <f>IFERROR(__xludf.DUMMYFUNCTION("""COMPUTED_VALUE"""),"Almarai Chocolate")</f>
        <v>Almarai Chocolate</v>
      </c>
    </row>
    <row r="459">
      <c r="A459" s="3">
        <f>IFERROR(__xludf.DUMMYFUNCTION("""COMPUTED_VALUE"""),42.0)</f>
        <v>42</v>
      </c>
      <c r="B459" s="3" t="str">
        <f>IFERROR(__xludf.DUMMYFUNCTION("""COMPUTED_VALUE"""),"Green")</f>
        <v>Green</v>
      </c>
    </row>
    <row r="460">
      <c r="A460" s="3">
        <f>IFERROR(__xludf.DUMMYFUNCTION("""COMPUTED_VALUE"""),47.0)</f>
        <v>47</v>
      </c>
      <c r="B460" s="3" t="str">
        <f>IFERROR(__xludf.DUMMYFUNCTION("""COMPUTED_VALUE"""),"MrCrunch Normal")</f>
        <v>MrCrunch Normal</v>
      </c>
    </row>
    <row r="461">
      <c r="A461" s="3">
        <f>IFERROR(__xludf.DUMMYFUNCTION("""COMPUTED_VALUE"""),48.0)</f>
        <v>48</v>
      </c>
      <c r="B461" s="3" t="str">
        <f>IFERROR(__xludf.DUMMYFUNCTION("""COMPUTED_VALUE"""),"Kinder bueno1stick")</f>
        <v>Kinder bueno1stick</v>
      </c>
    </row>
    <row r="462">
      <c r="A462" s="3">
        <f>IFERROR(__xludf.DUMMYFUNCTION("""COMPUTED_VALUE"""),49.0)</f>
        <v>49</v>
      </c>
      <c r="B462" s="3" t="str">
        <f>IFERROR(__xludf.DUMMYFUNCTION("""COMPUTED_VALUE"""),"Haribo")</f>
        <v>Haribo</v>
      </c>
    </row>
    <row r="463">
      <c r="A463" s="3">
        <f>IFERROR(__xludf.DUMMYFUNCTION("""COMPUTED_VALUE"""),53.0)</f>
        <v>53</v>
      </c>
      <c r="B463" s="3" t="str">
        <f>IFERROR(__xludf.DUMMYFUNCTION("""COMPUTED_VALUE"""),"7up")</f>
        <v>7up</v>
      </c>
    </row>
    <row r="464">
      <c r="A464" s="3">
        <f>IFERROR(__xludf.DUMMYFUNCTION("""COMPUTED_VALUE"""),54.0)</f>
        <v>54</v>
      </c>
      <c r="B464" s="3" t="str">
        <f>IFERROR(__xludf.DUMMYFUNCTION("""COMPUTED_VALUE"""),"Mirinda")</f>
        <v>Mirinda</v>
      </c>
    </row>
    <row r="465">
      <c r="A465" s="3">
        <f>IFERROR(__xludf.DUMMYFUNCTION("""COMPUTED_VALUE"""),64.0)</f>
        <v>64</v>
      </c>
      <c r="B465" s="3" t="str">
        <f>IFERROR(__xludf.DUMMYFUNCTION("""COMPUTED_VALUE"""),"Almarai Strawberry")</f>
        <v>Almarai Strawberry</v>
      </c>
    </row>
    <row r="466">
      <c r="A466" s="3">
        <f>IFERROR(__xludf.DUMMYFUNCTION("""COMPUTED_VALUE"""),71.0)</f>
        <v>71</v>
      </c>
      <c r="B466" s="3" t="str">
        <f>IFERROR(__xludf.DUMMYFUNCTION("""COMPUTED_VALUE"""),"MrCrunch-RingGo")</f>
        <v>MrCrunch-RingGo</v>
      </c>
    </row>
    <row r="467">
      <c r="A467" s="3">
        <f>IFERROR(__xludf.DUMMYFUNCTION("""COMPUTED_VALUE"""),73.0)</f>
        <v>73</v>
      </c>
      <c r="B467" s="3" t="str">
        <f>IFERROR(__xludf.DUMMYFUNCTION("""COMPUTED_VALUE"""),"Rani")</f>
        <v>Rani</v>
      </c>
    </row>
    <row r="468">
      <c r="A468" s="3">
        <f>IFERROR(__xludf.DUMMYFUNCTION("""COMPUTED_VALUE"""),83.0)</f>
        <v>83</v>
      </c>
      <c r="B468" s="3" t="str">
        <f>IFERROR(__xludf.DUMMYFUNCTION("""COMPUTED_VALUE"""),"Doritos real")</f>
        <v>Doritos real</v>
      </c>
    </row>
    <row r="469">
      <c r="A469" s="3">
        <f>IFERROR(__xludf.DUMMYFUNCTION("""COMPUTED_VALUE"""),84.0)</f>
        <v>84</v>
      </c>
      <c r="B469" s="3" t="str">
        <f>IFERROR(__xludf.DUMMYFUNCTION("""COMPUTED_VALUE"""),"ex mars")</f>
        <v>ex mars</v>
      </c>
    </row>
    <row r="470">
      <c r="A470" s="3">
        <f>IFERROR(__xludf.DUMMYFUNCTION("""COMPUTED_VALUE"""),86.0)</f>
        <v>86</v>
      </c>
      <c r="B470" s="3" t="str">
        <f>IFERROR(__xludf.DUMMYFUNCTION("""COMPUTED_VALUE"""),"Mrbeast")</f>
        <v>Mrbeast</v>
      </c>
    </row>
    <row r="471">
      <c r="A471" s="3">
        <f>IFERROR(__xludf.DUMMYFUNCTION("""COMPUTED_VALUE"""),2.0)</f>
        <v>2</v>
      </c>
      <c r="B471" s="3" t="str">
        <f>IFERROR(__xludf.DUMMYFUNCTION("""COMPUTED_VALUE"""),"Water")</f>
        <v>Water</v>
      </c>
    </row>
    <row r="472">
      <c r="A472" s="3">
        <f>IFERROR(__xludf.DUMMYFUNCTION("""COMPUTED_VALUE"""),10.0)</f>
        <v>10</v>
      </c>
      <c r="B472" s="3" t="str">
        <f>IFERROR(__xludf.DUMMYFUNCTION("""COMPUTED_VALUE"""),"Skittles")</f>
        <v>Skittles</v>
      </c>
    </row>
    <row r="473">
      <c r="A473" s="3">
        <f>IFERROR(__xludf.DUMMYFUNCTION("""COMPUTED_VALUE"""),12.0)</f>
        <v>12</v>
      </c>
      <c r="B473" s="3" t="str">
        <f>IFERROR(__xludf.DUMMYFUNCTION("""COMPUTED_VALUE"""),"sunTop")</f>
        <v>sunTop</v>
      </c>
    </row>
    <row r="474">
      <c r="A474" s="3">
        <f>IFERROR(__xludf.DUMMYFUNCTION("""COMPUTED_VALUE"""),19.0)</f>
        <v>19</v>
      </c>
      <c r="B474" s="3" t="str">
        <f>IFERROR(__xludf.DUMMYFUNCTION("""COMPUTED_VALUE"""),"mr bite")</f>
        <v>mr bite</v>
      </c>
    </row>
    <row r="475">
      <c r="A475" s="3">
        <f>IFERROR(__xludf.DUMMYFUNCTION("""COMPUTED_VALUE"""),32.0)</f>
        <v>32</v>
      </c>
      <c r="B475" s="3" t="str">
        <f>IFERROR(__xludf.DUMMYFUNCTION("""COMPUTED_VALUE"""),"Almarai Chocolate")</f>
        <v>Almarai Chocolate</v>
      </c>
    </row>
    <row r="476">
      <c r="A476" s="3">
        <f>IFERROR(__xludf.DUMMYFUNCTION("""COMPUTED_VALUE"""),33.0)</f>
        <v>33</v>
      </c>
      <c r="B476" s="3" t="str">
        <f>IFERROR(__xludf.DUMMYFUNCTION("""COMPUTED_VALUE"""),"Corissant Karuzo")</f>
        <v>Corissant Karuzo</v>
      </c>
    </row>
    <row r="477">
      <c r="A477" s="3">
        <f>IFERROR(__xludf.DUMMYFUNCTION("""COMPUTED_VALUE"""),36.0)</f>
        <v>36</v>
      </c>
      <c r="B477" s="3" t="str">
        <f>IFERROR(__xludf.DUMMYFUNCTION("""COMPUTED_VALUE"""),"Kunuz Juice")</f>
        <v>Kunuz Juice</v>
      </c>
    </row>
    <row r="478">
      <c r="A478" s="3">
        <f>IFERROR(__xludf.DUMMYFUNCTION("""COMPUTED_VALUE"""),38.0)</f>
        <v>38</v>
      </c>
      <c r="B478" s="3" t="str">
        <f>IFERROR(__xludf.DUMMYFUNCTION("""COMPUTED_VALUE"""),"Lovita cookies")</f>
        <v>Lovita cookies</v>
      </c>
    </row>
    <row r="479">
      <c r="A479" s="3">
        <f>IFERROR(__xludf.DUMMYFUNCTION("""COMPUTED_VALUE"""),41.0)</f>
        <v>41</v>
      </c>
      <c r="B479" s="3" t="str">
        <f>IFERROR(__xludf.DUMMYFUNCTION("""COMPUTED_VALUE"""),"Pretzels")</f>
        <v>Pretzels</v>
      </c>
    </row>
    <row r="480">
      <c r="A480" s="3">
        <f>IFERROR(__xludf.DUMMYFUNCTION("""COMPUTED_VALUE"""),44.0)</f>
        <v>44</v>
      </c>
      <c r="B480" s="3" t="str">
        <f>IFERROR(__xludf.DUMMYFUNCTION("""COMPUTED_VALUE"""),"Caser Juice")</f>
        <v>Caser Juice</v>
      </c>
    </row>
    <row r="481">
      <c r="A481" s="3">
        <f>IFERROR(__xludf.DUMMYFUNCTION("""COMPUTED_VALUE"""),49.0)</f>
        <v>49</v>
      </c>
      <c r="B481" s="3" t="str">
        <f>IFERROR(__xludf.DUMMYFUNCTION("""COMPUTED_VALUE"""),"Haribo")</f>
        <v>Haribo</v>
      </c>
    </row>
    <row r="482">
      <c r="A482" s="3">
        <f>IFERROR(__xludf.DUMMYFUNCTION("""COMPUTED_VALUE"""),57.0)</f>
        <v>57</v>
      </c>
      <c r="B482" s="3" t="str">
        <f>IFERROR(__xludf.DUMMYFUNCTION("""COMPUTED_VALUE"""),"ifruit juice")</f>
        <v>ifruit juice</v>
      </c>
    </row>
    <row r="483">
      <c r="A483" s="3">
        <f>IFERROR(__xludf.DUMMYFUNCTION("""COMPUTED_VALUE"""),58.0)</f>
        <v>58</v>
      </c>
      <c r="B483" s="3" t="str">
        <f>IFERROR(__xludf.DUMMYFUNCTION("""COMPUTED_VALUE"""),"Today Chocolate")</f>
        <v>Today Chocolate</v>
      </c>
    </row>
    <row r="484">
      <c r="A484" s="3">
        <f>IFERROR(__xludf.DUMMYFUNCTION("""COMPUTED_VALUE"""),59.0)</f>
        <v>59</v>
      </c>
      <c r="B484" s="3" t="str">
        <f>IFERROR(__xludf.DUMMYFUNCTION("""COMPUTED_VALUE"""),"Toren Dark Chocolate")</f>
        <v>Toren Dark Chocolate</v>
      </c>
    </row>
    <row r="485">
      <c r="A485" s="3">
        <f>IFERROR(__xludf.DUMMYFUNCTION("""COMPUTED_VALUE"""),60.0)</f>
        <v>60</v>
      </c>
      <c r="B485" s="3" t="str">
        <f>IFERROR(__xludf.DUMMYFUNCTION("""COMPUTED_VALUE"""),"zigi marinated peanuts")</f>
        <v>zigi marinated peanuts</v>
      </c>
    </row>
    <row r="486">
      <c r="A486" s="3">
        <f>IFERROR(__xludf.DUMMYFUNCTION("""COMPUTED_VALUE"""),61.0)</f>
        <v>61</v>
      </c>
      <c r="B486" s="3" t="str">
        <f>IFERROR(__xludf.DUMMYFUNCTION("""COMPUTED_VALUE"""),"Prime")</f>
        <v>Prime</v>
      </c>
    </row>
    <row r="487">
      <c r="A487" s="3">
        <f>IFERROR(__xludf.DUMMYFUNCTION("""COMPUTED_VALUE"""),62.0)</f>
        <v>62</v>
      </c>
      <c r="B487" s="3" t="str">
        <f>IFERROR(__xludf.DUMMYFUNCTION("""COMPUTED_VALUE"""),"Jannaty")</f>
        <v>Jannaty</v>
      </c>
    </row>
    <row r="488">
      <c r="A488" s="3">
        <f>IFERROR(__xludf.DUMMYFUNCTION("""COMPUTED_VALUE"""),64.0)</f>
        <v>64</v>
      </c>
      <c r="B488" s="3" t="str">
        <f>IFERROR(__xludf.DUMMYFUNCTION("""COMPUTED_VALUE"""),"Almarai Strawberry")</f>
        <v>Almarai Strawberry</v>
      </c>
    </row>
    <row r="489">
      <c r="A489" s="3">
        <f>IFERROR(__xludf.DUMMYFUNCTION("""COMPUTED_VALUE"""),65.0)</f>
        <v>65</v>
      </c>
      <c r="B489" s="3" t="str">
        <f>IFERROR(__xludf.DUMMYFUNCTION("""COMPUTED_VALUE"""),"Dallas juice")</f>
        <v>Dallas juice</v>
      </c>
    </row>
    <row r="490">
      <c r="A490" s="3">
        <f>IFERROR(__xludf.DUMMYFUNCTION("""COMPUTED_VALUE"""),66.0)</f>
        <v>66</v>
      </c>
      <c r="B490" s="3" t="str">
        <f>IFERROR(__xludf.DUMMYFUNCTION("""COMPUTED_VALUE"""),"Prime Ex")</f>
        <v>Prime Ex</v>
      </c>
    </row>
    <row r="491">
      <c r="A491" s="3">
        <f>IFERROR(__xludf.DUMMYFUNCTION("""COMPUTED_VALUE"""),67.0)</f>
        <v>67</v>
      </c>
      <c r="B491" s="3" t="str">
        <f>IFERROR(__xludf.DUMMYFUNCTION("""COMPUTED_VALUE"""),"Nuts")</f>
        <v>Nuts</v>
      </c>
    </row>
    <row r="492">
      <c r="A492" s="3">
        <f>IFERROR(__xludf.DUMMYFUNCTION("""COMPUTED_VALUE"""),68.0)</f>
        <v>68</v>
      </c>
      <c r="B492" s="3" t="str">
        <f>IFERROR(__xludf.DUMMYFUNCTION("""COMPUTED_VALUE"""),"Yipy Juice")</f>
        <v>Yipy Juice</v>
      </c>
    </row>
    <row r="493">
      <c r="A493" s="3">
        <f>IFERROR(__xludf.DUMMYFUNCTION("""COMPUTED_VALUE"""),72.0)</f>
        <v>72</v>
      </c>
      <c r="B493" s="3" t="str">
        <f>IFERROR(__xludf.DUMMYFUNCTION("""COMPUTED_VALUE"""),"Roshetto")</f>
        <v>Roshetto</v>
      </c>
    </row>
    <row r="494">
      <c r="A494" s="3">
        <f>IFERROR(__xludf.DUMMYFUNCTION("""COMPUTED_VALUE"""),74.0)</f>
        <v>74</v>
      </c>
      <c r="B494" s="3" t="str">
        <f>IFERROR(__xludf.DUMMYFUNCTION("""COMPUTED_VALUE"""),"HiPro")</f>
        <v>HiPro</v>
      </c>
    </row>
    <row r="495">
      <c r="A495" s="3">
        <f>IFERROR(__xludf.DUMMYFUNCTION("""COMPUTED_VALUE"""),78.0)</f>
        <v>78</v>
      </c>
      <c r="B495" s="3" t="str">
        <f>IFERROR(__xludf.DUMMYFUNCTION("""COMPUTED_VALUE"""),"Mulino Cookis")</f>
        <v>Mulino Cookis</v>
      </c>
    </row>
    <row r="496">
      <c r="A496" s="3">
        <f>IFERROR(__xludf.DUMMYFUNCTION("""COMPUTED_VALUE"""),79.0)</f>
        <v>79</v>
      </c>
      <c r="B496" s="3" t="str">
        <f>IFERROR(__xludf.DUMMYFUNCTION("""COMPUTED_VALUE"""),"Yasmin Almonds")</f>
        <v>Yasmin Almonds</v>
      </c>
    </row>
    <row r="497">
      <c r="A497" s="3">
        <f>IFERROR(__xludf.DUMMYFUNCTION("""COMPUTED_VALUE"""),80.0)</f>
        <v>80</v>
      </c>
      <c r="B497" s="3" t="str">
        <f>IFERROR(__xludf.DUMMYFUNCTION("""COMPUTED_VALUE"""),"Yasmin Penuts")</f>
        <v>Yasmin Penuts</v>
      </c>
    </row>
    <row r="498">
      <c r="A498" s="3">
        <f>IFERROR(__xludf.DUMMYFUNCTION("""COMPUTED_VALUE"""),82.0)</f>
        <v>82</v>
      </c>
      <c r="B498" s="3" t="str">
        <f>IFERROR(__xludf.DUMMYFUNCTION("""COMPUTED_VALUE"""),"L suntop")</f>
        <v>L suntop</v>
      </c>
    </row>
    <row r="499">
      <c r="A499" s="3">
        <f>IFERROR(__xludf.DUMMYFUNCTION("""COMPUTED_VALUE"""),86.0)</f>
        <v>86</v>
      </c>
      <c r="B499" s="3" t="str">
        <f>IFERROR(__xludf.DUMMYFUNCTION("""COMPUTED_VALUE"""),"Mrbeast")</f>
        <v>Mrbeast</v>
      </c>
    </row>
    <row r="500">
      <c r="A500" s="3">
        <f>IFERROR(__xludf.DUMMYFUNCTION("""COMPUTED_VALUE"""),87.0)</f>
        <v>87</v>
      </c>
      <c r="B500" s="3" t="str">
        <f>IFERROR(__xludf.DUMMYFUNCTION("""COMPUTED_VALUE"""),"mr.bite strike")</f>
        <v>mr.bite strike</v>
      </c>
    </row>
    <row r="501">
      <c r="A501" s="3">
        <f>IFERROR(__xludf.DUMMYFUNCTION("""COMPUTED_VALUE"""),88.0)</f>
        <v>88</v>
      </c>
      <c r="B501" s="3" t="str">
        <f>IFERROR(__xludf.DUMMYFUNCTION("""COMPUTED_VALUE"""),"brownies moulin")</f>
        <v>brownies moulin</v>
      </c>
    </row>
    <row r="502">
      <c r="A502" s="3">
        <f>IFERROR(__xludf.DUMMYFUNCTION("""COMPUTED_VALUE"""),89.0)</f>
        <v>89</v>
      </c>
      <c r="B502" s="3" t="str">
        <f>IFERROR(__xludf.DUMMYFUNCTION("""COMPUTED_VALUE"""),"Chico")</f>
        <v>Chico</v>
      </c>
    </row>
    <row r="503">
      <c r="A503" s="3">
        <f>IFERROR(__xludf.DUMMYFUNCTION("""COMPUTED_VALUE"""),1.0)</f>
        <v>1</v>
      </c>
      <c r="B503" s="3" t="str">
        <f>IFERROR(__xludf.DUMMYFUNCTION("""COMPUTED_VALUE"""),"Doritos cool ranc")</f>
        <v>Doritos cool ranc</v>
      </c>
    </row>
    <row r="504">
      <c r="A504" s="3">
        <f>IFERROR(__xludf.DUMMYFUNCTION("""COMPUTED_VALUE"""),1.0)</f>
        <v>1</v>
      </c>
      <c r="B504" s="3" t="str">
        <f>IFERROR(__xludf.DUMMYFUNCTION("""COMPUTED_VALUE"""),"Doritos cool ranc")</f>
        <v>Doritos cool ranc</v>
      </c>
    </row>
    <row r="505">
      <c r="A505" s="3">
        <f>IFERROR(__xludf.DUMMYFUNCTION("""COMPUTED_VALUE"""),2.0)</f>
        <v>2</v>
      </c>
      <c r="B505" s="3" t="str">
        <f>IFERROR(__xludf.DUMMYFUNCTION("""COMPUTED_VALUE"""),"Water")</f>
        <v>Water</v>
      </c>
    </row>
    <row r="506">
      <c r="A506" s="3">
        <f>IFERROR(__xludf.DUMMYFUNCTION("""COMPUTED_VALUE"""),3.0)</f>
        <v>3</v>
      </c>
      <c r="B506" s="3" t="str">
        <f>IFERROR(__xludf.DUMMYFUNCTION("""COMPUTED_VALUE"""),"Maltesers")</f>
        <v>Maltesers</v>
      </c>
    </row>
    <row r="507">
      <c r="A507" s="3">
        <f>IFERROR(__xludf.DUMMYFUNCTION("""COMPUTED_VALUE"""),5.0)</f>
        <v>5</v>
      </c>
      <c r="B507" s="3" t="str">
        <f>IFERROR(__xludf.DUMMYFUNCTION("""COMPUTED_VALUE"""),"Schweppes")</f>
        <v>Schweppes</v>
      </c>
    </row>
    <row r="508">
      <c r="A508" s="3">
        <f>IFERROR(__xludf.DUMMYFUNCTION("""COMPUTED_VALUE"""),6.0)</f>
        <v>6</v>
      </c>
      <c r="B508" s="3" t="str">
        <f>IFERROR(__xludf.DUMMYFUNCTION("""COMPUTED_VALUE"""),"Tiger *12")</f>
        <v>Tiger *12</v>
      </c>
    </row>
    <row r="509">
      <c r="A509" s="3">
        <f>IFERROR(__xludf.DUMMYFUNCTION("""COMPUTED_VALUE"""),6.0)</f>
        <v>6</v>
      </c>
      <c r="B509" s="3" t="str">
        <f>IFERROR(__xludf.DUMMYFUNCTION("""COMPUTED_VALUE"""),"Tiger *12 tomato")</f>
        <v>Tiger *12 tomato</v>
      </c>
    </row>
    <row r="510">
      <c r="A510" s="3">
        <f>IFERROR(__xludf.DUMMYFUNCTION("""COMPUTED_VALUE"""),11.0)</f>
        <v>11</v>
      </c>
      <c r="B510" s="3" t="str">
        <f>IFERROR(__xludf.DUMMYFUNCTION("""COMPUTED_VALUE"""),"X!R")</f>
        <v>X!R</v>
      </c>
    </row>
    <row r="511">
      <c r="A511" s="3">
        <f>IFERROR(__xludf.DUMMYFUNCTION("""COMPUTED_VALUE"""),12.0)</f>
        <v>12</v>
      </c>
      <c r="B511" s="3" t="str">
        <f>IFERROR(__xludf.DUMMYFUNCTION("""COMPUTED_VALUE"""),"sunTop")</f>
        <v>sunTop</v>
      </c>
    </row>
    <row r="512">
      <c r="A512" s="3">
        <f>IFERROR(__xludf.DUMMYFUNCTION("""COMPUTED_VALUE"""),14.0)</f>
        <v>14</v>
      </c>
      <c r="B512" s="3" t="str">
        <f>IFERROR(__xludf.DUMMYFUNCTION("""COMPUTED_VALUE"""),"Kinder Bueno")</f>
        <v>Kinder Bueno</v>
      </c>
    </row>
    <row r="513">
      <c r="A513" s="3">
        <f>IFERROR(__xludf.DUMMYFUNCTION("""COMPUTED_VALUE"""),19.0)</f>
        <v>19</v>
      </c>
      <c r="B513" s="3" t="str">
        <f>IFERROR(__xludf.DUMMYFUNCTION("""COMPUTED_VALUE"""),"mr bite")</f>
        <v>mr bite</v>
      </c>
    </row>
    <row r="514">
      <c r="A514" s="3">
        <f>IFERROR(__xludf.DUMMYFUNCTION("""COMPUTED_VALUE"""),21.0)</f>
        <v>21</v>
      </c>
      <c r="B514" s="3" t="str">
        <f>IFERROR(__xludf.DUMMYFUNCTION("""COMPUTED_VALUE"""),"Laviva")</f>
        <v>Laviva</v>
      </c>
    </row>
    <row r="515">
      <c r="A515" s="3">
        <f>IFERROR(__xludf.DUMMYFUNCTION("""COMPUTED_VALUE"""),25.0)</f>
        <v>25</v>
      </c>
      <c r="B515" s="3" t="str">
        <f>IFERROR(__xludf.DUMMYFUNCTION("""COMPUTED_VALUE"""),"Twix")</f>
        <v>Twix</v>
      </c>
    </row>
    <row r="516">
      <c r="A516" s="3">
        <f>IFERROR(__xludf.DUMMYFUNCTION("""COMPUTED_VALUE"""),27.0)</f>
        <v>27</v>
      </c>
      <c r="B516" s="3" t="str">
        <f>IFERROR(__xludf.DUMMYFUNCTION("""COMPUTED_VALUE"""),"Gardena")</f>
        <v>Gardena</v>
      </c>
    </row>
    <row r="517">
      <c r="A517" s="3">
        <f>IFERROR(__xludf.DUMMYFUNCTION("""COMPUTED_VALUE"""),28.0)</f>
        <v>28</v>
      </c>
      <c r="B517" s="3" t="str">
        <f>IFERROR(__xludf.DUMMYFUNCTION("""COMPUTED_VALUE"""),"Snickers")</f>
        <v>Snickers</v>
      </c>
    </row>
    <row r="518">
      <c r="A518" s="3">
        <f>IFERROR(__xludf.DUMMYFUNCTION("""COMPUTED_VALUE"""),29.0)</f>
        <v>29</v>
      </c>
      <c r="B518" s="3" t="str">
        <f>IFERROR(__xludf.DUMMYFUNCTION("""COMPUTED_VALUE"""),"Pepsi")</f>
        <v>Pepsi</v>
      </c>
    </row>
    <row r="519">
      <c r="A519" s="3">
        <f>IFERROR(__xludf.DUMMYFUNCTION("""COMPUTED_VALUE"""),30.0)</f>
        <v>30</v>
      </c>
      <c r="B519" s="3" t="str">
        <f>IFERROR(__xludf.DUMMYFUNCTION("""COMPUTED_VALUE"""),"Mars")</f>
        <v>Mars</v>
      </c>
    </row>
    <row r="520">
      <c r="A520" s="3">
        <f>IFERROR(__xludf.DUMMYFUNCTION("""COMPUTED_VALUE"""),32.0)</f>
        <v>32</v>
      </c>
      <c r="B520" s="3" t="str">
        <f>IFERROR(__xludf.DUMMYFUNCTION("""COMPUTED_VALUE"""),"Almarai Chocolate")</f>
        <v>Almarai Chocolate</v>
      </c>
    </row>
    <row r="521">
      <c r="A521" s="3">
        <f>IFERROR(__xludf.DUMMYFUNCTION("""COMPUTED_VALUE"""),33.0)</f>
        <v>33</v>
      </c>
      <c r="B521" s="3" t="str">
        <f>IFERROR(__xludf.DUMMYFUNCTION("""COMPUTED_VALUE"""),"Corissant Karuzo")</f>
        <v>Corissant Karuzo</v>
      </c>
    </row>
    <row r="522">
      <c r="A522" s="3">
        <f>IFERROR(__xludf.DUMMYFUNCTION("""COMPUTED_VALUE"""),36.0)</f>
        <v>36</v>
      </c>
      <c r="B522" s="3" t="str">
        <f>IFERROR(__xludf.DUMMYFUNCTION("""COMPUTED_VALUE"""),"Kunuz Juice")</f>
        <v>Kunuz Juice</v>
      </c>
    </row>
    <row r="523">
      <c r="A523" s="3">
        <f>IFERROR(__xludf.DUMMYFUNCTION("""COMPUTED_VALUE"""),37.0)</f>
        <v>37</v>
      </c>
      <c r="B523" s="3" t="str">
        <f>IFERROR(__xludf.DUMMYFUNCTION("""COMPUTED_VALUE"""),"Digestive")</f>
        <v>Digestive</v>
      </c>
    </row>
    <row r="524">
      <c r="A524" s="3">
        <f>IFERROR(__xludf.DUMMYFUNCTION("""COMPUTED_VALUE"""),38.0)</f>
        <v>38</v>
      </c>
      <c r="B524" s="3" t="str">
        <f>IFERROR(__xludf.DUMMYFUNCTION("""COMPUTED_VALUE"""),"Lovita cookies")</f>
        <v>Lovita cookies</v>
      </c>
    </row>
    <row r="525">
      <c r="A525" s="3">
        <f>IFERROR(__xludf.DUMMYFUNCTION("""COMPUTED_VALUE"""),41.0)</f>
        <v>41</v>
      </c>
      <c r="B525" s="3" t="str">
        <f>IFERROR(__xludf.DUMMYFUNCTION("""COMPUTED_VALUE"""),"Pretzels")</f>
        <v>Pretzels</v>
      </c>
    </row>
    <row r="526">
      <c r="A526" s="3">
        <f>IFERROR(__xludf.DUMMYFUNCTION("""COMPUTED_VALUE"""),44.0)</f>
        <v>44</v>
      </c>
      <c r="B526" s="3" t="str">
        <f>IFERROR(__xludf.DUMMYFUNCTION("""COMPUTED_VALUE"""),"Caser Juice")</f>
        <v>Caser Juice</v>
      </c>
    </row>
    <row r="527">
      <c r="A527" s="3">
        <f>IFERROR(__xludf.DUMMYFUNCTION("""COMPUTED_VALUE"""),48.0)</f>
        <v>48</v>
      </c>
      <c r="B527" s="3" t="str">
        <f>IFERROR(__xludf.DUMMYFUNCTION("""COMPUTED_VALUE"""),"Kinder bueno1stick")</f>
        <v>Kinder bueno1stick</v>
      </c>
    </row>
    <row r="528">
      <c r="A528" s="3">
        <f>IFERROR(__xludf.DUMMYFUNCTION("""COMPUTED_VALUE"""),52.0)</f>
        <v>52</v>
      </c>
      <c r="B528" s="3" t="str">
        <f>IFERROR(__xludf.DUMMYFUNCTION("""COMPUTED_VALUE"""),"MR Crunch")</f>
        <v>MR Crunch</v>
      </c>
    </row>
    <row r="529">
      <c r="A529" s="3">
        <f>IFERROR(__xludf.DUMMYFUNCTION("""COMPUTED_VALUE"""),54.0)</f>
        <v>54</v>
      </c>
      <c r="B529" s="3" t="str">
        <f>IFERROR(__xludf.DUMMYFUNCTION("""COMPUTED_VALUE"""),"Mirinda")</f>
        <v>Mirinda</v>
      </c>
    </row>
    <row r="530">
      <c r="A530" s="3">
        <f>IFERROR(__xludf.DUMMYFUNCTION("""COMPUTED_VALUE"""),64.0)</f>
        <v>64</v>
      </c>
      <c r="B530" s="3" t="str">
        <f>IFERROR(__xludf.DUMMYFUNCTION("""COMPUTED_VALUE"""),"Almarai Strawberry")</f>
        <v>Almarai Strawberry</v>
      </c>
    </row>
    <row r="531">
      <c r="A531" s="3">
        <f>IFERROR(__xludf.DUMMYFUNCTION("""COMPUTED_VALUE"""),70.0)</f>
        <v>70</v>
      </c>
      <c r="B531" s="3" t="str">
        <f>IFERROR(__xludf.DUMMYFUNCTION("""COMPUTED_VALUE"""),"Indomie")</f>
        <v>Indomie</v>
      </c>
    </row>
    <row r="532">
      <c r="A532" s="3">
        <f>IFERROR(__xludf.DUMMYFUNCTION("""COMPUTED_VALUE"""),71.0)</f>
        <v>71</v>
      </c>
      <c r="B532" s="3" t="str">
        <f>IFERROR(__xludf.DUMMYFUNCTION("""COMPUTED_VALUE"""),"MrCrunch-RingGo")</f>
        <v>MrCrunch-RingGo</v>
      </c>
    </row>
    <row r="533">
      <c r="A533" s="3">
        <f>IFERROR(__xludf.DUMMYFUNCTION("""COMPUTED_VALUE"""),73.0)</f>
        <v>73</v>
      </c>
      <c r="B533" s="3" t="str">
        <f>IFERROR(__xludf.DUMMYFUNCTION("""COMPUTED_VALUE"""),"Rani")</f>
        <v>Rani</v>
      </c>
    </row>
    <row r="534">
      <c r="A534" s="3">
        <f>IFERROR(__xludf.DUMMYFUNCTION("""COMPUTED_VALUE"""),87.0)</f>
        <v>87</v>
      </c>
      <c r="B534" s="3" t="str">
        <f>IFERROR(__xludf.DUMMYFUNCTION("""COMPUTED_VALUE"""),"mr.bite strike")</f>
        <v>mr.bite strike</v>
      </c>
    </row>
    <row r="535">
      <c r="A535" s="3">
        <f>IFERROR(__xludf.DUMMYFUNCTION("""COMPUTED_VALUE"""),90.0)</f>
        <v>90</v>
      </c>
      <c r="B535" s="3" t="str">
        <f>IFERROR(__xludf.DUMMYFUNCTION("""COMPUTED_VALUE"""),"Marie biscuit")</f>
        <v>Marie biscuit</v>
      </c>
    </row>
    <row r="536">
      <c r="A536" s="3">
        <f>IFERROR(__xludf.DUMMYFUNCTION("""COMPUTED_VALUE"""),91.0)</f>
        <v>91</v>
      </c>
      <c r="B536" s="3" t="str">
        <f>IFERROR(__xludf.DUMMYFUNCTION("""COMPUTED_VALUE"""),"Tiger *12 Cheese")</f>
        <v>Tiger *12 Cheese</v>
      </c>
    </row>
    <row r="537">
      <c r="A537" s="3">
        <f>IFERROR(__xludf.DUMMYFUNCTION("""COMPUTED_VALUE"""),92.0)</f>
        <v>92</v>
      </c>
      <c r="B537" s="3" t="str">
        <f>IFERROR(__xludf.DUMMYFUNCTION("""COMPUTED_VALUE"""),"Tiger *12 kebab")</f>
        <v>Tiger *12 kebab</v>
      </c>
    </row>
    <row r="538">
      <c r="A538" s="3">
        <f>IFERROR(__xludf.DUMMYFUNCTION("""COMPUTED_VALUE"""),93.0)</f>
        <v>93</v>
      </c>
      <c r="B538" s="3" t="str">
        <f>IFERROR(__xludf.DUMMYFUNCTION("""COMPUTED_VALUE"""),"Tiger 12 paprika")</f>
        <v>Tiger 12 paprika</v>
      </c>
    </row>
    <row r="539">
      <c r="A539" s="3">
        <f>IFERROR(__xludf.DUMMYFUNCTION("""COMPUTED_VALUE"""),94.0)</f>
        <v>94</v>
      </c>
      <c r="B539" s="3" t="str">
        <f>IFERROR(__xludf.DUMMYFUNCTION("""COMPUTED_VALUE"""),"Tiger 12 chili and lemon")</f>
        <v>Tiger 12 chili and lemon</v>
      </c>
    </row>
    <row r="540">
      <c r="A540" s="3">
        <f>IFERROR(__xludf.DUMMYFUNCTION("""COMPUTED_VALUE"""),96.0)</f>
        <v>96</v>
      </c>
      <c r="B540" s="3" t="str">
        <f>IFERROR(__xludf.DUMMYFUNCTION("""COMPUTED_VALUE"""),"Doritos green hot")</f>
        <v>Doritos green hot</v>
      </c>
    </row>
    <row r="541">
      <c r="A541" s="3">
        <f>IFERROR(__xludf.DUMMYFUNCTION("""COMPUTED_VALUE"""),97.0)</f>
        <v>97</v>
      </c>
      <c r="B541" s="3" t="str">
        <f>IFERROR(__xludf.DUMMYFUNCTION("""COMPUTED_VALUE"""),"Doritos nacho")</f>
        <v>Doritos nacho</v>
      </c>
    </row>
    <row r="542">
      <c r="A542" s="3">
        <f>IFERROR(__xludf.DUMMYFUNCTION("""COMPUTED_VALUE"""),98.0)</f>
        <v>98</v>
      </c>
      <c r="B542" s="3" t="str">
        <f>IFERROR(__xludf.DUMMYFUNCTION("""COMPUTED_VALUE"""),"Barbican")</f>
        <v>Barbican</v>
      </c>
    </row>
    <row r="543">
      <c r="A543" s="3">
        <f>IFERROR(__xludf.DUMMYFUNCTION("""COMPUTED_VALUE"""),99.0)</f>
        <v>99</v>
      </c>
      <c r="B543" s="3" t="str">
        <f>IFERROR(__xludf.DUMMYFUNCTION("""COMPUTED_VALUE"""),"Shani")</f>
        <v>Shani</v>
      </c>
    </row>
    <row r="544">
      <c r="A544" s="3">
        <f>IFERROR(__xludf.DUMMYFUNCTION("""COMPUTED_VALUE"""),106.0)</f>
        <v>106</v>
      </c>
      <c r="B544" s="3" t="str">
        <f>IFERROR(__xludf.DUMMYFUNCTION("""COMPUTED_VALUE"""),"Toblerone")</f>
        <v>Toblerone</v>
      </c>
    </row>
    <row r="545">
      <c r="A545" s="3">
        <f>IFERROR(__xludf.DUMMYFUNCTION("""COMPUTED_VALUE"""),111.0)</f>
        <v>111</v>
      </c>
      <c r="B545" s="3" t="str">
        <f>IFERROR(__xludf.DUMMYFUNCTION("""COMPUTED_VALUE"""),"Rayhan suntop")</f>
        <v>Rayhan suntop</v>
      </c>
    </row>
    <row r="546">
      <c r="A546" s="3">
        <f>IFERROR(__xludf.DUMMYFUNCTION("""COMPUTED_VALUE"""),112.0)</f>
        <v>112</v>
      </c>
      <c r="B546" s="3" t="str">
        <f>IFERROR(__xludf.DUMMYFUNCTION("""COMPUTED_VALUE"""),"Tiger *16 kebab")</f>
        <v>Tiger *16 kebab</v>
      </c>
    </row>
    <row r="547">
      <c r="A547" s="3">
        <f>IFERROR(__xludf.DUMMYFUNCTION("""COMPUTED_VALUE"""),113.0)</f>
        <v>113</v>
      </c>
      <c r="B547" s="3" t="str">
        <f>IFERROR(__xludf.DUMMYFUNCTION("""COMPUTED_VALUE"""),"Tiger *16 tomato")</f>
        <v>Tiger *16 tomato</v>
      </c>
    </row>
    <row r="548">
      <c r="A548" s="3">
        <f>IFERROR(__xludf.DUMMYFUNCTION("""COMPUTED_VALUE"""),114.0)</f>
        <v>114</v>
      </c>
      <c r="B548" s="3" t="str">
        <f>IFERROR(__xludf.DUMMYFUNCTION("""COMPUTED_VALUE"""),"Tiger excellence")</f>
        <v>Tiger excellence</v>
      </c>
    </row>
    <row r="549">
      <c r="A549" s="3">
        <f>IFERROR(__xludf.DUMMYFUNCTION("""COMPUTED_VALUE"""),122.0)</f>
        <v>122</v>
      </c>
      <c r="B549" s="3" t="str">
        <f>IFERROR(__xludf.DUMMYFUNCTION("""COMPUTED_VALUE"""),"Savi stix")</f>
        <v>Savi stix</v>
      </c>
    </row>
    <row r="550">
      <c r="A550" s="3">
        <f>IFERROR(__xludf.DUMMYFUNCTION("""COMPUTED_VALUE"""),123.0)</f>
        <v>123</v>
      </c>
      <c r="B550" s="3" t="str">
        <f>IFERROR(__xludf.DUMMYFUNCTION("""COMPUTED_VALUE"""),"Lexus")</f>
        <v>Lexus</v>
      </c>
    </row>
    <row r="551">
      <c r="A551" s="3">
        <f>IFERROR(__xludf.DUMMYFUNCTION("""COMPUTED_VALUE"""),1.0)</f>
        <v>1</v>
      </c>
      <c r="B551" s="3" t="str">
        <f>IFERROR(__xludf.DUMMYFUNCTION("""COMPUTED_VALUE"""),"Doritos cool ranc")</f>
        <v>Doritos cool ranc</v>
      </c>
    </row>
    <row r="552">
      <c r="A552" s="3">
        <f>IFERROR(__xludf.DUMMYFUNCTION("""COMPUTED_VALUE"""),1.0)</f>
        <v>1</v>
      </c>
      <c r="B552" s="3" t="str">
        <f>IFERROR(__xludf.DUMMYFUNCTION("""COMPUTED_VALUE"""),"Doritos cool ranc")</f>
        <v>Doritos cool ranc</v>
      </c>
    </row>
    <row r="553">
      <c r="A553" s="3">
        <f>IFERROR(__xludf.DUMMYFUNCTION("""COMPUTED_VALUE"""),2.0)</f>
        <v>2</v>
      </c>
      <c r="B553" s="3" t="str">
        <f>IFERROR(__xludf.DUMMYFUNCTION("""COMPUTED_VALUE"""),"Water")</f>
        <v>Water</v>
      </c>
    </row>
    <row r="554">
      <c r="A554" s="3">
        <f>IFERROR(__xludf.DUMMYFUNCTION("""COMPUTED_VALUE"""),3.0)</f>
        <v>3</v>
      </c>
      <c r="B554" s="3" t="str">
        <f>IFERROR(__xludf.DUMMYFUNCTION("""COMPUTED_VALUE"""),"Maltesers")</f>
        <v>Maltesers</v>
      </c>
    </row>
    <row r="555">
      <c r="A555" s="3">
        <f>IFERROR(__xludf.DUMMYFUNCTION("""COMPUTED_VALUE"""),5.0)</f>
        <v>5</v>
      </c>
      <c r="B555" s="3" t="str">
        <f>IFERROR(__xludf.DUMMYFUNCTION("""COMPUTED_VALUE"""),"Schweppes")</f>
        <v>Schweppes</v>
      </c>
    </row>
    <row r="556">
      <c r="A556" s="3">
        <f>IFERROR(__xludf.DUMMYFUNCTION("""COMPUTED_VALUE"""),6.0)</f>
        <v>6</v>
      </c>
      <c r="B556" s="3" t="str">
        <f>IFERROR(__xludf.DUMMYFUNCTION("""COMPUTED_VALUE"""),"Tiger *12 tomato")</f>
        <v>Tiger *12 tomato</v>
      </c>
    </row>
    <row r="557">
      <c r="A557" s="3">
        <f>IFERROR(__xludf.DUMMYFUNCTION("""COMPUTED_VALUE"""),6.0)</f>
        <v>6</v>
      </c>
      <c r="B557" s="3" t="str">
        <f>IFERROR(__xludf.DUMMYFUNCTION("""COMPUTED_VALUE"""),"Tiger *12")</f>
        <v>Tiger *12</v>
      </c>
    </row>
    <row r="558">
      <c r="A558" s="3">
        <f>IFERROR(__xludf.DUMMYFUNCTION("""COMPUTED_VALUE"""),10.0)</f>
        <v>10</v>
      </c>
      <c r="B558" s="3" t="str">
        <f>IFERROR(__xludf.DUMMYFUNCTION("""COMPUTED_VALUE"""),"Skittles")</f>
        <v>Skittles</v>
      </c>
    </row>
    <row r="559">
      <c r="A559" s="3">
        <f>IFERROR(__xludf.DUMMYFUNCTION("""COMPUTED_VALUE"""),11.0)</f>
        <v>11</v>
      </c>
      <c r="B559" s="3" t="str">
        <f>IFERROR(__xludf.DUMMYFUNCTION("""COMPUTED_VALUE"""),"X!R")</f>
        <v>X!R</v>
      </c>
    </row>
    <row r="560">
      <c r="A560" s="3">
        <f>IFERROR(__xludf.DUMMYFUNCTION("""COMPUTED_VALUE"""),12.0)</f>
        <v>12</v>
      </c>
      <c r="B560" s="3" t="str">
        <f>IFERROR(__xludf.DUMMYFUNCTION("""COMPUTED_VALUE"""),"sunTop")</f>
        <v>sunTop</v>
      </c>
    </row>
    <row r="561">
      <c r="A561" s="3">
        <f>IFERROR(__xludf.DUMMYFUNCTION("""COMPUTED_VALUE"""),13.0)</f>
        <v>13</v>
      </c>
      <c r="B561" s="3" t="str">
        <f>IFERROR(__xludf.DUMMYFUNCTION("""COMPUTED_VALUE"""),"Ono cake")</f>
        <v>Ono cake</v>
      </c>
    </row>
    <row r="562">
      <c r="A562" s="3">
        <f>IFERROR(__xludf.DUMMYFUNCTION("""COMPUTED_VALUE"""),14.0)</f>
        <v>14</v>
      </c>
      <c r="B562" s="3" t="str">
        <f>IFERROR(__xludf.DUMMYFUNCTION("""COMPUTED_VALUE"""),"Kinder Bueno")</f>
        <v>Kinder Bueno</v>
      </c>
    </row>
    <row r="563">
      <c r="A563" s="3">
        <f>IFERROR(__xludf.DUMMYFUNCTION("""COMPUTED_VALUE"""),15.0)</f>
        <v>15</v>
      </c>
      <c r="B563" s="3" t="str">
        <f>IFERROR(__xludf.DUMMYFUNCTION("""COMPUTED_VALUE"""),"kinza")</f>
        <v>kinza</v>
      </c>
    </row>
    <row r="564">
      <c r="A564" s="3">
        <f>IFERROR(__xludf.DUMMYFUNCTION("""COMPUTED_VALUE"""),18.0)</f>
        <v>18</v>
      </c>
      <c r="B564" s="3" t="str">
        <f>IFERROR(__xludf.DUMMYFUNCTION("""COMPUTED_VALUE"""),"Takis")</f>
        <v>Takis</v>
      </c>
    </row>
    <row r="565">
      <c r="A565" s="3">
        <f>IFERROR(__xludf.DUMMYFUNCTION("""COMPUTED_VALUE"""),19.0)</f>
        <v>19</v>
      </c>
      <c r="B565" s="3" t="str">
        <f>IFERROR(__xludf.DUMMYFUNCTION("""COMPUTED_VALUE"""),"mr bite")</f>
        <v>mr bite</v>
      </c>
    </row>
    <row r="566">
      <c r="A566" s="3">
        <f>IFERROR(__xludf.DUMMYFUNCTION("""COMPUTED_VALUE"""),21.0)</f>
        <v>21</v>
      </c>
      <c r="B566" s="3" t="str">
        <f>IFERROR(__xludf.DUMMYFUNCTION("""COMPUTED_VALUE"""),"Laviva")</f>
        <v>Laviva</v>
      </c>
    </row>
    <row r="567">
      <c r="A567" s="3">
        <f>IFERROR(__xludf.DUMMYFUNCTION("""COMPUTED_VALUE"""),25.0)</f>
        <v>25</v>
      </c>
      <c r="B567" s="3" t="str">
        <f>IFERROR(__xludf.DUMMYFUNCTION("""COMPUTED_VALUE"""),"Twix")</f>
        <v>Twix</v>
      </c>
    </row>
    <row r="568">
      <c r="A568" s="3">
        <f>IFERROR(__xludf.DUMMYFUNCTION("""COMPUTED_VALUE"""),28.0)</f>
        <v>28</v>
      </c>
      <c r="B568" s="3" t="str">
        <f>IFERROR(__xludf.DUMMYFUNCTION("""COMPUTED_VALUE"""),"Snickers")</f>
        <v>Snickers</v>
      </c>
    </row>
    <row r="569">
      <c r="A569" s="3">
        <f>IFERROR(__xludf.DUMMYFUNCTION("""COMPUTED_VALUE"""),29.0)</f>
        <v>29</v>
      </c>
      <c r="B569" s="3" t="str">
        <f>IFERROR(__xludf.DUMMYFUNCTION("""COMPUTED_VALUE"""),"Pepsi")</f>
        <v>Pepsi</v>
      </c>
    </row>
    <row r="570">
      <c r="A570" s="3">
        <f>IFERROR(__xludf.DUMMYFUNCTION("""COMPUTED_VALUE"""),30.0)</f>
        <v>30</v>
      </c>
      <c r="B570" s="3" t="str">
        <f>IFERROR(__xludf.DUMMYFUNCTION("""COMPUTED_VALUE"""),"Mars")</f>
        <v>Mars</v>
      </c>
    </row>
    <row r="571">
      <c r="A571" s="3">
        <f>IFERROR(__xludf.DUMMYFUNCTION("""COMPUTED_VALUE"""),32.0)</f>
        <v>32</v>
      </c>
      <c r="B571" s="3" t="str">
        <f>IFERROR(__xludf.DUMMYFUNCTION("""COMPUTED_VALUE"""),"Almarai Chocolate")</f>
        <v>Almarai Chocolate</v>
      </c>
    </row>
    <row r="572">
      <c r="A572" s="3">
        <f>IFERROR(__xludf.DUMMYFUNCTION("""COMPUTED_VALUE"""),42.0)</f>
        <v>42</v>
      </c>
      <c r="B572" s="3" t="str">
        <f>IFERROR(__xludf.DUMMYFUNCTION("""COMPUTED_VALUE"""),"Green")</f>
        <v>Green</v>
      </c>
    </row>
    <row r="573">
      <c r="A573" s="3">
        <f>IFERROR(__xludf.DUMMYFUNCTION("""COMPUTED_VALUE"""),43.0)</f>
        <v>43</v>
      </c>
      <c r="B573" s="3" t="str">
        <f>IFERROR(__xludf.DUMMYFUNCTION("""COMPUTED_VALUE"""),"MrCrunch")</f>
        <v>MrCrunch</v>
      </c>
    </row>
    <row r="574">
      <c r="A574" s="3">
        <f>IFERROR(__xludf.DUMMYFUNCTION("""COMPUTED_VALUE"""),47.0)</f>
        <v>47</v>
      </c>
      <c r="B574" s="3" t="str">
        <f>IFERROR(__xludf.DUMMYFUNCTION("""COMPUTED_VALUE"""),"MrCrunch Normal")</f>
        <v>MrCrunch Normal</v>
      </c>
    </row>
    <row r="575">
      <c r="A575" s="3">
        <f>IFERROR(__xludf.DUMMYFUNCTION("""COMPUTED_VALUE"""),48.0)</f>
        <v>48</v>
      </c>
      <c r="B575" s="3" t="str">
        <f>IFERROR(__xludf.DUMMYFUNCTION("""COMPUTED_VALUE"""),"Kinder bueno1stick")</f>
        <v>Kinder bueno1stick</v>
      </c>
    </row>
    <row r="576">
      <c r="A576" s="3">
        <f>IFERROR(__xludf.DUMMYFUNCTION("""COMPUTED_VALUE"""),49.0)</f>
        <v>49</v>
      </c>
      <c r="B576" s="3" t="str">
        <f>IFERROR(__xludf.DUMMYFUNCTION("""COMPUTED_VALUE"""),"Haribo")</f>
        <v>Haribo</v>
      </c>
    </row>
    <row r="577">
      <c r="A577" s="3">
        <f>IFERROR(__xludf.DUMMYFUNCTION("""COMPUTED_VALUE"""),52.0)</f>
        <v>52</v>
      </c>
      <c r="B577" s="3" t="str">
        <f>IFERROR(__xludf.DUMMYFUNCTION("""COMPUTED_VALUE"""),"MR Crunch")</f>
        <v>MR Crunch</v>
      </c>
    </row>
    <row r="578">
      <c r="A578" s="3">
        <f>IFERROR(__xludf.DUMMYFUNCTION("""COMPUTED_VALUE"""),53.0)</f>
        <v>53</v>
      </c>
      <c r="B578" s="3" t="str">
        <f>IFERROR(__xludf.DUMMYFUNCTION("""COMPUTED_VALUE"""),"7up")</f>
        <v>7up</v>
      </c>
    </row>
    <row r="579">
      <c r="A579" s="3">
        <f>IFERROR(__xludf.DUMMYFUNCTION("""COMPUTED_VALUE"""),54.0)</f>
        <v>54</v>
      </c>
      <c r="B579" s="3" t="str">
        <f>IFERROR(__xludf.DUMMYFUNCTION("""COMPUTED_VALUE"""),"Mirinda")</f>
        <v>Mirinda</v>
      </c>
    </row>
    <row r="580">
      <c r="A580" s="3">
        <f>IFERROR(__xludf.DUMMYFUNCTION("""COMPUTED_VALUE"""),64.0)</f>
        <v>64</v>
      </c>
      <c r="B580" s="3" t="str">
        <f>IFERROR(__xludf.DUMMYFUNCTION("""COMPUTED_VALUE"""),"Almarai Strawberry")</f>
        <v>Almarai Strawberry</v>
      </c>
    </row>
    <row r="581">
      <c r="A581" s="3">
        <f>IFERROR(__xludf.DUMMYFUNCTION("""COMPUTED_VALUE"""),71.0)</f>
        <v>71</v>
      </c>
      <c r="B581" s="3" t="str">
        <f>IFERROR(__xludf.DUMMYFUNCTION("""COMPUTED_VALUE"""),"MrCrunch-RingGo")</f>
        <v>MrCrunch-RingGo</v>
      </c>
    </row>
    <row r="582">
      <c r="A582" s="3">
        <f>IFERROR(__xludf.DUMMYFUNCTION("""COMPUTED_VALUE"""),75.0)</f>
        <v>75</v>
      </c>
      <c r="B582" s="3" t="str">
        <f>IFERROR(__xludf.DUMMYFUNCTION("""COMPUTED_VALUE"""),"Twix ex")</f>
        <v>Twix ex</v>
      </c>
    </row>
    <row r="583">
      <c r="A583" s="3">
        <f>IFERROR(__xludf.DUMMYFUNCTION("""COMPUTED_VALUE"""),82.0)</f>
        <v>82</v>
      </c>
      <c r="B583" s="3" t="str">
        <f>IFERROR(__xludf.DUMMYFUNCTION("""COMPUTED_VALUE"""),"L suntop")</f>
        <v>L suntop</v>
      </c>
    </row>
    <row r="584">
      <c r="A584" s="3">
        <f>IFERROR(__xludf.DUMMYFUNCTION("""COMPUTED_VALUE"""),86.0)</f>
        <v>86</v>
      </c>
      <c r="B584" s="3" t="str">
        <f>IFERROR(__xludf.DUMMYFUNCTION("""COMPUTED_VALUE"""),"Mrbeast")</f>
        <v>Mrbeast</v>
      </c>
    </row>
    <row r="585">
      <c r="A585" s="3">
        <f>IFERROR(__xludf.DUMMYFUNCTION("""COMPUTED_VALUE"""),91.0)</f>
        <v>91</v>
      </c>
      <c r="B585" s="3" t="str">
        <f>IFERROR(__xludf.DUMMYFUNCTION("""COMPUTED_VALUE"""),"Tiger *12 Cheese")</f>
        <v>Tiger *12 Cheese</v>
      </c>
    </row>
    <row r="586">
      <c r="A586" s="3">
        <f>IFERROR(__xludf.DUMMYFUNCTION("""COMPUTED_VALUE"""),92.0)</f>
        <v>92</v>
      </c>
      <c r="B586" s="3" t="str">
        <f>IFERROR(__xludf.DUMMYFUNCTION("""COMPUTED_VALUE"""),"Tiger *12 kebab")</f>
        <v>Tiger *12 kebab</v>
      </c>
    </row>
    <row r="587">
      <c r="A587" s="3">
        <f>IFERROR(__xludf.DUMMYFUNCTION("""COMPUTED_VALUE"""),93.0)</f>
        <v>93</v>
      </c>
      <c r="B587" s="3" t="str">
        <f>IFERROR(__xludf.DUMMYFUNCTION("""COMPUTED_VALUE"""),"Tiger 12 paprika")</f>
        <v>Tiger 12 paprika</v>
      </c>
    </row>
    <row r="588">
      <c r="A588" s="3">
        <f>IFERROR(__xludf.DUMMYFUNCTION("""COMPUTED_VALUE"""),94.0)</f>
        <v>94</v>
      </c>
      <c r="B588" s="3" t="str">
        <f>IFERROR(__xludf.DUMMYFUNCTION("""COMPUTED_VALUE"""),"Tiger 12 chili and lemon")</f>
        <v>Tiger 12 chili and lemon</v>
      </c>
    </row>
    <row r="589">
      <c r="A589" s="3">
        <f>IFERROR(__xludf.DUMMYFUNCTION("""COMPUTED_VALUE"""),95.0)</f>
        <v>95</v>
      </c>
      <c r="B589" s="3" t="str">
        <f>IFERROR(__xludf.DUMMYFUNCTION("""COMPUTED_VALUE"""),"Tiger 12 sweet chili")</f>
        <v>Tiger 12 sweet chili</v>
      </c>
    </row>
    <row r="590">
      <c r="A590" s="3">
        <f>IFERROR(__xludf.DUMMYFUNCTION("""COMPUTED_VALUE"""),96.0)</f>
        <v>96</v>
      </c>
      <c r="B590" s="3" t="str">
        <f>IFERROR(__xludf.DUMMYFUNCTION("""COMPUTED_VALUE"""),"Doritos green hot")</f>
        <v>Doritos green hot</v>
      </c>
    </row>
    <row r="591">
      <c r="A591" s="3">
        <f>IFERROR(__xludf.DUMMYFUNCTION("""COMPUTED_VALUE"""),97.0)</f>
        <v>97</v>
      </c>
      <c r="B591" s="3" t="str">
        <f>IFERROR(__xludf.DUMMYFUNCTION("""COMPUTED_VALUE"""),"Doritos nacho")</f>
        <v>Doritos nacho</v>
      </c>
    </row>
    <row r="592">
      <c r="A592" s="3">
        <f>IFERROR(__xludf.DUMMYFUNCTION("""COMPUTED_VALUE"""),98.0)</f>
        <v>98</v>
      </c>
      <c r="B592" s="3" t="str">
        <f>IFERROR(__xludf.DUMMYFUNCTION("""COMPUTED_VALUE"""),"Barbican")</f>
        <v>Barbican</v>
      </c>
    </row>
    <row r="593">
      <c r="A593" s="3">
        <f>IFERROR(__xludf.DUMMYFUNCTION("""COMPUTED_VALUE"""),99.0)</f>
        <v>99</v>
      </c>
      <c r="B593" s="3" t="str">
        <f>IFERROR(__xludf.DUMMYFUNCTION("""COMPUTED_VALUE"""),"Shani")</f>
        <v>Shani</v>
      </c>
    </row>
    <row r="594">
      <c r="A594" s="3">
        <f>IFERROR(__xludf.DUMMYFUNCTION("""COMPUTED_VALUE"""),102.0)</f>
        <v>102</v>
      </c>
      <c r="B594" s="3" t="str">
        <f>IFERROR(__xludf.DUMMYFUNCTION("""COMPUTED_VALUE"""),"Buldak")</f>
        <v>Buldak</v>
      </c>
    </row>
    <row r="595">
      <c r="A595" s="3">
        <f>IFERROR(__xludf.DUMMYFUNCTION("""COMPUTED_VALUE"""),111.0)</f>
        <v>111</v>
      </c>
      <c r="B595" s="3" t="str">
        <f>IFERROR(__xludf.DUMMYFUNCTION("""COMPUTED_VALUE"""),"Rayhan suntop")</f>
        <v>Rayhan suntop</v>
      </c>
    </row>
    <row r="596">
      <c r="A596" s="3">
        <f>IFERROR(__xludf.DUMMYFUNCTION("""COMPUTED_VALUE"""),112.0)</f>
        <v>112</v>
      </c>
      <c r="B596" s="3" t="str">
        <f>IFERROR(__xludf.DUMMYFUNCTION("""COMPUTED_VALUE"""),"Tiger *16 kebab")</f>
        <v>Tiger *16 kebab</v>
      </c>
    </row>
    <row r="597">
      <c r="A597" s="3">
        <f>IFERROR(__xludf.DUMMYFUNCTION("""COMPUTED_VALUE"""),113.0)</f>
        <v>113</v>
      </c>
      <c r="B597" s="3" t="str">
        <f>IFERROR(__xludf.DUMMYFUNCTION("""COMPUTED_VALUE"""),"Tiger *16 tomato")</f>
        <v>Tiger *16 tomato</v>
      </c>
    </row>
    <row r="598">
      <c r="A598" s="3">
        <f>IFERROR(__xludf.DUMMYFUNCTION("""COMPUTED_VALUE"""),114.0)</f>
        <v>114</v>
      </c>
      <c r="B598" s="3" t="str">
        <f>IFERROR(__xludf.DUMMYFUNCTION("""COMPUTED_VALUE"""),"Tiger excellence")</f>
        <v>Tiger excellence</v>
      </c>
    </row>
    <row r="599">
      <c r="A599" s="3">
        <f>IFERROR(__xludf.DUMMYFUNCTION("""COMPUTED_VALUE"""),118.0)</f>
        <v>118</v>
      </c>
      <c r="B599" s="3" t="str">
        <f>IFERROR(__xludf.DUMMYFUNCTION("""COMPUTED_VALUE"""),"Haribo bears")</f>
        <v>Haribo bears</v>
      </c>
    </row>
    <row r="600">
      <c r="A600" s="3">
        <f>IFERROR(__xludf.DUMMYFUNCTION("""COMPUTED_VALUE"""),119.0)</f>
        <v>119</v>
      </c>
      <c r="B600" s="3" t="str">
        <f>IFERROR(__xludf.DUMMYFUNCTION("""COMPUTED_VALUE"""),"Turbo strips")</f>
        <v>Turbo strips</v>
      </c>
    </row>
    <row r="601">
      <c r="A601" s="3">
        <f>IFERROR(__xludf.DUMMYFUNCTION("""COMPUTED_VALUE"""),121.0)</f>
        <v>121</v>
      </c>
      <c r="B601" s="3" t="str">
        <f>IFERROR(__xludf.DUMMYFUNCTION("""COMPUTED_VALUE"""),"Chotso")</f>
        <v>Chotso</v>
      </c>
    </row>
    <row r="602">
      <c r="A602" s="3">
        <f>IFERROR(__xludf.DUMMYFUNCTION("""COMPUTED_VALUE"""),124.0)</f>
        <v>124</v>
      </c>
      <c r="B602" s="3" t="str">
        <f>IFERROR(__xludf.DUMMYFUNCTION("""COMPUTED_VALUE"""),"Lolo")</f>
        <v>Lolo</v>
      </c>
    </row>
    <row r="603">
      <c r="A603" s="3">
        <f>IFERROR(__xludf.DUMMYFUNCTION("""COMPUTED_VALUE"""),126.0)</f>
        <v>126</v>
      </c>
      <c r="B603" s="3" t="str">
        <f>IFERROR(__xludf.DUMMYFUNCTION("""COMPUTED_VALUE"""),"Coach Suntop")</f>
        <v>Coach Suntop</v>
      </c>
    </row>
    <row r="604">
      <c r="A604" s="3">
        <f>IFERROR(__xludf.DUMMYFUNCTION("""COMPUTED_VALUE"""),127.0)</f>
        <v>127</v>
      </c>
      <c r="B604" s="3" t="str">
        <f>IFERROR(__xludf.DUMMYFUNCTION("""COMPUTED_VALUE"""),"Twix single")</f>
        <v>Twix single</v>
      </c>
    </row>
    <row r="605">
      <c r="A605" s="3">
        <f>IFERROR(__xludf.DUMMYFUNCTION("""COMPUTED_VALUE"""),0.0)</f>
        <v>0</v>
      </c>
      <c r="B605" s="3" t="str">
        <f>IFERROR(__xludf.DUMMYFUNCTION("""COMPUTED_VALUE"""),"æœªè®¾ç½®")</f>
        <v>æœªè®¾ç½®</v>
      </c>
    </row>
    <row r="606">
      <c r="A606" s="3">
        <f>IFERROR(__xludf.DUMMYFUNCTION("""COMPUTED_VALUE"""),2.0)</f>
        <v>2</v>
      </c>
      <c r="B606" s="3" t="str">
        <f>IFERROR(__xludf.DUMMYFUNCTION("""COMPUTED_VALUE"""),"Water")</f>
        <v>Water</v>
      </c>
    </row>
    <row r="607">
      <c r="A607" s="3">
        <f>IFERROR(__xludf.DUMMYFUNCTION("""COMPUTED_VALUE"""),10.0)</f>
        <v>10</v>
      </c>
      <c r="B607" s="3" t="str">
        <f>IFERROR(__xludf.DUMMYFUNCTION("""COMPUTED_VALUE"""),"Skittles")</f>
        <v>Skittles</v>
      </c>
    </row>
    <row r="608">
      <c r="A608" s="3">
        <f>IFERROR(__xludf.DUMMYFUNCTION("""COMPUTED_VALUE"""),12.0)</f>
        <v>12</v>
      </c>
      <c r="B608" s="3" t="str">
        <f>IFERROR(__xludf.DUMMYFUNCTION("""COMPUTED_VALUE"""),"sunTop")</f>
        <v>sunTop</v>
      </c>
    </row>
    <row r="609">
      <c r="A609" s="3">
        <f>IFERROR(__xludf.DUMMYFUNCTION("""COMPUTED_VALUE"""),19.0)</f>
        <v>19</v>
      </c>
      <c r="B609" s="3" t="str">
        <f>IFERROR(__xludf.DUMMYFUNCTION("""COMPUTED_VALUE"""),"mr bite")</f>
        <v>mr bite</v>
      </c>
    </row>
    <row r="610">
      <c r="A610" s="3">
        <f>IFERROR(__xludf.DUMMYFUNCTION("""COMPUTED_VALUE"""),20.0)</f>
        <v>20</v>
      </c>
      <c r="B610" s="3" t="str">
        <f>IFERROR(__xludf.DUMMYFUNCTION("""COMPUTED_VALUE"""),"m&amp;m")</f>
        <v>m&amp;m</v>
      </c>
    </row>
    <row r="611">
      <c r="A611" s="3">
        <f>IFERROR(__xludf.DUMMYFUNCTION("""COMPUTED_VALUE"""),21.0)</f>
        <v>21</v>
      </c>
      <c r="B611" s="3" t="str">
        <f>IFERROR(__xludf.DUMMYFUNCTION("""COMPUTED_VALUE"""),"Laviva")</f>
        <v>Laviva</v>
      </c>
    </row>
    <row r="612">
      <c r="A612" s="3">
        <f>IFERROR(__xludf.DUMMYFUNCTION("""COMPUTED_VALUE"""),32.0)</f>
        <v>32</v>
      </c>
      <c r="B612" s="3" t="str">
        <f>IFERROR(__xludf.DUMMYFUNCTION("""COMPUTED_VALUE"""),"Almarai Chocolate")</f>
        <v>Almarai Chocolate</v>
      </c>
    </row>
    <row r="613">
      <c r="A613" s="3">
        <f>IFERROR(__xludf.DUMMYFUNCTION("""COMPUTED_VALUE"""),33.0)</f>
        <v>33</v>
      </c>
      <c r="B613" s="3" t="str">
        <f>IFERROR(__xludf.DUMMYFUNCTION("""COMPUTED_VALUE"""),"Corissant Karuzo")</f>
        <v>Corissant Karuzo</v>
      </c>
    </row>
    <row r="614">
      <c r="A614" s="3">
        <f>IFERROR(__xludf.DUMMYFUNCTION("""COMPUTED_VALUE"""),36.0)</f>
        <v>36</v>
      </c>
      <c r="B614" s="3" t="str">
        <f>IFERROR(__xludf.DUMMYFUNCTION("""COMPUTED_VALUE"""),"Kunuz Juice")</f>
        <v>Kunuz Juice</v>
      </c>
    </row>
    <row r="615">
      <c r="A615" s="3">
        <f>IFERROR(__xludf.DUMMYFUNCTION("""COMPUTED_VALUE"""),38.0)</f>
        <v>38</v>
      </c>
      <c r="B615" s="3" t="str">
        <f>IFERROR(__xludf.DUMMYFUNCTION("""COMPUTED_VALUE"""),"Lovita cookies")</f>
        <v>Lovita cookies</v>
      </c>
    </row>
    <row r="616">
      <c r="A616" s="3">
        <f>IFERROR(__xludf.DUMMYFUNCTION("""COMPUTED_VALUE"""),41.0)</f>
        <v>41</v>
      </c>
      <c r="B616" s="3" t="str">
        <f>IFERROR(__xludf.DUMMYFUNCTION("""COMPUTED_VALUE"""),"Pretzels")</f>
        <v>Pretzels</v>
      </c>
    </row>
    <row r="617">
      <c r="A617" s="3">
        <f>IFERROR(__xludf.DUMMYFUNCTION("""COMPUTED_VALUE"""),44.0)</f>
        <v>44</v>
      </c>
      <c r="B617" s="3" t="str">
        <f>IFERROR(__xludf.DUMMYFUNCTION("""COMPUTED_VALUE"""),"Caser Juice")</f>
        <v>Caser Juice</v>
      </c>
    </row>
    <row r="618">
      <c r="A618" s="3">
        <f>IFERROR(__xludf.DUMMYFUNCTION("""COMPUTED_VALUE"""),49.0)</f>
        <v>49</v>
      </c>
      <c r="B618" s="3" t="str">
        <f>IFERROR(__xludf.DUMMYFUNCTION("""COMPUTED_VALUE"""),"Haribo")</f>
        <v>Haribo</v>
      </c>
    </row>
    <row r="619">
      <c r="A619" s="3">
        <f>IFERROR(__xludf.DUMMYFUNCTION("""COMPUTED_VALUE"""),57.0)</f>
        <v>57</v>
      </c>
      <c r="B619" s="3" t="str">
        <f>IFERROR(__xludf.DUMMYFUNCTION("""COMPUTED_VALUE"""),"ifruit juice")</f>
        <v>ifruit juice</v>
      </c>
    </row>
    <row r="620">
      <c r="A620" s="3">
        <f>IFERROR(__xludf.DUMMYFUNCTION("""COMPUTED_VALUE"""),58.0)</f>
        <v>58</v>
      </c>
      <c r="B620" s="3" t="str">
        <f>IFERROR(__xludf.DUMMYFUNCTION("""COMPUTED_VALUE"""),"Today Chocolate")</f>
        <v>Today Chocolate</v>
      </c>
    </row>
    <row r="621">
      <c r="A621" s="3">
        <f>IFERROR(__xludf.DUMMYFUNCTION("""COMPUTED_VALUE"""),61.0)</f>
        <v>61</v>
      </c>
      <c r="B621" s="3" t="str">
        <f>IFERROR(__xludf.DUMMYFUNCTION("""COMPUTED_VALUE"""),"Prime")</f>
        <v>Prime</v>
      </c>
    </row>
    <row r="622">
      <c r="A622" s="3">
        <f>IFERROR(__xludf.DUMMYFUNCTION("""COMPUTED_VALUE"""),64.0)</f>
        <v>64</v>
      </c>
      <c r="B622" s="3" t="str">
        <f>IFERROR(__xludf.DUMMYFUNCTION("""COMPUTED_VALUE"""),"Almarai Strawberry")</f>
        <v>Almarai Strawberry</v>
      </c>
    </row>
    <row r="623">
      <c r="A623" s="3">
        <f>IFERROR(__xludf.DUMMYFUNCTION("""COMPUTED_VALUE"""),65.0)</f>
        <v>65</v>
      </c>
      <c r="B623" s="3" t="str">
        <f>IFERROR(__xludf.DUMMYFUNCTION("""COMPUTED_VALUE"""),"Dallas juice")</f>
        <v>Dallas juice</v>
      </c>
    </row>
    <row r="624">
      <c r="A624" s="3">
        <f>IFERROR(__xludf.DUMMYFUNCTION("""COMPUTED_VALUE"""),74.0)</f>
        <v>74</v>
      </c>
      <c r="B624" s="3" t="str">
        <f>IFERROR(__xludf.DUMMYFUNCTION("""COMPUTED_VALUE"""),"HiPro")</f>
        <v>HiPro</v>
      </c>
    </row>
    <row r="625">
      <c r="A625" s="3">
        <f>IFERROR(__xludf.DUMMYFUNCTION("""COMPUTED_VALUE"""),78.0)</f>
        <v>78</v>
      </c>
      <c r="B625" s="3" t="str">
        <f>IFERROR(__xludf.DUMMYFUNCTION("""COMPUTED_VALUE"""),"Mulino Cookis")</f>
        <v>Mulino Cookis</v>
      </c>
    </row>
    <row r="626">
      <c r="A626" s="3">
        <f>IFERROR(__xludf.DUMMYFUNCTION("""COMPUTED_VALUE"""),79.0)</f>
        <v>79</v>
      </c>
      <c r="B626" s="3" t="str">
        <f>IFERROR(__xludf.DUMMYFUNCTION("""COMPUTED_VALUE"""),"Yasmin Almonds")</f>
        <v>Yasmin Almonds</v>
      </c>
    </row>
    <row r="627">
      <c r="A627" s="3">
        <f>IFERROR(__xludf.DUMMYFUNCTION("""COMPUTED_VALUE"""),80.0)</f>
        <v>80</v>
      </c>
      <c r="B627" s="3" t="str">
        <f>IFERROR(__xludf.DUMMYFUNCTION("""COMPUTED_VALUE"""),"Yasmin Penuts")</f>
        <v>Yasmin Penuts</v>
      </c>
    </row>
    <row r="628">
      <c r="A628" s="3">
        <f>IFERROR(__xludf.DUMMYFUNCTION("""COMPUTED_VALUE"""),82.0)</f>
        <v>82</v>
      </c>
      <c r="B628" s="3" t="str">
        <f>IFERROR(__xludf.DUMMYFUNCTION("""COMPUTED_VALUE"""),"L suntop")</f>
        <v>L suntop</v>
      </c>
    </row>
    <row r="629">
      <c r="A629" s="3">
        <f>IFERROR(__xludf.DUMMYFUNCTION("""COMPUTED_VALUE"""),86.0)</f>
        <v>86</v>
      </c>
      <c r="B629" s="3" t="str">
        <f>IFERROR(__xludf.DUMMYFUNCTION("""COMPUTED_VALUE"""),"Mrbeast")</f>
        <v>Mrbeast</v>
      </c>
    </row>
    <row r="630">
      <c r="A630" s="3">
        <f>IFERROR(__xludf.DUMMYFUNCTION("""COMPUTED_VALUE"""),87.0)</f>
        <v>87</v>
      </c>
      <c r="B630" s="3" t="str">
        <f>IFERROR(__xludf.DUMMYFUNCTION("""COMPUTED_VALUE"""),"mr.bite strike")</f>
        <v>mr.bite strike</v>
      </c>
    </row>
    <row r="631">
      <c r="A631" s="3">
        <f>IFERROR(__xludf.DUMMYFUNCTION("""COMPUTED_VALUE"""),88.0)</f>
        <v>88</v>
      </c>
      <c r="B631" s="3" t="str">
        <f>IFERROR(__xludf.DUMMYFUNCTION("""COMPUTED_VALUE"""),"brownies moulin")</f>
        <v>brownies moulin</v>
      </c>
    </row>
    <row r="632">
      <c r="A632" s="3">
        <f>IFERROR(__xludf.DUMMYFUNCTION("""COMPUTED_VALUE"""),89.0)</f>
        <v>89</v>
      </c>
      <c r="B632" s="3" t="str">
        <f>IFERROR(__xludf.DUMMYFUNCTION("""COMPUTED_VALUE"""),"Chico")</f>
        <v>Chico</v>
      </c>
    </row>
    <row r="633">
      <c r="A633" s="3">
        <f>IFERROR(__xludf.DUMMYFUNCTION("""COMPUTED_VALUE"""),100.0)</f>
        <v>100</v>
      </c>
      <c r="B633" s="3" t="str">
        <f>IFERROR(__xludf.DUMMYFUNCTION("""COMPUTED_VALUE"""),"Mr Cruch veggy's")</f>
        <v>Mr Cruch veggy's</v>
      </c>
    </row>
    <row r="634">
      <c r="A634" s="3">
        <f>IFERROR(__xludf.DUMMYFUNCTION("""COMPUTED_VALUE"""),101.0)</f>
        <v>101</v>
      </c>
      <c r="B634" s="3" t="str">
        <f>IFERROR(__xludf.DUMMYFUNCTION("""COMPUTED_VALUE"""),"vita go")</f>
        <v>vita go</v>
      </c>
    </row>
    <row r="635">
      <c r="A635" s="3">
        <f>IFERROR(__xludf.DUMMYFUNCTION("""COMPUTED_VALUE"""),103.0)</f>
        <v>103</v>
      </c>
      <c r="B635" s="3" t="str">
        <f>IFERROR(__xludf.DUMMYFUNCTION("""COMPUTED_VALUE"""),"Goftime")</f>
        <v>Goftime</v>
      </c>
    </row>
    <row r="636">
      <c r="A636" s="3">
        <f>IFERROR(__xludf.DUMMYFUNCTION("""COMPUTED_VALUE"""),104.0)</f>
        <v>104</v>
      </c>
      <c r="B636" s="3" t="str">
        <f>IFERROR(__xludf.DUMMYFUNCTION("""COMPUTED_VALUE"""),"Souffle")</f>
        <v>Souffle</v>
      </c>
    </row>
    <row r="637">
      <c r="A637" s="3">
        <f>IFERROR(__xludf.DUMMYFUNCTION("""COMPUTED_VALUE"""),105.0)</f>
        <v>105</v>
      </c>
      <c r="B637" s="3" t="str">
        <f>IFERROR(__xludf.DUMMYFUNCTION("""COMPUTED_VALUE"""),"Waffi")</f>
        <v>Waffi</v>
      </c>
    </row>
    <row r="638">
      <c r="A638" s="3">
        <f>IFERROR(__xludf.DUMMYFUNCTION("""COMPUTED_VALUE"""),106.0)</f>
        <v>106</v>
      </c>
      <c r="B638" s="3" t="str">
        <f>IFERROR(__xludf.DUMMYFUNCTION("""COMPUTED_VALUE"""),"Toblerone")</f>
        <v>Toblerone</v>
      </c>
    </row>
    <row r="639">
      <c r="A639" s="3">
        <f>IFERROR(__xludf.DUMMYFUNCTION("""COMPUTED_VALUE"""),108.0)</f>
        <v>108</v>
      </c>
      <c r="B639" s="3" t="str">
        <f>IFERROR(__xludf.DUMMYFUNCTION("""COMPUTED_VALUE"""),"Shada up")</f>
        <v>Shada up</v>
      </c>
    </row>
    <row r="640">
      <c r="A640" s="3">
        <f>IFERROR(__xludf.DUMMYFUNCTION("""COMPUTED_VALUE"""),109.0)</f>
        <v>109</v>
      </c>
      <c r="B640" s="3" t="str">
        <f>IFERROR(__xludf.DUMMYFUNCTION("""COMPUTED_VALUE"""),"Be happy kids")</f>
        <v>Be happy kids</v>
      </c>
    </row>
    <row r="641">
      <c r="A641" s="3">
        <f>IFERROR(__xludf.DUMMYFUNCTION("""COMPUTED_VALUE"""),111.0)</f>
        <v>111</v>
      </c>
      <c r="B641" s="3" t="str">
        <f>IFERROR(__xludf.DUMMYFUNCTION("""COMPUTED_VALUE"""),"Rayhan suntop")</f>
        <v>Rayhan suntop</v>
      </c>
    </row>
    <row r="642">
      <c r="A642" s="3">
        <f>IFERROR(__xludf.DUMMYFUNCTION("""COMPUTED_VALUE"""),116.0)</f>
        <v>116</v>
      </c>
      <c r="B642" s="3" t="str">
        <f>IFERROR(__xludf.DUMMYFUNCTION("""COMPUTED_VALUE"""),"Duplo")</f>
        <v>Duplo</v>
      </c>
    </row>
    <row r="643">
      <c r="A643" s="3">
        <f>IFERROR(__xludf.DUMMYFUNCTION("""COMPUTED_VALUE"""),117.0)</f>
        <v>117</v>
      </c>
      <c r="B643" s="3" t="str">
        <f>IFERROR(__xludf.DUMMYFUNCTION("""COMPUTED_VALUE"""),"Wafer Laviva")</f>
        <v>Wafer Laviva</v>
      </c>
    </row>
    <row r="644">
      <c r="A644" s="3">
        <f>IFERROR(__xludf.DUMMYFUNCTION("""COMPUTED_VALUE"""),120.0)</f>
        <v>120</v>
      </c>
      <c r="B644" s="3" t="str">
        <f>IFERROR(__xludf.DUMMYFUNCTION("""COMPUTED_VALUE"""),"Chillax chips")</f>
        <v>Chillax chips</v>
      </c>
    </row>
    <row r="645">
      <c r="A645" s="3">
        <f>IFERROR(__xludf.DUMMYFUNCTION("""COMPUTED_VALUE"""),0.0)</f>
        <v>0</v>
      </c>
      <c r="B645" s="3" t="str">
        <f>IFERROR(__xludf.DUMMYFUNCTION("""COMPUTED_VALUE"""),"æœªè®¾ç½®")</f>
        <v>æœªè®¾ç½®</v>
      </c>
    </row>
    <row r="646">
      <c r="A646" s="3">
        <f>IFERROR(__xludf.DUMMYFUNCTION("""COMPUTED_VALUE"""),1.0)</f>
        <v>1</v>
      </c>
      <c r="B646" s="3" t="str">
        <f>IFERROR(__xludf.DUMMYFUNCTION("""COMPUTED_VALUE"""),"Doritos cool ranc")</f>
        <v>Doritos cool ranc</v>
      </c>
    </row>
    <row r="647">
      <c r="A647" s="3">
        <f>IFERROR(__xludf.DUMMYFUNCTION("""COMPUTED_VALUE"""),2.0)</f>
        <v>2</v>
      </c>
      <c r="B647" s="3" t="str">
        <f>IFERROR(__xludf.DUMMYFUNCTION("""COMPUTED_VALUE"""),"Water")</f>
        <v>Water</v>
      </c>
    </row>
    <row r="648">
      <c r="A648" s="3">
        <f>IFERROR(__xludf.DUMMYFUNCTION("""COMPUTED_VALUE"""),3.0)</f>
        <v>3</v>
      </c>
      <c r="B648" s="3" t="str">
        <f>IFERROR(__xludf.DUMMYFUNCTION("""COMPUTED_VALUE"""),"Maltesers")</f>
        <v>Maltesers</v>
      </c>
    </row>
    <row r="649">
      <c r="A649" s="3">
        <f>IFERROR(__xludf.DUMMYFUNCTION("""COMPUTED_VALUE"""),5.0)</f>
        <v>5</v>
      </c>
      <c r="B649" s="3" t="str">
        <f>IFERROR(__xludf.DUMMYFUNCTION("""COMPUTED_VALUE"""),"Schweppes")</f>
        <v>Schweppes</v>
      </c>
    </row>
    <row r="650">
      <c r="A650" s="3">
        <f>IFERROR(__xludf.DUMMYFUNCTION("""COMPUTED_VALUE"""),11.0)</f>
        <v>11</v>
      </c>
      <c r="B650" s="3" t="str">
        <f>IFERROR(__xludf.DUMMYFUNCTION("""COMPUTED_VALUE"""),"X!R")</f>
        <v>X!R</v>
      </c>
    </row>
    <row r="651">
      <c r="A651" s="3">
        <f>IFERROR(__xludf.DUMMYFUNCTION("""COMPUTED_VALUE"""),12.0)</f>
        <v>12</v>
      </c>
      <c r="B651" s="3" t="str">
        <f>IFERROR(__xludf.DUMMYFUNCTION("""COMPUTED_VALUE"""),"sunTop")</f>
        <v>sunTop</v>
      </c>
    </row>
    <row r="652">
      <c r="A652" s="3">
        <f>IFERROR(__xludf.DUMMYFUNCTION("""COMPUTED_VALUE"""),14.0)</f>
        <v>14</v>
      </c>
      <c r="B652" s="3" t="str">
        <f>IFERROR(__xludf.DUMMYFUNCTION("""COMPUTED_VALUE"""),"Kinder Bueno")</f>
        <v>Kinder Bueno</v>
      </c>
    </row>
    <row r="653">
      <c r="A653" s="3">
        <f>IFERROR(__xludf.DUMMYFUNCTION("""COMPUTED_VALUE"""),19.0)</f>
        <v>19</v>
      </c>
      <c r="B653" s="3" t="str">
        <f>IFERROR(__xludf.DUMMYFUNCTION("""COMPUTED_VALUE"""),"mr bite")</f>
        <v>mr bite</v>
      </c>
    </row>
    <row r="654">
      <c r="A654" s="3">
        <f>IFERROR(__xludf.DUMMYFUNCTION("""COMPUTED_VALUE"""),21.0)</f>
        <v>21</v>
      </c>
      <c r="B654" s="3" t="str">
        <f>IFERROR(__xludf.DUMMYFUNCTION("""COMPUTED_VALUE"""),"Laviva")</f>
        <v>Laviva</v>
      </c>
    </row>
    <row r="655">
      <c r="A655" s="3">
        <f>IFERROR(__xludf.DUMMYFUNCTION("""COMPUTED_VALUE"""),23.0)</f>
        <v>23</v>
      </c>
      <c r="B655" s="3" t="str">
        <f>IFERROR(__xludf.DUMMYFUNCTION("""COMPUTED_VALUE"""),"Freez")</f>
        <v>Freez</v>
      </c>
    </row>
    <row r="656">
      <c r="A656" s="3">
        <f>IFERROR(__xludf.DUMMYFUNCTION("""COMPUTED_VALUE"""),25.0)</f>
        <v>25</v>
      </c>
      <c r="B656" s="3" t="str">
        <f>IFERROR(__xludf.DUMMYFUNCTION("""COMPUTED_VALUE"""),"Twix")</f>
        <v>Twix</v>
      </c>
    </row>
    <row r="657">
      <c r="A657" s="3">
        <f>IFERROR(__xludf.DUMMYFUNCTION("""COMPUTED_VALUE"""),27.0)</f>
        <v>27</v>
      </c>
      <c r="B657" s="3" t="str">
        <f>IFERROR(__xludf.DUMMYFUNCTION("""COMPUTED_VALUE"""),"Gardena")</f>
        <v>Gardena</v>
      </c>
    </row>
    <row r="658">
      <c r="A658" s="3">
        <f>IFERROR(__xludf.DUMMYFUNCTION("""COMPUTED_VALUE"""),28.0)</f>
        <v>28</v>
      </c>
      <c r="B658" s="3" t="str">
        <f>IFERROR(__xludf.DUMMYFUNCTION("""COMPUTED_VALUE"""),"Snickers")</f>
        <v>Snickers</v>
      </c>
    </row>
    <row r="659">
      <c r="A659" s="3">
        <f>IFERROR(__xludf.DUMMYFUNCTION("""COMPUTED_VALUE"""),29.0)</f>
        <v>29</v>
      </c>
      <c r="B659" s="3" t="str">
        <f>IFERROR(__xludf.DUMMYFUNCTION("""COMPUTED_VALUE"""),"Pepsi")</f>
        <v>Pepsi</v>
      </c>
    </row>
    <row r="660">
      <c r="A660" s="3">
        <f>IFERROR(__xludf.DUMMYFUNCTION("""COMPUTED_VALUE"""),30.0)</f>
        <v>30</v>
      </c>
      <c r="B660" s="3" t="str">
        <f>IFERROR(__xludf.DUMMYFUNCTION("""COMPUTED_VALUE"""),"Mars")</f>
        <v>Mars</v>
      </c>
    </row>
    <row r="661">
      <c r="A661" s="3">
        <f>IFERROR(__xludf.DUMMYFUNCTION("""COMPUTED_VALUE"""),32.0)</f>
        <v>32</v>
      </c>
      <c r="B661" s="3" t="str">
        <f>IFERROR(__xludf.DUMMYFUNCTION("""COMPUTED_VALUE"""),"Almarai Chocolate")</f>
        <v>Almarai Chocolate</v>
      </c>
    </row>
    <row r="662">
      <c r="A662" s="3">
        <f>IFERROR(__xludf.DUMMYFUNCTION("""COMPUTED_VALUE"""),33.0)</f>
        <v>33</v>
      </c>
      <c r="B662" s="3" t="str">
        <f>IFERROR(__xludf.DUMMYFUNCTION("""COMPUTED_VALUE"""),"Corissant Karuzo")</f>
        <v>Corissant Karuzo</v>
      </c>
    </row>
    <row r="663">
      <c r="A663" s="3">
        <f>IFERROR(__xludf.DUMMYFUNCTION("""COMPUTED_VALUE"""),36.0)</f>
        <v>36</v>
      </c>
      <c r="B663" s="3" t="str">
        <f>IFERROR(__xludf.DUMMYFUNCTION("""COMPUTED_VALUE"""),"Kunuz Juice")</f>
        <v>Kunuz Juice</v>
      </c>
    </row>
    <row r="664">
      <c r="A664" s="3">
        <f>IFERROR(__xludf.DUMMYFUNCTION("""COMPUTED_VALUE"""),38.0)</f>
        <v>38</v>
      </c>
      <c r="B664" s="3" t="str">
        <f>IFERROR(__xludf.DUMMYFUNCTION("""COMPUTED_VALUE"""),"Lovita cookies")</f>
        <v>Lovita cookies</v>
      </c>
    </row>
    <row r="665">
      <c r="A665" s="3">
        <f>IFERROR(__xludf.DUMMYFUNCTION("""COMPUTED_VALUE"""),40.0)</f>
        <v>40</v>
      </c>
      <c r="B665" s="3" t="str">
        <f>IFERROR(__xludf.DUMMYFUNCTION("""COMPUTED_VALUE"""),"KitKat")</f>
        <v>KitKat</v>
      </c>
    </row>
    <row r="666">
      <c r="A666" s="3">
        <f>IFERROR(__xludf.DUMMYFUNCTION("""COMPUTED_VALUE"""),44.0)</f>
        <v>44</v>
      </c>
      <c r="B666" s="3" t="str">
        <f>IFERROR(__xludf.DUMMYFUNCTION("""COMPUTED_VALUE"""),"Caser Juice")</f>
        <v>Caser Juice</v>
      </c>
    </row>
    <row r="667">
      <c r="A667" s="3">
        <f>IFERROR(__xludf.DUMMYFUNCTION("""COMPUTED_VALUE"""),52.0)</f>
        <v>52</v>
      </c>
      <c r="B667" s="3" t="str">
        <f>IFERROR(__xludf.DUMMYFUNCTION("""COMPUTED_VALUE"""),"MR Crunch")</f>
        <v>MR Crunch</v>
      </c>
    </row>
    <row r="668">
      <c r="A668" s="3">
        <f>IFERROR(__xludf.DUMMYFUNCTION("""COMPUTED_VALUE"""),54.0)</f>
        <v>54</v>
      </c>
      <c r="B668" s="3" t="str">
        <f>IFERROR(__xludf.DUMMYFUNCTION("""COMPUTED_VALUE"""),"Mirinda")</f>
        <v>Mirinda</v>
      </c>
    </row>
    <row r="669">
      <c r="A669" s="3">
        <f>IFERROR(__xludf.DUMMYFUNCTION("""COMPUTED_VALUE"""),64.0)</f>
        <v>64</v>
      </c>
      <c r="B669" s="3" t="str">
        <f>IFERROR(__xludf.DUMMYFUNCTION("""COMPUTED_VALUE"""),"Almarai Strawberry")</f>
        <v>Almarai Strawberry</v>
      </c>
    </row>
    <row r="670">
      <c r="A670" s="3">
        <f>IFERROR(__xludf.DUMMYFUNCTION("""COMPUTED_VALUE"""),71.0)</f>
        <v>71</v>
      </c>
      <c r="B670" s="3" t="str">
        <f>IFERROR(__xludf.DUMMYFUNCTION("""COMPUTED_VALUE"""),"MrCrunch-RingGo")</f>
        <v>MrCrunch-RingGo</v>
      </c>
    </row>
    <row r="671">
      <c r="A671" s="3">
        <f>IFERROR(__xludf.DUMMYFUNCTION("""COMPUTED_VALUE"""),75.0)</f>
        <v>75</v>
      </c>
      <c r="B671" s="3" t="str">
        <f>IFERROR(__xludf.DUMMYFUNCTION("""COMPUTED_VALUE"""),"Twix ex")</f>
        <v>Twix ex</v>
      </c>
    </row>
    <row r="672">
      <c r="A672" s="3">
        <f>IFERROR(__xludf.DUMMYFUNCTION("""COMPUTED_VALUE"""),87.0)</f>
        <v>87</v>
      </c>
      <c r="B672" s="3" t="str">
        <f>IFERROR(__xludf.DUMMYFUNCTION("""COMPUTED_VALUE"""),"mr.bite strike")</f>
        <v>mr.bite strike</v>
      </c>
    </row>
    <row r="673">
      <c r="A673" s="3">
        <f>IFERROR(__xludf.DUMMYFUNCTION("""COMPUTED_VALUE"""),91.0)</f>
        <v>91</v>
      </c>
      <c r="B673" s="3" t="str">
        <f>IFERROR(__xludf.DUMMYFUNCTION("""COMPUTED_VALUE"""),"Tiger *12 Cheese")</f>
        <v>Tiger *12 Cheese</v>
      </c>
    </row>
    <row r="674">
      <c r="A674" s="3">
        <f>IFERROR(__xludf.DUMMYFUNCTION("""COMPUTED_VALUE"""),92.0)</f>
        <v>92</v>
      </c>
      <c r="B674" s="3" t="str">
        <f>IFERROR(__xludf.DUMMYFUNCTION("""COMPUTED_VALUE"""),"Tiger *12 kebab")</f>
        <v>Tiger *12 kebab</v>
      </c>
    </row>
    <row r="675">
      <c r="A675" s="3">
        <f>IFERROR(__xludf.DUMMYFUNCTION("""COMPUTED_VALUE"""),96.0)</f>
        <v>96</v>
      </c>
      <c r="B675" s="3" t="str">
        <f>IFERROR(__xludf.DUMMYFUNCTION("""COMPUTED_VALUE"""),"Doritos green hot")</f>
        <v>Doritos green hot</v>
      </c>
    </row>
    <row r="676">
      <c r="A676" s="3">
        <f>IFERROR(__xludf.DUMMYFUNCTION("""COMPUTED_VALUE"""),98.0)</f>
        <v>98</v>
      </c>
      <c r="B676" s="3" t="str">
        <f>IFERROR(__xludf.DUMMYFUNCTION("""COMPUTED_VALUE"""),"Barbican")</f>
        <v>Barbican</v>
      </c>
    </row>
    <row r="677">
      <c r="A677" s="3">
        <f>IFERROR(__xludf.DUMMYFUNCTION("""COMPUTED_VALUE"""),99.0)</f>
        <v>99</v>
      </c>
      <c r="B677" s="3" t="str">
        <f>IFERROR(__xludf.DUMMYFUNCTION("""COMPUTED_VALUE"""),"Shani")</f>
        <v>Shani</v>
      </c>
    </row>
    <row r="678">
      <c r="A678" s="3">
        <f>IFERROR(__xludf.DUMMYFUNCTION("""COMPUTED_VALUE"""),106.0)</f>
        <v>106</v>
      </c>
      <c r="B678" s="3" t="str">
        <f>IFERROR(__xludf.DUMMYFUNCTION("""COMPUTED_VALUE"""),"Toblerone")</f>
        <v>Toblerone</v>
      </c>
    </row>
    <row r="679">
      <c r="A679" s="3">
        <f>IFERROR(__xludf.DUMMYFUNCTION("""COMPUTED_VALUE"""),108.0)</f>
        <v>108</v>
      </c>
      <c r="B679" s="3" t="str">
        <f>IFERROR(__xludf.DUMMYFUNCTION("""COMPUTED_VALUE"""),"Shada up")</f>
        <v>Shada up</v>
      </c>
    </row>
    <row r="680">
      <c r="A680" s="3">
        <f>IFERROR(__xludf.DUMMYFUNCTION("""COMPUTED_VALUE"""),111.0)</f>
        <v>111</v>
      </c>
      <c r="B680" s="3" t="str">
        <f>IFERROR(__xludf.DUMMYFUNCTION("""COMPUTED_VALUE"""),"Rayhan suntop")</f>
        <v>Rayhan suntop</v>
      </c>
    </row>
    <row r="681">
      <c r="A681" s="3">
        <f>IFERROR(__xludf.DUMMYFUNCTION("""COMPUTED_VALUE"""),112.0)</f>
        <v>112</v>
      </c>
      <c r="B681" s="3" t="str">
        <f>IFERROR(__xludf.DUMMYFUNCTION("""COMPUTED_VALUE"""),"Tiger *16 kebab")</f>
        <v>Tiger *16 kebab</v>
      </c>
    </row>
    <row r="682">
      <c r="A682" s="3">
        <f>IFERROR(__xludf.DUMMYFUNCTION("""COMPUTED_VALUE"""),114.0)</f>
        <v>114</v>
      </c>
      <c r="B682" s="3" t="str">
        <f>IFERROR(__xludf.DUMMYFUNCTION("""COMPUTED_VALUE"""),"Tiger excellence")</f>
        <v>Tiger excellence</v>
      </c>
    </row>
    <row r="683">
      <c r="A683" s="3">
        <f>IFERROR(__xludf.DUMMYFUNCTION("""COMPUTED_VALUE"""),115.0)</f>
        <v>115</v>
      </c>
      <c r="B683" s="3" t="str">
        <f>IFERROR(__xludf.DUMMYFUNCTION("""COMPUTED_VALUE"""),"Lavazza")</f>
        <v>Lavazza</v>
      </c>
    </row>
    <row r="684">
      <c r="A684" s="3">
        <f>IFERROR(__xludf.DUMMYFUNCTION("""COMPUTED_VALUE"""),122.0)</f>
        <v>122</v>
      </c>
      <c r="B684" s="3" t="str">
        <f>IFERROR(__xludf.DUMMYFUNCTION("""COMPUTED_VALUE"""),"Savi stix")</f>
        <v>Savi stix</v>
      </c>
    </row>
    <row r="685">
      <c r="A685" s="3">
        <f>IFERROR(__xludf.DUMMYFUNCTION("""COMPUTED_VALUE"""),123.0)</f>
        <v>123</v>
      </c>
      <c r="B685" s="3" t="str">
        <f>IFERROR(__xludf.DUMMYFUNCTION("""COMPUTED_VALUE"""),"Lexus")</f>
        <v>Lexus</v>
      </c>
    </row>
    <row r="686">
      <c r="A686" s="3">
        <f>IFERROR(__xludf.DUMMYFUNCTION("""COMPUTED_VALUE"""),1.0)</f>
        <v>1</v>
      </c>
      <c r="B686" s="3" t="str">
        <f>IFERROR(__xludf.DUMMYFUNCTION("""COMPUTED_VALUE"""),"Doritos cool ranc")</f>
        <v>Doritos cool ranc</v>
      </c>
    </row>
    <row r="687">
      <c r="A687" s="3">
        <f>IFERROR(__xludf.DUMMYFUNCTION("""COMPUTED_VALUE"""),2.0)</f>
        <v>2</v>
      </c>
      <c r="B687" s="3" t="str">
        <f>IFERROR(__xludf.DUMMYFUNCTION("""COMPUTED_VALUE"""),"Water")</f>
        <v>Water</v>
      </c>
    </row>
    <row r="688">
      <c r="A688" s="3">
        <f>IFERROR(__xludf.DUMMYFUNCTION("""COMPUTED_VALUE"""),3.0)</f>
        <v>3</v>
      </c>
      <c r="B688" s="3" t="str">
        <f>IFERROR(__xludf.DUMMYFUNCTION("""COMPUTED_VALUE"""),"Maltesers")</f>
        <v>Maltesers</v>
      </c>
    </row>
    <row r="689">
      <c r="A689" s="3">
        <f>IFERROR(__xludf.DUMMYFUNCTION("""COMPUTED_VALUE"""),5.0)</f>
        <v>5</v>
      </c>
      <c r="B689" s="3" t="str">
        <f>IFERROR(__xludf.DUMMYFUNCTION("""COMPUTED_VALUE"""),"Schweppes")</f>
        <v>Schweppes</v>
      </c>
    </row>
    <row r="690">
      <c r="A690" s="3">
        <f>IFERROR(__xludf.DUMMYFUNCTION("""COMPUTED_VALUE"""),8.0)</f>
        <v>8</v>
      </c>
      <c r="B690" s="3" t="str">
        <f>IFERROR(__xludf.DUMMYFUNCTION("""COMPUTED_VALUE"""),"Xo Energy")</f>
        <v>Xo Energy</v>
      </c>
    </row>
    <row r="691">
      <c r="A691" s="3">
        <f>IFERROR(__xludf.DUMMYFUNCTION("""COMPUTED_VALUE"""),11.0)</f>
        <v>11</v>
      </c>
      <c r="B691" s="3" t="str">
        <f>IFERROR(__xludf.DUMMYFUNCTION("""COMPUTED_VALUE"""),"X!R")</f>
        <v>X!R</v>
      </c>
    </row>
    <row r="692">
      <c r="A692" s="3">
        <f>IFERROR(__xludf.DUMMYFUNCTION("""COMPUTED_VALUE"""),14.0)</f>
        <v>14</v>
      </c>
      <c r="B692" s="3" t="str">
        <f>IFERROR(__xludf.DUMMYFUNCTION("""COMPUTED_VALUE"""),"Kinder Bueno")</f>
        <v>Kinder Bueno</v>
      </c>
    </row>
    <row r="693">
      <c r="A693" s="3">
        <f>IFERROR(__xludf.DUMMYFUNCTION("""COMPUTED_VALUE"""),19.0)</f>
        <v>19</v>
      </c>
      <c r="B693" s="3" t="str">
        <f>IFERROR(__xludf.DUMMYFUNCTION("""COMPUTED_VALUE"""),"mr bite")</f>
        <v>mr bite</v>
      </c>
    </row>
    <row r="694">
      <c r="A694" s="3">
        <f>IFERROR(__xludf.DUMMYFUNCTION("""COMPUTED_VALUE"""),21.0)</f>
        <v>21</v>
      </c>
      <c r="B694" s="3" t="str">
        <f>IFERROR(__xludf.DUMMYFUNCTION("""COMPUTED_VALUE"""),"Laviva")</f>
        <v>Laviva</v>
      </c>
    </row>
    <row r="695">
      <c r="A695" s="3">
        <f>IFERROR(__xludf.DUMMYFUNCTION("""COMPUTED_VALUE"""),23.0)</f>
        <v>23</v>
      </c>
      <c r="B695" s="3" t="str">
        <f>IFERROR(__xludf.DUMMYFUNCTION("""COMPUTED_VALUE"""),"Freez")</f>
        <v>Freez</v>
      </c>
    </row>
    <row r="696">
      <c r="A696" s="3">
        <f>IFERROR(__xludf.DUMMYFUNCTION("""COMPUTED_VALUE"""),25.0)</f>
        <v>25</v>
      </c>
      <c r="B696" s="3" t="str">
        <f>IFERROR(__xludf.DUMMYFUNCTION("""COMPUTED_VALUE"""),"Twix")</f>
        <v>Twix</v>
      </c>
    </row>
    <row r="697">
      <c r="A697" s="3">
        <f>IFERROR(__xludf.DUMMYFUNCTION("""COMPUTED_VALUE"""),27.0)</f>
        <v>27</v>
      </c>
      <c r="B697" s="3" t="str">
        <f>IFERROR(__xludf.DUMMYFUNCTION("""COMPUTED_VALUE"""),"Gardena")</f>
        <v>Gardena</v>
      </c>
    </row>
    <row r="698">
      <c r="A698" s="3">
        <f>IFERROR(__xludf.DUMMYFUNCTION("""COMPUTED_VALUE"""),28.0)</f>
        <v>28</v>
      </c>
      <c r="B698" s="3" t="str">
        <f>IFERROR(__xludf.DUMMYFUNCTION("""COMPUTED_VALUE"""),"Snickers")</f>
        <v>Snickers</v>
      </c>
    </row>
    <row r="699">
      <c r="A699" s="3">
        <f>IFERROR(__xludf.DUMMYFUNCTION("""COMPUTED_VALUE"""),29.0)</f>
        <v>29</v>
      </c>
      <c r="B699" s="3" t="str">
        <f>IFERROR(__xludf.DUMMYFUNCTION("""COMPUTED_VALUE"""),"Pepsi")</f>
        <v>Pepsi</v>
      </c>
    </row>
    <row r="700">
      <c r="A700" s="3">
        <f>IFERROR(__xludf.DUMMYFUNCTION("""COMPUTED_VALUE"""),30.0)</f>
        <v>30</v>
      </c>
      <c r="B700" s="3" t="str">
        <f>IFERROR(__xludf.DUMMYFUNCTION("""COMPUTED_VALUE"""),"Mars")</f>
        <v>Mars</v>
      </c>
    </row>
    <row r="701">
      <c r="A701" s="3">
        <f>IFERROR(__xludf.DUMMYFUNCTION("""COMPUTED_VALUE"""),32.0)</f>
        <v>32</v>
      </c>
      <c r="B701" s="3" t="str">
        <f>IFERROR(__xludf.DUMMYFUNCTION("""COMPUTED_VALUE"""),"Almarai Chocolate")</f>
        <v>Almarai Chocolate</v>
      </c>
    </row>
    <row r="702">
      <c r="A702" s="3">
        <f>IFERROR(__xludf.DUMMYFUNCTION("""COMPUTED_VALUE"""),32.0)</f>
        <v>32</v>
      </c>
      <c r="B702" s="3" t="str">
        <f>IFERROR(__xludf.DUMMYFUNCTION("""COMPUTED_VALUE"""),"Almarai Chocolate")</f>
        <v>Almarai Chocolate</v>
      </c>
    </row>
    <row r="703">
      <c r="A703" s="3">
        <f>IFERROR(__xludf.DUMMYFUNCTION("""COMPUTED_VALUE"""),33.0)</f>
        <v>33</v>
      </c>
      <c r="B703" s="3" t="str">
        <f>IFERROR(__xludf.DUMMYFUNCTION("""COMPUTED_VALUE"""),"Corissant Karuzo")</f>
        <v>Corissant Karuzo</v>
      </c>
    </row>
    <row r="704">
      <c r="A704" s="3">
        <f>IFERROR(__xludf.DUMMYFUNCTION("""COMPUTED_VALUE"""),36.0)</f>
        <v>36</v>
      </c>
      <c r="B704" s="3" t="str">
        <f>IFERROR(__xludf.DUMMYFUNCTION("""COMPUTED_VALUE"""),"Kunuz Juice")</f>
        <v>Kunuz Juice</v>
      </c>
    </row>
    <row r="705">
      <c r="A705" s="3">
        <f>IFERROR(__xludf.DUMMYFUNCTION("""COMPUTED_VALUE"""),37.0)</f>
        <v>37</v>
      </c>
      <c r="B705" s="3" t="str">
        <f>IFERROR(__xludf.DUMMYFUNCTION("""COMPUTED_VALUE"""),"Digestive")</f>
        <v>Digestive</v>
      </c>
    </row>
    <row r="706">
      <c r="A706" s="3">
        <f>IFERROR(__xludf.DUMMYFUNCTION("""COMPUTED_VALUE"""),38.0)</f>
        <v>38</v>
      </c>
      <c r="B706" s="3" t="str">
        <f>IFERROR(__xludf.DUMMYFUNCTION("""COMPUTED_VALUE"""),"Lovita cookies")</f>
        <v>Lovita cookies</v>
      </c>
    </row>
    <row r="707">
      <c r="A707" s="3">
        <f>IFERROR(__xludf.DUMMYFUNCTION("""COMPUTED_VALUE"""),44.0)</f>
        <v>44</v>
      </c>
      <c r="B707" s="3" t="str">
        <f>IFERROR(__xludf.DUMMYFUNCTION("""COMPUTED_VALUE"""),"Caser Juice")</f>
        <v>Caser Juice</v>
      </c>
    </row>
    <row r="708">
      <c r="A708" s="3">
        <f>IFERROR(__xludf.DUMMYFUNCTION("""COMPUTED_VALUE"""),52.0)</f>
        <v>52</v>
      </c>
      <c r="B708" s="3" t="str">
        <f>IFERROR(__xludf.DUMMYFUNCTION("""COMPUTED_VALUE"""),"MR Crunch")</f>
        <v>MR Crunch</v>
      </c>
    </row>
    <row r="709">
      <c r="A709" s="3">
        <f>IFERROR(__xludf.DUMMYFUNCTION("""COMPUTED_VALUE"""),54.0)</f>
        <v>54</v>
      </c>
      <c r="B709" s="3" t="str">
        <f>IFERROR(__xludf.DUMMYFUNCTION("""COMPUTED_VALUE"""),"Mirinda")</f>
        <v>Mirinda</v>
      </c>
    </row>
    <row r="710">
      <c r="A710" s="3">
        <f>IFERROR(__xludf.DUMMYFUNCTION("""COMPUTED_VALUE"""),64.0)</f>
        <v>64</v>
      </c>
      <c r="B710" s="3" t="str">
        <f>IFERROR(__xludf.DUMMYFUNCTION("""COMPUTED_VALUE"""),"Almarai Strawberry")</f>
        <v>Almarai Strawberry</v>
      </c>
    </row>
    <row r="711">
      <c r="A711" s="3">
        <f>IFERROR(__xludf.DUMMYFUNCTION("""COMPUTED_VALUE"""),70.0)</f>
        <v>70</v>
      </c>
      <c r="B711" s="3" t="str">
        <f>IFERROR(__xludf.DUMMYFUNCTION("""COMPUTED_VALUE"""),"Indomie")</f>
        <v>Indomie</v>
      </c>
    </row>
    <row r="712">
      <c r="A712" s="3">
        <f>IFERROR(__xludf.DUMMYFUNCTION("""COMPUTED_VALUE"""),96.0)</f>
        <v>96</v>
      </c>
      <c r="B712" s="3" t="str">
        <f>IFERROR(__xludf.DUMMYFUNCTION("""COMPUTED_VALUE"""),"Doritos green hot")</f>
        <v>Doritos green hot</v>
      </c>
    </row>
    <row r="713">
      <c r="A713" s="3">
        <f>IFERROR(__xludf.DUMMYFUNCTION("""COMPUTED_VALUE"""),97.0)</f>
        <v>97</v>
      </c>
      <c r="B713" s="3" t="str">
        <f>IFERROR(__xludf.DUMMYFUNCTION("""COMPUTED_VALUE"""),"Doritos nacho")</f>
        <v>Doritos nacho</v>
      </c>
    </row>
    <row r="714">
      <c r="A714" s="3">
        <f>IFERROR(__xludf.DUMMYFUNCTION("""COMPUTED_VALUE"""),98.0)</f>
        <v>98</v>
      </c>
      <c r="B714" s="3" t="str">
        <f>IFERROR(__xludf.DUMMYFUNCTION("""COMPUTED_VALUE"""),"Barbican")</f>
        <v>Barbican</v>
      </c>
    </row>
    <row r="715">
      <c r="A715" s="3">
        <f>IFERROR(__xludf.DUMMYFUNCTION("""COMPUTED_VALUE"""),99.0)</f>
        <v>99</v>
      </c>
      <c r="B715" s="3" t="str">
        <f>IFERROR(__xludf.DUMMYFUNCTION("""COMPUTED_VALUE"""),"Shani")</f>
        <v>Shani</v>
      </c>
    </row>
    <row r="716">
      <c r="A716" s="3">
        <f>IFERROR(__xludf.DUMMYFUNCTION("""COMPUTED_VALUE"""),106.0)</f>
        <v>106</v>
      </c>
      <c r="B716" s="3" t="str">
        <f>IFERROR(__xludf.DUMMYFUNCTION("""COMPUTED_VALUE"""),"Toblerone")</f>
        <v>Toblerone</v>
      </c>
    </row>
    <row r="717">
      <c r="A717" s="3">
        <f>IFERROR(__xludf.DUMMYFUNCTION("""COMPUTED_VALUE"""),111.0)</f>
        <v>111</v>
      </c>
      <c r="B717" s="3" t="str">
        <f>IFERROR(__xludf.DUMMYFUNCTION("""COMPUTED_VALUE"""),"Rayhan suntop")</f>
        <v>Rayhan suntop</v>
      </c>
    </row>
    <row r="718">
      <c r="A718" s="3">
        <f>IFERROR(__xludf.DUMMYFUNCTION("""COMPUTED_VALUE"""),114.0)</f>
        <v>114</v>
      </c>
      <c r="B718" s="3" t="str">
        <f>IFERROR(__xludf.DUMMYFUNCTION("""COMPUTED_VALUE"""),"Tiger excellence")</f>
        <v>Tiger excellence</v>
      </c>
    </row>
    <row r="719">
      <c r="A719" s="3">
        <f>IFERROR(__xludf.DUMMYFUNCTION("""COMPUTED_VALUE"""),122.0)</f>
        <v>122</v>
      </c>
      <c r="B719" s="3" t="str">
        <f>IFERROR(__xludf.DUMMYFUNCTION("""COMPUTED_VALUE"""),"Savi stix")</f>
        <v>Savi stix</v>
      </c>
    </row>
    <row r="720">
      <c r="A720" s="3">
        <f>IFERROR(__xludf.DUMMYFUNCTION("""COMPUTED_VALUE"""),123.0)</f>
        <v>123</v>
      </c>
      <c r="B720" s="3" t="str">
        <f>IFERROR(__xludf.DUMMYFUNCTION("""COMPUTED_VALUE"""),"Lexus")</f>
        <v>Lexus</v>
      </c>
    </row>
    <row r="721">
      <c r="A721" s="3">
        <f>IFERROR(__xludf.DUMMYFUNCTION("""COMPUTED_VALUE"""),129.0)</f>
        <v>129</v>
      </c>
      <c r="B721" s="3" t="str">
        <f>IFERROR(__xludf.DUMMYFUNCTION("""COMPUTED_VALUE"""),"Kitkat 2 fingers")</f>
        <v>Kitkat 2 fingers</v>
      </c>
    </row>
    <row r="722">
      <c r="A722" s="3">
        <f>IFERROR(__xludf.DUMMYFUNCTION("""COMPUTED_VALUE"""),130.0)</f>
        <v>130</v>
      </c>
      <c r="B722" s="3" t="str">
        <f>IFERROR(__xludf.DUMMYFUNCTION("""COMPUTED_VALUE"""),"Schweppes bullet")</f>
        <v>Schweppes bullet</v>
      </c>
    </row>
    <row r="723">
      <c r="A723" s="3">
        <f>IFERROR(__xludf.DUMMYFUNCTION("""COMPUTED_VALUE"""),137.0)</f>
        <v>137</v>
      </c>
      <c r="B723" s="3" t="str">
        <f>IFERROR(__xludf.DUMMYFUNCTION("""COMPUTED_VALUE"""),"Doritos cool ranc")</f>
        <v>Doritos cool ranc</v>
      </c>
    </row>
    <row r="724">
      <c r="A724" s="3">
        <f>IFERROR(__xludf.DUMMYFUNCTION("""COMPUTED_VALUE"""),1.0)</f>
        <v>1</v>
      </c>
      <c r="B724" s="3" t="str">
        <f>IFERROR(__xludf.DUMMYFUNCTION("""COMPUTED_VALUE"""),"Doritos cool ranc")</f>
        <v>Doritos cool ranc</v>
      </c>
    </row>
    <row r="725">
      <c r="A725" s="3">
        <f>IFERROR(__xludf.DUMMYFUNCTION("""COMPUTED_VALUE"""),2.0)</f>
        <v>2</v>
      </c>
      <c r="B725" s="3" t="str">
        <f>IFERROR(__xludf.DUMMYFUNCTION("""COMPUTED_VALUE"""),"Water")</f>
        <v>Water</v>
      </c>
    </row>
    <row r="726">
      <c r="A726" s="3">
        <f>IFERROR(__xludf.DUMMYFUNCTION("""COMPUTED_VALUE"""),3.0)</f>
        <v>3</v>
      </c>
      <c r="B726" s="3" t="str">
        <f>IFERROR(__xludf.DUMMYFUNCTION("""COMPUTED_VALUE"""),"Maltesers")</f>
        <v>Maltesers</v>
      </c>
    </row>
    <row r="727">
      <c r="A727" s="3">
        <f>IFERROR(__xludf.DUMMYFUNCTION("""COMPUTED_VALUE"""),6.0)</f>
        <v>6</v>
      </c>
      <c r="B727" s="3" t="str">
        <f>IFERROR(__xludf.DUMMYFUNCTION("""COMPUTED_VALUE"""),"Tiger *12 tomato")</f>
        <v>Tiger *12 tomato</v>
      </c>
    </row>
    <row r="728">
      <c r="A728" s="3">
        <f>IFERROR(__xludf.DUMMYFUNCTION("""COMPUTED_VALUE"""),8.0)</f>
        <v>8</v>
      </c>
      <c r="B728" s="3" t="str">
        <f>IFERROR(__xludf.DUMMYFUNCTION("""COMPUTED_VALUE"""),"Xo Energy")</f>
        <v>Xo Energy</v>
      </c>
    </row>
    <row r="729">
      <c r="A729" s="3">
        <f>IFERROR(__xludf.DUMMYFUNCTION("""COMPUTED_VALUE"""),10.0)</f>
        <v>10</v>
      </c>
      <c r="B729" s="3" t="str">
        <f>IFERROR(__xludf.DUMMYFUNCTION("""COMPUTED_VALUE"""),"Skittles")</f>
        <v>Skittles</v>
      </c>
    </row>
    <row r="730">
      <c r="A730" s="3">
        <f>IFERROR(__xludf.DUMMYFUNCTION("""COMPUTED_VALUE"""),11.0)</f>
        <v>11</v>
      </c>
      <c r="B730" s="3" t="str">
        <f>IFERROR(__xludf.DUMMYFUNCTION("""COMPUTED_VALUE"""),"X!R")</f>
        <v>X!R</v>
      </c>
    </row>
    <row r="731">
      <c r="A731" s="3">
        <f>IFERROR(__xludf.DUMMYFUNCTION("""COMPUTED_VALUE"""),14.0)</f>
        <v>14</v>
      </c>
      <c r="B731" s="3" t="str">
        <f>IFERROR(__xludf.DUMMYFUNCTION("""COMPUTED_VALUE"""),"Kinder Bueno")</f>
        <v>Kinder Bueno</v>
      </c>
    </row>
    <row r="732">
      <c r="A732" s="3">
        <f>IFERROR(__xludf.DUMMYFUNCTION("""COMPUTED_VALUE"""),15.0)</f>
        <v>15</v>
      </c>
      <c r="B732" s="3" t="str">
        <f>IFERROR(__xludf.DUMMYFUNCTION("""COMPUTED_VALUE"""),"kinza")</f>
        <v>kinza</v>
      </c>
    </row>
    <row r="733">
      <c r="A733" s="3">
        <f>IFERROR(__xludf.DUMMYFUNCTION("""COMPUTED_VALUE"""),19.0)</f>
        <v>19</v>
      </c>
      <c r="B733" s="3" t="str">
        <f>IFERROR(__xludf.DUMMYFUNCTION("""COMPUTED_VALUE"""),"mr bite")</f>
        <v>mr bite</v>
      </c>
    </row>
    <row r="734">
      <c r="A734" s="3">
        <f>IFERROR(__xludf.DUMMYFUNCTION("""COMPUTED_VALUE"""),21.0)</f>
        <v>21</v>
      </c>
      <c r="B734" s="3" t="str">
        <f>IFERROR(__xludf.DUMMYFUNCTION("""COMPUTED_VALUE"""),"Laviva")</f>
        <v>Laviva</v>
      </c>
    </row>
    <row r="735">
      <c r="A735" s="3">
        <f>IFERROR(__xludf.DUMMYFUNCTION("""COMPUTED_VALUE"""),25.0)</f>
        <v>25</v>
      </c>
      <c r="B735" s="3" t="str">
        <f>IFERROR(__xludf.DUMMYFUNCTION("""COMPUTED_VALUE"""),"Twix")</f>
        <v>Twix</v>
      </c>
    </row>
    <row r="736">
      <c r="A736" s="3">
        <f>IFERROR(__xludf.DUMMYFUNCTION("""COMPUTED_VALUE"""),28.0)</f>
        <v>28</v>
      </c>
      <c r="B736" s="3" t="str">
        <f>IFERROR(__xludf.DUMMYFUNCTION("""COMPUTED_VALUE"""),"Snickers")</f>
        <v>Snickers</v>
      </c>
    </row>
    <row r="737">
      <c r="A737" s="3">
        <f>IFERROR(__xludf.DUMMYFUNCTION("""COMPUTED_VALUE"""),29.0)</f>
        <v>29</v>
      </c>
      <c r="B737" s="3" t="str">
        <f>IFERROR(__xludf.DUMMYFUNCTION("""COMPUTED_VALUE"""),"Pepsi")</f>
        <v>Pepsi</v>
      </c>
    </row>
    <row r="738">
      <c r="A738" s="3">
        <f>IFERROR(__xludf.DUMMYFUNCTION("""COMPUTED_VALUE"""),30.0)</f>
        <v>30</v>
      </c>
      <c r="B738" s="3" t="str">
        <f>IFERROR(__xludf.DUMMYFUNCTION("""COMPUTED_VALUE"""),"Mars")</f>
        <v>Mars</v>
      </c>
    </row>
    <row r="739">
      <c r="A739" s="3">
        <f>IFERROR(__xludf.DUMMYFUNCTION("""COMPUTED_VALUE"""),32.0)</f>
        <v>32</v>
      </c>
      <c r="B739" s="3" t="str">
        <f>IFERROR(__xludf.DUMMYFUNCTION("""COMPUTED_VALUE"""),"Almarai Chocolate")</f>
        <v>Almarai Chocolate</v>
      </c>
    </row>
    <row r="740">
      <c r="A740" s="3">
        <f>IFERROR(__xludf.DUMMYFUNCTION("""COMPUTED_VALUE"""),47.0)</f>
        <v>47</v>
      </c>
      <c r="B740" s="3" t="str">
        <f>IFERROR(__xludf.DUMMYFUNCTION("""COMPUTED_VALUE"""),"MrCrunch Normal")</f>
        <v>MrCrunch Normal</v>
      </c>
    </row>
    <row r="741">
      <c r="A741" s="3">
        <f>IFERROR(__xludf.DUMMYFUNCTION("""COMPUTED_VALUE"""),49.0)</f>
        <v>49</v>
      </c>
      <c r="B741" s="3" t="str">
        <f>IFERROR(__xludf.DUMMYFUNCTION("""COMPUTED_VALUE"""),"Haribo")</f>
        <v>Haribo</v>
      </c>
    </row>
    <row r="742">
      <c r="A742" s="3">
        <f>IFERROR(__xludf.DUMMYFUNCTION("""COMPUTED_VALUE"""),52.0)</f>
        <v>52</v>
      </c>
      <c r="B742" s="3" t="str">
        <f>IFERROR(__xludf.DUMMYFUNCTION("""COMPUTED_VALUE"""),"MR Crunch")</f>
        <v>MR Crunch</v>
      </c>
    </row>
    <row r="743">
      <c r="A743" s="3">
        <f>IFERROR(__xludf.DUMMYFUNCTION("""COMPUTED_VALUE"""),53.0)</f>
        <v>53</v>
      </c>
      <c r="B743" s="3" t="str">
        <f>IFERROR(__xludf.DUMMYFUNCTION("""COMPUTED_VALUE"""),"7up")</f>
        <v>7up</v>
      </c>
    </row>
    <row r="744">
      <c r="A744" s="3">
        <f>IFERROR(__xludf.DUMMYFUNCTION("""COMPUTED_VALUE"""),54.0)</f>
        <v>54</v>
      </c>
      <c r="B744" s="3" t="str">
        <f>IFERROR(__xludf.DUMMYFUNCTION("""COMPUTED_VALUE"""),"Mirinda")</f>
        <v>Mirinda</v>
      </c>
    </row>
    <row r="745">
      <c r="A745" s="3">
        <f>IFERROR(__xludf.DUMMYFUNCTION("""COMPUTED_VALUE"""),64.0)</f>
        <v>64</v>
      </c>
      <c r="B745" s="3" t="str">
        <f>IFERROR(__xludf.DUMMYFUNCTION("""COMPUTED_VALUE"""),"Almarai Strawberry")</f>
        <v>Almarai Strawberry</v>
      </c>
    </row>
    <row r="746">
      <c r="A746" s="3">
        <f>IFERROR(__xludf.DUMMYFUNCTION("""COMPUTED_VALUE"""),64.0)</f>
        <v>64</v>
      </c>
      <c r="B746" s="3" t="str">
        <f>IFERROR(__xludf.DUMMYFUNCTION("""COMPUTED_VALUE"""),"Almarai Strawberry")</f>
        <v>Almarai Strawberry</v>
      </c>
    </row>
    <row r="747">
      <c r="A747" s="3">
        <f>IFERROR(__xludf.DUMMYFUNCTION("""COMPUTED_VALUE"""),86.0)</f>
        <v>86</v>
      </c>
      <c r="B747" s="3" t="str">
        <f>IFERROR(__xludf.DUMMYFUNCTION("""COMPUTED_VALUE"""),"Mrbeast")</f>
        <v>Mrbeast</v>
      </c>
    </row>
    <row r="748">
      <c r="A748" s="3">
        <f>IFERROR(__xludf.DUMMYFUNCTION("""COMPUTED_VALUE"""),91.0)</f>
        <v>91</v>
      </c>
      <c r="B748" s="3" t="str">
        <f>IFERROR(__xludf.DUMMYFUNCTION("""COMPUTED_VALUE"""),"Tiger *12 Cheese")</f>
        <v>Tiger *12 Cheese</v>
      </c>
    </row>
    <row r="749">
      <c r="A749" s="3">
        <f>IFERROR(__xludf.DUMMYFUNCTION("""COMPUTED_VALUE"""),92.0)</f>
        <v>92</v>
      </c>
      <c r="B749" s="3" t="str">
        <f>IFERROR(__xludf.DUMMYFUNCTION("""COMPUTED_VALUE"""),"Tiger *12 kebab")</f>
        <v>Tiger *12 kebab</v>
      </c>
    </row>
    <row r="750">
      <c r="A750" s="3">
        <f>IFERROR(__xludf.DUMMYFUNCTION("""COMPUTED_VALUE"""),94.0)</f>
        <v>94</v>
      </c>
      <c r="B750" s="3" t="str">
        <f>IFERROR(__xludf.DUMMYFUNCTION("""COMPUTED_VALUE"""),"Tiger 12 chili and lemon")</f>
        <v>Tiger 12 chili and lemon</v>
      </c>
    </row>
    <row r="751">
      <c r="A751" s="3">
        <f>IFERROR(__xludf.DUMMYFUNCTION("""COMPUTED_VALUE"""),95.0)</f>
        <v>95</v>
      </c>
      <c r="B751" s="3" t="str">
        <f>IFERROR(__xludf.DUMMYFUNCTION("""COMPUTED_VALUE"""),"Tiger 12 sweet chili")</f>
        <v>Tiger 12 sweet chili</v>
      </c>
    </row>
    <row r="752">
      <c r="A752" s="3">
        <f>IFERROR(__xludf.DUMMYFUNCTION("""COMPUTED_VALUE"""),96.0)</f>
        <v>96</v>
      </c>
      <c r="B752" s="3" t="str">
        <f>IFERROR(__xludf.DUMMYFUNCTION("""COMPUTED_VALUE"""),"Doritos green hot")</f>
        <v>Doritos green hot</v>
      </c>
    </row>
    <row r="753">
      <c r="A753" s="3">
        <f>IFERROR(__xludf.DUMMYFUNCTION("""COMPUTED_VALUE"""),97.0)</f>
        <v>97</v>
      </c>
      <c r="B753" s="3" t="str">
        <f>IFERROR(__xludf.DUMMYFUNCTION("""COMPUTED_VALUE"""),"Doritos nacho")</f>
        <v>Doritos nacho</v>
      </c>
    </row>
    <row r="754">
      <c r="A754" s="3">
        <f>IFERROR(__xludf.DUMMYFUNCTION("""COMPUTED_VALUE"""),99.0)</f>
        <v>99</v>
      </c>
      <c r="B754" s="3" t="str">
        <f>IFERROR(__xludf.DUMMYFUNCTION("""COMPUTED_VALUE"""),"Shani")</f>
        <v>Shani</v>
      </c>
    </row>
    <row r="755">
      <c r="A755" s="3">
        <f>IFERROR(__xludf.DUMMYFUNCTION("""COMPUTED_VALUE"""),100.0)</f>
        <v>100</v>
      </c>
      <c r="B755" s="3" t="str">
        <f>IFERROR(__xludf.DUMMYFUNCTION("""COMPUTED_VALUE"""),"Mr Cruch veggy's")</f>
        <v>Mr Cruch veggy's</v>
      </c>
    </row>
    <row r="756">
      <c r="A756" s="3">
        <f>IFERROR(__xludf.DUMMYFUNCTION("""COMPUTED_VALUE"""),102.0)</f>
        <v>102</v>
      </c>
      <c r="B756" s="3" t="str">
        <f>IFERROR(__xludf.DUMMYFUNCTION("""COMPUTED_VALUE"""),"Buldak")</f>
        <v>Buldak</v>
      </c>
    </row>
    <row r="757">
      <c r="A757" s="3">
        <f>IFERROR(__xludf.DUMMYFUNCTION("""COMPUTED_VALUE"""),111.0)</f>
        <v>111</v>
      </c>
      <c r="B757" s="3" t="str">
        <f>IFERROR(__xludf.DUMMYFUNCTION("""COMPUTED_VALUE"""),"Rayhan suntop")</f>
        <v>Rayhan suntop</v>
      </c>
    </row>
    <row r="758">
      <c r="A758" s="3">
        <f>IFERROR(__xludf.DUMMYFUNCTION("""COMPUTED_VALUE"""),112.0)</f>
        <v>112</v>
      </c>
      <c r="B758" s="3" t="str">
        <f>IFERROR(__xludf.DUMMYFUNCTION("""COMPUTED_VALUE"""),"Tiger *16 kebab")</f>
        <v>Tiger *16 kebab</v>
      </c>
    </row>
    <row r="759">
      <c r="A759" s="3">
        <f>IFERROR(__xludf.DUMMYFUNCTION("""COMPUTED_VALUE"""),114.0)</f>
        <v>114</v>
      </c>
      <c r="B759" s="3" t="str">
        <f>IFERROR(__xludf.DUMMYFUNCTION("""COMPUTED_VALUE"""),"Tiger excellence")</f>
        <v>Tiger excellence</v>
      </c>
    </row>
    <row r="760">
      <c r="A760" s="3">
        <f>IFERROR(__xludf.DUMMYFUNCTION("""COMPUTED_VALUE"""),118.0)</f>
        <v>118</v>
      </c>
      <c r="B760" s="3" t="str">
        <f>IFERROR(__xludf.DUMMYFUNCTION("""COMPUTED_VALUE"""),"Haribo bears")</f>
        <v>Haribo bears</v>
      </c>
    </row>
    <row r="761">
      <c r="A761" s="3">
        <f>IFERROR(__xludf.DUMMYFUNCTION("""COMPUTED_VALUE"""),119.0)</f>
        <v>119</v>
      </c>
      <c r="B761" s="3" t="str">
        <f>IFERROR(__xludf.DUMMYFUNCTION("""COMPUTED_VALUE"""),"Turbo strips")</f>
        <v>Turbo strips</v>
      </c>
    </row>
    <row r="762">
      <c r="A762" s="3">
        <f>IFERROR(__xludf.DUMMYFUNCTION("""COMPUTED_VALUE"""),121.0)</f>
        <v>121</v>
      </c>
      <c r="B762" s="3" t="str">
        <f>IFERROR(__xludf.DUMMYFUNCTION("""COMPUTED_VALUE"""),"Chotso")</f>
        <v>Chotso</v>
      </c>
    </row>
    <row r="763">
      <c r="A763" s="3">
        <f>IFERROR(__xludf.DUMMYFUNCTION("""COMPUTED_VALUE"""),126.0)</f>
        <v>126</v>
      </c>
      <c r="B763" s="3" t="str">
        <f>IFERROR(__xludf.DUMMYFUNCTION("""COMPUTED_VALUE"""),"Coach Suntop")</f>
        <v>Coach Suntop</v>
      </c>
    </row>
    <row r="764">
      <c r="A764" s="3">
        <f>IFERROR(__xludf.DUMMYFUNCTION("""COMPUTED_VALUE"""),127.0)</f>
        <v>127</v>
      </c>
      <c r="B764" s="3" t="str">
        <f>IFERROR(__xludf.DUMMYFUNCTION("""COMPUTED_VALUE"""),"Twix single")</f>
        <v>Twix single</v>
      </c>
    </row>
    <row r="765">
      <c r="A765" s="3">
        <f>IFERROR(__xludf.DUMMYFUNCTION("""COMPUTED_VALUE"""),130.0)</f>
        <v>130</v>
      </c>
      <c r="B765" s="3" t="str">
        <f>IFERROR(__xludf.DUMMYFUNCTION("""COMPUTED_VALUE"""),"Schweppes bullet")</f>
        <v>Schweppes bullet</v>
      </c>
    </row>
    <row r="766">
      <c r="A766" s="3">
        <f>IFERROR(__xludf.DUMMYFUNCTION("""COMPUTED_VALUE"""),135.0)</f>
        <v>135</v>
      </c>
      <c r="B766" s="3" t="str">
        <f>IFERROR(__xludf.DUMMYFUNCTION("""COMPUTED_VALUE"""),"Yupi")</f>
        <v>Yupi</v>
      </c>
    </row>
    <row r="767">
      <c r="A767" s="3">
        <f>IFERROR(__xludf.DUMMYFUNCTION("""COMPUTED_VALUE"""),136.0)</f>
        <v>136</v>
      </c>
      <c r="B767" s="3" t="str">
        <f>IFERROR(__xludf.DUMMYFUNCTION("""COMPUTED_VALUE"""),"Haribo 80g")</f>
        <v>Haribo 80g</v>
      </c>
    </row>
    <row r="768">
      <c r="A768" s="3">
        <f>IFERROR(__xludf.DUMMYFUNCTION("""COMPUTED_VALUE"""),137.0)</f>
        <v>137</v>
      </c>
      <c r="B768" s="3" t="str">
        <f>IFERROR(__xludf.DUMMYFUNCTION("""COMPUTED_VALUE"""),"Doritos cool ranc")</f>
        <v>Doritos cool ranc</v>
      </c>
    </row>
    <row r="769">
      <c r="A769" s="3">
        <f>IFERROR(__xludf.DUMMYFUNCTION("""COMPUTED_VALUE"""),1.0)</f>
        <v>1</v>
      </c>
      <c r="B769" s="3" t="str">
        <f>IFERROR(__xludf.DUMMYFUNCTION("""COMPUTED_VALUE"""),"Doritos cool ranc")</f>
        <v>Doritos cool ranc</v>
      </c>
    </row>
    <row r="770">
      <c r="A770" s="3">
        <f>IFERROR(__xludf.DUMMYFUNCTION("""COMPUTED_VALUE"""),2.0)</f>
        <v>2</v>
      </c>
      <c r="B770" s="3" t="str">
        <f>IFERROR(__xludf.DUMMYFUNCTION("""COMPUTED_VALUE"""),"Water")</f>
        <v>Water</v>
      </c>
    </row>
    <row r="771">
      <c r="A771" s="3">
        <f>IFERROR(__xludf.DUMMYFUNCTION("""COMPUTED_VALUE"""),10.0)</f>
        <v>10</v>
      </c>
      <c r="B771" s="3" t="str">
        <f>IFERROR(__xludf.DUMMYFUNCTION("""COMPUTED_VALUE"""),"Skittles")</f>
        <v>Skittles</v>
      </c>
    </row>
    <row r="772">
      <c r="A772" s="3">
        <f>IFERROR(__xludf.DUMMYFUNCTION("""COMPUTED_VALUE"""),12.0)</f>
        <v>12</v>
      </c>
      <c r="B772" s="3" t="str">
        <f>IFERROR(__xludf.DUMMYFUNCTION("""COMPUTED_VALUE"""),"sunTop")</f>
        <v>sunTop</v>
      </c>
    </row>
    <row r="773">
      <c r="A773" s="3">
        <f>IFERROR(__xludf.DUMMYFUNCTION("""COMPUTED_VALUE"""),19.0)</f>
        <v>19</v>
      </c>
      <c r="B773" s="3" t="str">
        <f>IFERROR(__xludf.DUMMYFUNCTION("""COMPUTED_VALUE"""),"mr bite")</f>
        <v>mr bite</v>
      </c>
    </row>
    <row r="774">
      <c r="A774" s="3">
        <f>IFERROR(__xludf.DUMMYFUNCTION("""COMPUTED_VALUE"""),21.0)</f>
        <v>21</v>
      </c>
      <c r="B774" s="3" t="str">
        <f>IFERROR(__xludf.DUMMYFUNCTION("""COMPUTED_VALUE"""),"Laviva")</f>
        <v>Laviva</v>
      </c>
    </row>
    <row r="775">
      <c r="A775" s="3">
        <f>IFERROR(__xludf.DUMMYFUNCTION("""COMPUTED_VALUE"""),32.0)</f>
        <v>32</v>
      </c>
      <c r="B775" s="3" t="str">
        <f>IFERROR(__xludf.DUMMYFUNCTION("""COMPUTED_VALUE"""),"Almarai Chocolate")</f>
        <v>Almarai Chocolate</v>
      </c>
    </row>
    <row r="776">
      <c r="A776" s="3">
        <f>IFERROR(__xludf.DUMMYFUNCTION("""COMPUTED_VALUE"""),33.0)</f>
        <v>33</v>
      </c>
      <c r="B776" s="3" t="str">
        <f>IFERROR(__xludf.DUMMYFUNCTION("""COMPUTED_VALUE"""),"Corissant Karuzo")</f>
        <v>Corissant Karuzo</v>
      </c>
    </row>
    <row r="777">
      <c r="A777" s="3">
        <f>IFERROR(__xludf.DUMMYFUNCTION("""COMPUTED_VALUE"""),36.0)</f>
        <v>36</v>
      </c>
      <c r="B777" s="3" t="str">
        <f>IFERROR(__xludf.DUMMYFUNCTION("""COMPUTED_VALUE"""),"Kunuz Juice")</f>
        <v>Kunuz Juice</v>
      </c>
    </row>
    <row r="778">
      <c r="A778" s="3">
        <f>IFERROR(__xludf.DUMMYFUNCTION("""COMPUTED_VALUE"""),38.0)</f>
        <v>38</v>
      </c>
      <c r="B778" s="3" t="str">
        <f>IFERROR(__xludf.DUMMYFUNCTION("""COMPUTED_VALUE"""),"Lovita cookies")</f>
        <v>Lovita cookies</v>
      </c>
    </row>
    <row r="779">
      <c r="A779" s="3">
        <f>IFERROR(__xludf.DUMMYFUNCTION("""COMPUTED_VALUE"""),52.0)</f>
        <v>52</v>
      </c>
      <c r="B779" s="3" t="str">
        <f>IFERROR(__xludf.DUMMYFUNCTION("""COMPUTED_VALUE"""),"MR Crunch")</f>
        <v>MR Crunch</v>
      </c>
    </row>
    <row r="780">
      <c r="A780" s="3">
        <f>IFERROR(__xludf.DUMMYFUNCTION("""COMPUTED_VALUE"""),61.0)</f>
        <v>61</v>
      </c>
      <c r="B780" s="3" t="str">
        <f>IFERROR(__xludf.DUMMYFUNCTION("""COMPUTED_VALUE"""),"Prime")</f>
        <v>Prime</v>
      </c>
    </row>
    <row r="781">
      <c r="A781" s="3">
        <f>IFERROR(__xludf.DUMMYFUNCTION("""COMPUTED_VALUE"""),64.0)</f>
        <v>64</v>
      </c>
      <c r="B781" s="3" t="str">
        <f>IFERROR(__xludf.DUMMYFUNCTION("""COMPUTED_VALUE"""),"Almarai Strawberry")</f>
        <v>Almarai Strawberry</v>
      </c>
    </row>
    <row r="782">
      <c r="A782" s="3">
        <f>IFERROR(__xludf.DUMMYFUNCTION("""COMPUTED_VALUE"""),65.0)</f>
        <v>65</v>
      </c>
      <c r="B782" s="3" t="str">
        <f>IFERROR(__xludf.DUMMYFUNCTION("""COMPUTED_VALUE"""),"Dallas juice")</f>
        <v>Dallas juice</v>
      </c>
    </row>
    <row r="783">
      <c r="A783" s="3">
        <f>IFERROR(__xludf.DUMMYFUNCTION("""COMPUTED_VALUE"""),78.0)</f>
        <v>78</v>
      </c>
      <c r="B783" s="3" t="str">
        <f>IFERROR(__xludf.DUMMYFUNCTION("""COMPUTED_VALUE"""),"Mulino Cookis")</f>
        <v>Mulino Cookis</v>
      </c>
    </row>
    <row r="784">
      <c r="A784" s="3">
        <f>IFERROR(__xludf.DUMMYFUNCTION("""COMPUTED_VALUE"""),83.0)</f>
        <v>83</v>
      </c>
      <c r="B784" s="3" t="str">
        <f>IFERROR(__xludf.DUMMYFUNCTION("""COMPUTED_VALUE"""),"Doritos real")</f>
        <v>Doritos real</v>
      </c>
    </row>
    <row r="785">
      <c r="A785" s="3">
        <f>IFERROR(__xludf.DUMMYFUNCTION("""COMPUTED_VALUE"""),86.0)</f>
        <v>86</v>
      </c>
      <c r="B785" s="3" t="str">
        <f>IFERROR(__xludf.DUMMYFUNCTION("""COMPUTED_VALUE"""),"Mrbeast")</f>
        <v>Mrbeast</v>
      </c>
    </row>
    <row r="786">
      <c r="A786" s="3">
        <f>IFERROR(__xludf.DUMMYFUNCTION("""COMPUTED_VALUE"""),88.0)</f>
        <v>88</v>
      </c>
      <c r="B786" s="3" t="str">
        <f>IFERROR(__xludf.DUMMYFUNCTION("""COMPUTED_VALUE"""),"brownies moulin")</f>
        <v>brownies moulin</v>
      </c>
    </row>
    <row r="787">
      <c r="A787" s="3">
        <f>IFERROR(__xludf.DUMMYFUNCTION("""COMPUTED_VALUE"""),89.0)</f>
        <v>89</v>
      </c>
      <c r="B787" s="3" t="str">
        <f>IFERROR(__xludf.DUMMYFUNCTION("""COMPUTED_VALUE"""),"Chico")</f>
        <v>Chico</v>
      </c>
    </row>
    <row r="788">
      <c r="A788" s="3">
        <f>IFERROR(__xludf.DUMMYFUNCTION("""COMPUTED_VALUE"""),96.0)</f>
        <v>96</v>
      </c>
      <c r="B788" s="3" t="str">
        <f>IFERROR(__xludf.DUMMYFUNCTION("""COMPUTED_VALUE"""),"Doritos green hot")</f>
        <v>Doritos green hot</v>
      </c>
    </row>
    <row r="789">
      <c r="A789" s="3">
        <f>IFERROR(__xludf.DUMMYFUNCTION("""COMPUTED_VALUE"""),97.0)</f>
        <v>97</v>
      </c>
      <c r="B789" s="3" t="str">
        <f>IFERROR(__xludf.DUMMYFUNCTION("""COMPUTED_VALUE"""),"Doritos nacho")</f>
        <v>Doritos nacho</v>
      </c>
    </row>
    <row r="790">
      <c r="A790" s="3">
        <f>IFERROR(__xludf.DUMMYFUNCTION("""COMPUTED_VALUE"""),100.0)</f>
        <v>100</v>
      </c>
      <c r="B790" s="3" t="str">
        <f>IFERROR(__xludf.DUMMYFUNCTION("""COMPUTED_VALUE"""),"Mr Cruch veggy's")</f>
        <v>Mr Cruch veggy's</v>
      </c>
    </row>
    <row r="791">
      <c r="A791" s="3">
        <f>IFERROR(__xludf.DUMMYFUNCTION("""COMPUTED_VALUE"""),101.0)</f>
        <v>101</v>
      </c>
      <c r="B791" s="3" t="str">
        <f>IFERROR(__xludf.DUMMYFUNCTION("""COMPUTED_VALUE"""),"vita go")</f>
        <v>vita go</v>
      </c>
    </row>
    <row r="792">
      <c r="A792" s="3">
        <f>IFERROR(__xludf.DUMMYFUNCTION("""COMPUTED_VALUE"""),103.0)</f>
        <v>103</v>
      </c>
      <c r="B792" s="3" t="str">
        <f>IFERROR(__xludf.DUMMYFUNCTION("""COMPUTED_VALUE"""),"Goftime")</f>
        <v>Goftime</v>
      </c>
    </row>
    <row r="793">
      <c r="A793" s="3">
        <f>IFERROR(__xludf.DUMMYFUNCTION("""COMPUTED_VALUE"""),105.0)</f>
        <v>105</v>
      </c>
      <c r="B793" s="3" t="str">
        <f>IFERROR(__xludf.DUMMYFUNCTION("""COMPUTED_VALUE"""),"Waffi")</f>
        <v>Waffi</v>
      </c>
    </row>
    <row r="794">
      <c r="A794" s="3">
        <f>IFERROR(__xludf.DUMMYFUNCTION("""COMPUTED_VALUE"""),106.0)</f>
        <v>106</v>
      </c>
      <c r="B794" s="3" t="str">
        <f>IFERROR(__xludf.DUMMYFUNCTION("""COMPUTED_VALUE"""),"Toblerone")</f>
        <v>Toblerone</v>
      </c>
    </row>
    <row r="795">
      <c r="A795" s="3">
        <f>IFERROR(__xludf.DUMMYFUNCTION("""COMPUTED_VALUE"""),108.0)</f>
        <v>108</v>
      </c>
      <c r="B795" s="3" t="str">
        <f>IFERROR(__xludf.DUMMYFUNCTION("""COMPUTED_VALUE"""),"Shada up")</f>
        <v>Shada up</v>
      </c>
    </row>
    <row r="796">
      <c r="A796" s="3">
        <f>IFERROR(__xludf.DUMMYFUNCTION("""COMPUTED_VALUE"""),109.0)</f>
        <v>109</v>
      </c>
      <c r="B796" s="3" t="str">
        <f>IFERROR(__xludf.DUMMYFUNCTION("""COMPUTED_VALUE"""),"Be happy kids")</f>
        <v>Be happy kids</v>
      </c>
    </row>
    <row r="797">
      <c r="A797" s="3">
        <f>IFERROR(__xludf.DUMMYFUNCTION("""COMPUTED_VALUE"""),111.0)</f>
        <v>111</v>
      </c>
      <c r="B797" s="3" t="str">
        <f>IFERROR(__xludf.DUMMYFUNCTION("""COMPUTED_VALUE"""),"Rayhan suntop")</f>
        <v>Rayhan suntop</v>
      </c>
    </row>
    <row r="798">
      <c r="A798" s="3">
        <f>IFERROR(__xludf.DUMMYFUNCTION("""COMPUTED_VALUE"""),114.0)</f>
        <v>114</v>
      </c>
      <c r="B798" s="3" t="str">
        <f>IFERROR(__xludf.DUMMYFUNCTION("""COMPUTED_VALUE"""),"Tiger excellence")</f>
        <v>Tiger excellence</v>
      </c>
    </row>
    <row r="799">
      <c r="A799" s="3">
        <f>IFERROR(__xludf.DUMMYFUNCTION("""COMPUTED_VALUE"""),117.0)</f>
        <v>117</v>
      </c>
      <c r="B799" s="3" t="str">
        <f>IFERROR(__xludf.DUMMYFUNCTION("""COMPUTED_VALUE"""),"Wafer Laviva")</f>
        <v>Wafer Laviva</v>
      </c>
    </row>
    <row r="800">
      <c r="A800" s="3">
        <f>IFERROR(__xludf.DUMMYFUNCTION("""COMPUTED_VALUE"""),120.0)</f>
        <v>120</v>
      </c>
      <c r="B800" s="3" t="str">
        <f>IFERROR(__xludf.DUMMYFUNCTION("""COMPUTED_VALUE"""),"Chillax chips")</f>
        <v>Chillax chips</v>
      </c>
    </row>
    <row r="801">
      <c r="A801" s="3">
        <f>IFERROR(__xludf.DUMMYFUNCTION("""COMPUTED_VALUE"""),123.0)</f>
        <v>123</v>
      </c>
      <c r="B801" s="3" t="str">
        <f>IFERROR(__xludf.DUMMYFUNCTION("""COMPUTED_VALUE"""),"Lexus")</f>
        <v>Lexus</v>
      </c>
    </row>
    <row r="802">
      <c r="A802" s="3">
        <f>IFERROR(__xludf.DUMMYFUNCTION("""COMPUTED_VALUE"""),126.0)</f>
        <v>126</v>
      </c>
      <c r="B802" s="3" t="str">
        <f>IFERROR(__xludf.DUMMYFUNCTION("""COMPUTED_VALUE"""),"Coach Suntop")</f>
        <v>Coach Suntop</v>
      </c>
    </row>
    <row r="803">
      <c r="A803" s="3">
        <f>IFERROR(__xludf.DUMMYFUNCTION("""COMPUTED_VALUE"""),1.0)</f>
        <v>1</v>
      </c>
      <c r="B803" s="3" t="str">
        <f>IFERROR(__xludf.DUMMYFUNCTION("""COMPUTED_VALUE"""),"Doritos cool ranc")</f>
        <v>Doritos cool ranc</v>
      </c>
    </row>
    <row r="804">
      <c r="A804" s="3">
        <f>IFERROR(__xludf.DUMMYFUNCTION("""COMPUTED_VALUE"""),2.0)</f>
        <v>2</v>
      </c>
      <c r="B804" s="3" t="str">
        <f>IFERROR(__xludf.DUMMYFUNCTION("""COMPUTED_VALUE"""),"Water")</f>
        <v>Water</v>
      </c>
    </row>
    <row r="805">
      <c r="A805" s="3">
        <f>IFERROR(__xludf.DUMMYFUNCTION("""COMPUTED_VALUE"""),3.0)</f>
        <v>3</v>
      </c>
      <c r="B805" s="3" t="str">
        <f>IFERROR(__xludf.DUMMYFUNCTION("""COMPUTED_VALUE"""),"Maltesers")</f>
        <v>Maltesers</v>
      </c>
    </row>
    <row r="806">
      <c r="A806" s="3">
        <f>IFERROR(__xludf.DUMMYFUNCTION("""COMPUTED_VALUE"""),5.0)</f>
        <v>5</v>
      </c>
      <c r="B806" s="3" t="str">
        <f>IFERROR(__xludf.DUMMYFUNCTION("""COMPUTED_VALUE"""),"Schweppes")</f>
        <v>Schweppes</v>
      </c>
    </row>
    <row r="807">
      <c r="A807" s="3">
        <f>IFERROR(__xludf.DUMMYFUNCTION("""COMPUTED_VALUE"""),8.0)</f>
        <v>8</v>
      </c>
      <c r="B807" s="3" t="str">
        <f>IFERROR(__xludf.DUMMYFUNCTION("""COMPUTED_VALUE"""),"Xo Energy")</f>
        <v>Xo Energy</v>
      </c>
    </row>
    <row r="808">
      <c r="A808" s="3">
        <f>IFERROR(__xludf.DUMMYFUNCTION("""COMPUTED_VALUE"""),11.0)</f>
        <v>11</v>
      </c>
      <c r="B808" s="3" t="str">
        <f>IFERROR(__xludf.DUMMYFUNCTION("""COMPUTED_VALUE"""),"X!R")</f>
        <v>X!R</v>
      </c>
    </row>
    <row r="809">
      <c r="A809" s="3">
        <f>IFERROR(__xludf.DUMMYFUNCTION("""COMPUTED_VALUE"""),12.0)</f>
        <v>12</v>
      </c>
      <c r="B809" s="3" t="str">
        <f>IFERROR(__xludf.DUMMYFUNCTION("""COMPUTED_VALUE"""),"sunTop")</f>
        <v>sunTop</v>
      </c>
    </row>
    <row r="810">
      <c r="A810" s="3">
        <f>IFERROR(__xludf.DUMMYFUNCTION("""COMPUTED_VALUE"""),14.0)</f>
        <v>14</v>
      </c>
      <c r="B810" s="3" t="str">
        <f>IFERROR(__xludf.DUMMYFUNCTION("""COMPUTED_VALUE"""),"Kinder Bueno")</f>
        <v>Kinder Bueno</v>
      </c>
    </row>
    <row r="811">
      <c r="A811" s="3">
        <f>IFERROR(__xludf.DUMMYFUNCTION("""COMPUTED_VALUE"""),15.0)</f>
        <v>15</v>
      </c>
      <c r="B811" s="3" t="str">
        <f>IFERROR(__xludf.DUMMYFUNCTION("""COMPUTED_VALUE"""),"kinza")</f>
        <v>kinza</v>
      </c>
    </row>
    <row r="812">
      <c r="A812" s="3">
        <f>IFERROR(__xludf.DUMMYFUNCTION("""COMPUTED_VALUE"""),19.0)</f>
        <v>19</v>
      </c>
      <c r="B812" s="3" t="str">
        <f>IFERROR(__xludf.DUMMYFUNCTION("""COMPUTED_VALUE"""),"mr bite")</f>
        <v>mr bite</v>
      </c>
    </row>
    <row r="813">
      <c r="A813" s="3">
        <f>IFERROR(__xludf.DUMMYFUNCTION("""COMPUTED_VALUE"""),21.0)</f>
        <v>21</v>
      </c>
      <c r="B813" s="3" t="str">
        <f>IFERROR(__xludf.DUMMYFUNCTION("""COMPUTED_VALUE"""),"Laviva")</f>
        <v>Laviva</v>
      </c>
    </row>
    <row r="814">
      <c r="A814" s="3">
        <f>IFERROR(__xludf.DUMMYFUNCTION("""COMPUTED_VALUE"""),23.0)</f>
        <v>23</v>
      </c>
      <c r="B814" s="3" t="str">
        <f>IFERROR(__xludf.DUMMYFUNCTION("""COMPUTED_VALUE"""),"Freez")</f>
        <v>Freez</v>
      </c>
    </row>
    <row r="815">
      <c r="A815" s="3">
        <f>IFERROR(__xludf.DUMMYFUNCTION("""COMPUTED_VALUE"""),25.0)</f>
        <v>25</v>
      </c>
      <c r="B815" s="3" t="str">
        <f>IFERROR(__xludf.DUMMYFUNCTION("""COMPUTED_VALUE"""),"Twix")</f>
        <v>Twix</v>
      </c>
    </row>
    <row r="816">
      <c r="A816" s="3">
        <f>IFERROR(__xludf.DUMMYFUNCTION("""COMPUTED_VALUE"""),27.0)</f>
        <v>27</v>
      </c>
      <c r="B816" s="3" t="str">
        <f>IFERROR(__xludf.DUMMYFUNCTION("""COMPUTED_VALUE"""),"Gardena")</f>
        <v>Gardena</v>
      </c>
    </row>
    <row r="817">
      <c r="A817" s="3">
        <f>IFERROR(__xludf.DUMMYFUNCTION("""COMPUTED_VALUE"""),28.0)</f>
        <v>28</v>
      </c>
      <c r="B817" s="3" t="str">
        <f>IFERROR(__xludf.DUMMYFUNCTION("""COMPUTED_VALUE"""),"Snickers")</f>
        <v>Snickers</v>
      </c>
    </row>
    <row r="818">
      <c r="A818" s="3">
        <f>IFERROR(__xludf.DUMMYFUNCTION("""COMPUTED_VALUE"""),29.0)</f>
        <v>29</v>
      </c>
      <c r="B818" s="3" t="str">
        <f>IFERROR(__xludf.DUMMYFUNCTION("""COMPUTED_VALUE"""),"Pepsi")</f>
        <v>Pepsi</v>
      </c>
    </row>
    <row r="819">
      <c r="A819" s="3">
        <f>IFERROR(__xludf.DUMMYFUNCTION("""COMPUTED_VALUE"""),30.0)</f>
        <v>30</v>
      </c>
      <c r="B819" s="3" t="str">
        <f>IFERROR(__xludf.DUMMYFUNCTION("""COMPUTED_VALUE"""),"Mars")</f>
        <v>Mars</v>
      </c>
    </row>
    <row r="820">
      <c r="A820" s="3">
        <f>IFERROR(__xludf.DUMMYFUNCTION("""COMPUTED_VALUE"""),32.0)</f>
        <v>32</v>
      </c>
      <c r="B820" s="3" t="str">
        <f>IFERROR(__xludf.DUMMYFUNCTION("""COMPUTED_VALUE"""),"Almarai Chocolate")</f>
        <v>Almarai Chocolate</v>
      </c>
    </row>
    <row r="821">
      <c r="A821" s="3">
        <f>IFERROR(__xludf.DUMMYFUNCTION("""COMPUTED_VALUE"""),32.0)</f>
        <v>32</v>
      </c>
      <c r="B821" s="3" t="str">
        <f>IFERROR(__xludf.DUMMYFUNCTION("""COMPUTED_VALUE"""),"Almarai Chocolate")</f>
        <v>Almarai Chocolate</v>
      </c>
    </row>
    <row r="822">
      <c r="A822" s="3">
        <f>IFERROR(__xludf.DUMMYFUNCTION("""COMPUTED_VALUE"""),33.0)</f>
        <v>33</v>
      </c>
      <c r="B822" s="3" t="str">
        <f>IFERROR(__xludf.DUMMYFUNCTION("""COMPUTED_VALUE"""),"Corissant Karuzo")</f>
        <v>Corissant Karuzo</v>
      </c>
    </row>
    <row r="823">
      <c r="A823" s="3">
        <f>IFERROR(__xludf.DUMMYFUNCTION("""COMPUTED_VALUE"""),36.0)</f>
        <v>36</v>
      </c>
      <c r="B823" s="3" t="str">
        <f>IFERROR(__xludf.DUMMYFUNCTION("""COMPUTED_VALUE"""),"Kunuz Juice")</f>
        <v>Kunuz Juice</v>
      </c>
    </row>
    <row r="824">
      <c r="A824" s="3">
        <f>IFERROR(__xludf.DUMMYFUNCTION("""COMPUTED_VALUE"""),38.0)</f>
        <v>38</v>
      </c>
      <c r="B824" s="3" t="str">
        <f>IFERROR(__xludf.DUMMYFUNCTION("""COMPUTED_VALUE"""),"Lovita cookies")</f>
        <v>Lovita cookies</v>
      </c>
    </row>
    <row r="825">
      <c r="A825" s="3">
        <f>IFERROR(__xludf.DUMMYFUNCTION("""COMPUTED_VALUE"""),44.0)</f>
        <v>44</v>
      </c>
      <c r="B825" s="3" t="str">
        <f>IFERROR(__xludf.DUMMYFUNCTION("""COMPUTED_VALUE"""),"Caser Juice")</f>
        <v>Caser Juice</v>
      </c>
    </row>
    <row r="826">
      <c r="A826" s="3">
        <f>IFERROR(__xludf.DUMMYFUNCTION("""COMPUTED_VALUE"""),52.0)</f>
        <v>52</v>
      </c>
      <c r="B826" s="3" t="str">
        <f>IFERROR(__xludf.DUMMYFUNCTION("""COMPUTED_VALUE"""),"MR Crunch")</f>
        <v>MR Crunch</v>
      </c>
    </row>
    <row r="827">
      <c r="A827" s="3">
        <f>IFERROR(__xludf.DUMMYFUNCTION("""COMPUTED_VALUE"""),54.0)</f>
        <v>54</v>
      </c>
      <c r="B827" s="3" t="str">
        <f>IFERROR(__xludf.DUMMYFUNCTION("""COMPUTED_VALUE"""),"Mirinda")</f>
        <v>Mirinda</v>
      </c>
    </row>
    <row r="828">
      <c r="A828" s="3">
        <f>IFERROR(__xludf.DUMMYFUNCTION("""COMPUTED_VALUE"""),64.0)</f>
        <v>64</v>
      </c>
      <c r="B828" s="3" t="str">
        <f>IFERROR(__xludf.DUMMYFUNCTION("""COMPUTED_VALUE"""),"Almarai Strawberry")</f>
        <v>Almarai Strawberry</v>
      </c>
    </row>
    <row r="829">
      <c r="A829" s="3">
        <f>IFERROR(__xludf.DUMMYFUNCTION("""COMPUTED_VALUE"""),87.0)</f>
        <v>87</v>
      </c>
      <c r="B829" s="3" t="str">
        <f>IFERROR(__xludf.DUMMYFUNCTION("""COMPUTED_VALUE"""),"mr.bite strike")</f>
        <v>mr.bite strike</v>
      </c>
    </row>
    <row r="830">
      <c r="A830" s="3">
        <f>IFERROR(__xludf.DUMMYFUNCTION("""COMPUTED_VALUE"""),95.0)</f>
        <v>95</v>
      </c>
      <c r="B830" s="3" t="str">
        <f>IFERROR(__xludf.DUMMYFUNCTION("""COMPUTED_VALUE"""),"Tiger 12 sweet chili")</f>
        <v>Tiger 12 sweet chili</v>
      </c>
    </row>
    <row r="831">
      <c r="A831" s="3">
        <f>IFERROR(__xludf.DUMMYFUNCTION("""COMPUTED_VALUE"""),96.0)</f>
        <v>96</v>
      </c>
      <c r="B831" s="3" t="str">
        <f>IFERROR(__xludf.DUMMYFUNCTION("""COMPUTED_VALUE"""),"Doritos green hot")</f>
        <v>Doritos green hot</v>
      </c>
    </row>
    <row r="832">
      <c r="A832" s="3">
        <f>IFERROR(__xludf.DUMMYFUNCTION("""COMPUTED_VALUE"""),97.0)</f>
        <v>97</v>
      </c>
      <c r="B832" s="3" t="str">
        <f>IFERROR(__xludf.DUMMYFUNCTION("""COMPUTED_VALUE"""),"Doritos nacho")</f>
        <v>Doritos nacho</v>
      </c>
    </row>
    <row r="833">
      <c r="A833" s="3">
        <f>IFERROR(__xludf.DUMMYFUNCTION("""COMPUTED_VALUE"""),98.0)</f>
        <v>98</v>
      </c>
      <c r="B833" s="3" t="str">
        <f>IFERROR(__xludf.DUMMYFUNCTION("""COMPUTED_VALUE"""),"Barbican")</f>
        <v>Barbican</v>
      </c>
    </row>
    <row r="834">
      <c r="A834" s="3">
        <f>IFERROR(__xludf.DUMMYFUNCTION("""COMPUTED_VALUE"""),99.0)</f>
        <v>99</v>
      </c>
      <c r="B834" s="3" t="str">
        <f>IFERROR(__xludf.DUMMYFUNCTION("""COMPUTED_VALUE"""),"Shani")</f>
        <v>Shani</v>
      </c>
    </row>
    <row r="835">
      <c r="A835" s="3">
        <f>IFERROR(__xludf.DUMMYFUNCTION("""COMPUTED_VALUE"""),106.0)</f>
        <v>106</v>
      </c>
      <c r="B835" s="3" t="str">
        <f>IFERROR(__xludf.DUMMYFUNCTION("""COMPUTED_VALUE"""),"Toblerone")</f>
        <v>Toblerone</v>
      </c>
    </row>
    <row r="836">
      <c r="A836" s="3">
        <f>IFERROR(__xludf.DUMMYFUNCTION("""COMPUTED_VALUE"""),108.0)</f>
        <v>108</v>
      </c>
      <c r="B836" s="3" t="str">
        <f>IFERROR(__xludf.DUMMYFUNCTION("""COMPUTED_VALUE"""),"Shada up")</f>
        <v>Shada up</v>
      </c>
    </row>
    <row r="837">
      <c r="A837" s="3">
        <f>IFERROR(__xludf.DUMMYFUNCTION("""COMPUTED_VALUE"""),111.0)</f>
        <v>111</v>
      </c>
      <c r="B837" s="3" t="str">
        <f>IFERROR(__xludf.DUMMYFUNCTION("""COMPUTED_VALUE"""),"Rayhan suntop")</f>
        <v>Rayhan suntop</v>
      </c>
    </row>
    <row r="838">
      <c r="A838" s="3">
        <f>IFERROR(__xludf.DUMMYFUNCTION("""COMPUTED_VALUE"""),114.0)</f>
        <v>114</v>
      </c>
      <c r="B838" s="3" t="str">
        <f>IFERROR(__xludf.DUMMYFUNCTION("""COMPUTED_VALUE"""),"Tiger excellence")</f>
        <v>Tiger excellence</v>
      </c>
    </row>
    <row r="839">
      <c r="A839" s="3">
        <f>IFERROR(__xludf.DUMMYFUNCTION("""COMPUTED_VALUE"""),115.0)</f>
        <v>115</v>
      </c>
      <c r="B839" s="3" t="str">
        <f>IFERROR(__xludf.DUMMYFUNCTION("""COMPUTED_VALUE"""),"Lavazza")</f>
        <v>Lavazza</v>
      </c>
    </row>
    <row r="840">
      <c r="A840" s="3">
        <f>IFERROR(__xludf.DUMMYFUNCTION("""COMPUTED_VALUE"""),122.0)</f>
        <v>122</v>
      </c>
      <c r="B840" s="3" t="str">
        <f>IFERROR(__xludf.DUMMYFUNCTION("""COMPUTED_VALUE"""),"Savi stix")</f>
        <v>Savi stix</v>
      </c>
    </row>
    <row r="841">
      <c r="A841" s="3">
        <f>IFERROR(__xludf.DUMMYFUNCTION("""COMPUTED_VALUE"""),123.0)</f>
        <v>123</v>
      </c>
      <c r="B841" s="3" t="str">
        <f>IFERROR(__xludf.DUMMYFUNCTION("""COMPUTED_VALUE"""),"Lexus")</f>
        <v>Lexus</v>
      </c>
    </row>
    <row r="842">
      <c r="A842" s="3">
        <f>IFERROR(__xludf.DUMMYFUNCTION("""COMPUTED_VALUE"""),127.0)</f>
        <v>127</v>
      </c>
      <c r="B842" s="3" t="str">
        <f>IFERROR(__xludf.DUMMYFUNCTION("""COMPUTED_VALUE"""),"Twix single")</f>
        <v>Twix single</v>
      </c>
    </row>
    <row r="843">
      <c r="A843" s="3">
        <f>IFERROR(__xludf.DUMMYFUNCTION("""COMPUTED_VALUE"""),130.0)</f>
        <v>130</v>
      </c>
      <c r="B843" s="3" t="str">
        <f>IFERROR(__xludf.DUMMYFUNCTION("""COMPUTED_VALUE"""),"Schweppes bullet")</f>
        <v>Schweppes bullet</v>
      </c>
    </row>
    <row r="844">
      <c r="A844" s="3">
        <f>IFERROR(__xludf.DUMMYFUNCTION("""COMPUTED_VALUE"""),131.0)</f>
        <v>131</v>
      </c>
      <c r="B844" s="3" t="str">
        <f>IFERROR(__xludf.DUMMYFUNCTION("""COMPUTED_VALUE"""),"Yumi zak")</f>
        <v>Yumi zak</v>
      </c>
    </row>
    <row r="845">
      <c r="A845" s="3">
        <f>IFERROR(__xludf.DUMMYFUNCTION("""COMPUTED_VALUE"""),0.0)</f>
        <v>0</v>
      </c>
      <c r="B845" s="3" t="str">
        <f>IFERROR(__xludf.DUMMYFUNCTION("""COMPUTED_VALUE"""),"未设置")</f>
        <v>未设置</v>
      </c>
    </row>
    <row r="846">
      <c r="A846" s="3">
        <f>IFERROR(__xludf.DUMMYFUNCTION("""COMPUTED_VALUE"""),0.0)</f>
        <v>0</v>
      </c>
      <c r="B846" s="3" t="str">
        <f>IFERROR(__xludf.DUMMYFUNCTION("""COMPUTED_VALUE"""),"未设置")</f>
        <v>未设置</v>
      </c>
    </row>
    <row r="847">
      <c r="A847" s="3">
        <f>IFERROR(__xludf.DUMMYFUNCTION("""COMPUTED_VALUE"""),1.0)</f>
        <v>1</v>
      </c>
      <c r="B847" s="3" t="str">
        <f>IFERROR(__xludf.DUMMYFUNCTION("""COMPUTED_VALUE"""),"Doritos cool ranc")</f>
        <v>Doritos cool ranc</v>
      </c>
    </row>
    <row r="848">
      <c r="A848" s="3">
        <f>IFERROR(__xludf.DUMMYFUNCTION("""COMPUTED_VALUE"""),2.0)</f>
        <v>2</v>
      </c>
      <c r="B848" s="3" t="str">
        <f>IFERROR(__xludf.DUMMYFUNCTION("""COMPUTED_VALUE"""),"Water")</f>
        <v>Water</v>
      </c>
    </row>
    <row r="849">
      <c r="A849" s="3">
        <f>IFERROR(__xludf.DUMMYFUNCTION("""COMPUTED_VALUE"""),3.0)</f>
        <v>3</v>
      </c>
      <c r="B849" s="3" t="str">
        <f>IFERROR(__xludf.DUMMYFUNCTION("""COMPUTED_VALUE"""),"Maltesers")</f>
        <v>Maltesers</v>
      </c>
    </row>
    <row r="850">
      <c r="A850" s="3">
        <f>IFERROR(__xludf.DUMMYFUNCTION("""COMPUTED_VALUE"""),8.0)</f>
        <v>8</v>
      </c>
      <c r="B850" s="3" t="str">
        <f>IFERROR(__xludf.DUMMYFUNCTION("""COMPUTED_VALUE"""),"Xo Energy")</f>
        <v>Xo Energy</v>
      </c>
    </row>
    <row r="851">
      <c r="A851" s="3">
        <f>IFERROR(__xludf.DUMMYFUNCTION("""COMPUTED_VALUE"""),10.0)</f>
        <v>10</v>
      </c>
      <c r="B851" s="3" t="str">
        <f>IFERROR(__xludf.DUMMYFUNCTION("""COMPUTED_VALUE"""),"Skittles")</f>
        <v>Skittles</v>
      </c>
    </row>
    <row r="852">
      <c r="A852" s="3">
        <f>IFERROR(__xludf.DUMMYFUNCTION("""COMPUTED_VALUE"""),11.0)</f>
        <v>11</v>
      </c>
      <c r="B852" s="3" t="str">
        <f>IFERROR(__xludf.DUMMYFUNCTION("""COMPUTED_VALUE"""),"X!R")</f>
        <v>X!R</v>
      </c>
    </row>
    <row r="853">
      <c r="A853" s="3">
        <f>IFERROR(__xludf.DUMMYFUNCTION("""COMPUTED_VALUE"""),14.0)</f>
        <v>14</v>
      </c>
      <c r="B853" s="3" t="str">
        <f>IFERROR(__xludf.DUMMYFUNCTION("""COMPUTED_VALUE"""),"Kinder Bueno")</f>
        <v>Kinder Bueno</v>
      </c>
    </row>
    <row r="854">
      <c r="A854" s="3">
        <f>IFERROR(__xludf.DUMMYFUNCTION("""COMPUTED_VALUE"""),18.0)</f>
        <v>18</v>
      </c>
      <c r="B854" s="3" t="str">
        <f>IFERROR(__xludf.DUMMYFUNCTION("""COMPUTED_VALUE"""),"Takis")</f>
        <v>Takis</v>
      </c>
    </row>
    <row r="855">
      <c r="A855" s="3">
        <f>IFERROR(__xludf.DUMMYFUNCTION("""COMPUTED_VALUE"""),19.0)</f>
        <v>19</v>
      </c>
      <c r="B855" s="3" t="str">
        <f>IFERROR(__xludf.DUMMYFUNCTION("""COMPUTED_VALUE"""),"mr bite")</f>
        <v>mr bite</v>
      </c>
    </row>
    <row r="856">
      <c r="A856" s="3">
        <f>IFERROR(__xludf.DUMMYFUNCTION("""COMPUTED_VALUE"""),20.0)</f>
        <v>20</v>
      </c>
      <c r="B856" s="3" t="str">
        <f>IFERROR(__xludf.DUMMYFUNCTION("""COMPUTED_VALUE"""),"m&amp;m")</f>
        <v>m&amp;m</v>
      </c>
    </row>
    <row r="857">
      <c r="A857" s="3">
        <f>IFERROR(__xludf.DUMMYFUNCTION("""COMPUTED_VALUE"""),21.0)</f>
        <v>21</v>
      </c>
      <c r="B857" s="3" t="str">
        <f>IFERROR(__xludf.DUMMYFUNCTION("""COMPUTED_VALUE"""),"Laviva")</f>
        <v>Laviva</v>
      </c>
    </row>
    <row r="858">
      <c r="A858" s="3">
        <f>IFERROR(__xludf.DUMMYFUNCTION("""COMPUTED_VALUE"""),23.0)</f>
        <v>23</v>
      </c>
      <c r="B858" s="3" t="str">
        <f>IFERROR(__xludf.DUMMYFUNCTION("""COMPUTED_VALUE"""),"Freez")</f>
        <v>Freez</v>
      </c>
    </row>
    <row r="859">
      <c r="A859" s="3">
        <f>IFERROR(__xludf.DUMMYFUNCTION("""COMPUTED_VALUE"""),29.0)</f>
        <v>29</v>
      </c>
      <c r="B859" s="3" t="str">
        <f>IFERROR(__xludf.DUMMYFUNCTION("""COMPUTED_VALUE"""),"Pepsi")</f>
        <v>Pepsi</v>
      </c>
    </row>
    <row r="860">
      <c r="A860" s="3">
        <f>IFERROR(__xludf.DUMMYFUNCTION("""COMPUTED_VALUE"""),32.0)</f>
        <v>32</v>
      </c>
      <c r="B860" s="3" t="str">
        <f>IFERROR(__xludf.DUMMYFUNCTION("""COMPUTED_VALUE"""),"Almarai Chocolate")</f>
        <v>Almarai Chocolate</v>
      </c>
    </row>
    <row r="861">
      <c r="A861" s="3">
        <f>IFERROR(__xludf.DUMMYFUNCTION("""COMPUTED_VALUE"""),32.0)</f>
        <v>32</v>
      </c>
      <c r="B861" s="3" t="str">
        <f>IFERROR(__xludf.DUMMYFUNCTION("""COMPUTED_VALUE"""),"Almarai Chocolate")</f>
        <v>Almarai Chocolate</v>
      </c>
    </row>
    <row r="862">
      <c r="A862" s="3">
        <f>IFERROR(__xludf.DUMMYFUNCTION("""COMPUTED_VALUE"""),33.0)</f>
        <v>33</v>
      </c>
      <c r="B862" s="3" t="str">
        <f>IFERROR(__xludf.DUMMYFUNCTION("""COMPUTED_VALUE"""),"Corissant Karuzo")</f>
        <v>Corissant Karuzo</v>
      </c>
    </row>
    <row r="863">
      <c r="A863" s="3">
        <f>IFERROR(__xludf.DUMMYFUNCTION("""COMPUTED_VALUE"""),36.0)</f>
        <v>36</v>
      </c>
      <c r="B863" s="3" t="str">
        <f>IFERROR(__xludf.DUMMYFUNCTION("""COMPUTED_VALUE"""),"Kunuz Juice")</f>
        <v>Kunuz Juice</v>
      </c>
    </row>
    <row r="864">
      <c r="A864" s="3">
        <f>IFERROR(__xludf.DUMMYFUNCTION("""COMPUTED_VALUE"""),38.0)</f>
        <v>38</v>
      </c>
      <c r="B864" s="3" t="str">
        <f>IFERROR(__xludf.DUMMYFUNCTION("""COMPUTED_VALUE"""),"Lovita cookies")</f>
        <v>Lovita cookies</v>
      </c>
    </row>
    <row r="865">
      <c r="A865" s="3">
        <f>IFERROR(__xludf.DUMMYFUNCTION("""COMPUTED_VALUE"""),49.0)</f>
        <v>49</v>
      </c>
      <c r="B865" s="3" t="str">
        <f>IFERROR(__xludf.DUMMYFUNCTION("""COMPUTED_VALUE"""),"Haribo")</f>
        <v>Haribo</v>
      </c>
    </row>
    <row r="866">
      <c r="A866" s="3">
        <f>IFERROR(__xludf.DUMMYFUNCTION("""COMPUTED_VALUE"""),52.0)</f>
        <v>52</v>
      </c>
      <c r="B866" s="3" t="str">
        <f>IFERROR(__xludf.DUMMYFUNCTION("""COMPUTED_VALUE"""),"MR Crunch")</f>
        <v>MR Crunch</v>
      </c>
    </row>
    <row r="867">
      <c r="A867" s="3">
        <f>IFERROR(__xludf.DUMMYFUNCTION("""COMPUTED_VALUE"""),54.0)</f>
        <v>54</v>
      </c>
      <c r="B867" s="3" t="str">
        <f>IFERROR(__xludf.DUMMYFUNCTION("""COMPUTED_VALUE"""),"Mirinda")</f>
        <v>Mirinda</v>
      </c>
    </row>
    <row r="868">
      <c r="A868" s="3">
        <f>IFERROR(__xludf.DUMMYFUNCTION("""COMPUTED_VALUE"""),64.0)</f>
        <v>64</v>
      </c>
      <c r="B868" s="3" t="str">
        <f>IFERROR(__xludf.DUMMYFUNCTION("""COMPUTED_VALUE"""),"Almarai Strawberry")</f>
        <v>Almarai Strawberry</v>
      </c>
    </row>
    <row r="869">
      <c r="A869" s="3">
        <f>IFERROR(__xludf.DUMMYFUNCTION("""COMPUTED_VALUE"""),64.0)</f>
        <v>64</v>
      </c>
      <c r="B869" s="3" t="str">
        <f>IFERROR(__xludf.DUMMYFUNCTION("""COMPUTED_VALUE"""),"Almarai Strawberry")</f>
        <v>Almarai Strawberry</v>
      </c>
    </row>
    <row r="870">
      <c r="A870" s="3">
        <f>IFERROR(__xludf.DUMMYFUNCTION("""COMPUTED_VALUE"""),82.0)</f>
        <v>82</v>
      </c>
      <c r="B870" s="3" t="str">
        <f>IFERROR(__xludf.DUMMYFUNCTION("""COMPUTED_VALUE"""),"L suntop")</f>
        <v>L suntop</v>
      </c>
    </row>
    <row r="871">
      <c r="A871" s="3">
        <f>IFERROR(__xludf.DUMMYFUNCTION("""COMPUTED_VALUE"""),83.0)</f>
        <v>83</v>
      </c>
      <c r="B871" s="3" t="str">
        <f>IFERROR(__xludf.DUMMYFUNCTION("""COMPUTED_VALUE"""),"Doritos real")</f>
        <v>Doritos real</v>
      </c>
    </row>
    <row r="872">
      <c r="A872" s="3">
        <f>IFERROR(__xludf.DUMMYFUNCTION("""COMPUTED_VALUE"""),86.0)</f>
        <v>86</v>
      </c>
      <c r="B872" s="3" t="str">
        <f>IFERROR(__xludf.DUMMYFUNCTION("""COMPUTED_VALUE"""),"Mrbeast")</f>
        <v>Mrbeast</v>
      </c>
    </row>
    <row r="873">
      <c r="A873" s="3">
        <f>IFERROR(__xludf.DUMMYFUNCTION("""COMPUTED_VALUE"""),92.0)</f>
        <v>92</v>
      </c>
      <c r="B873" s="3" t="str">
        <f>IFERROR(__xludf.DUMMYFUNCTION("""COMPUTED_VALUE"""),"Tiger *12 kebab")</f>
        <v>Tiger *12 kebab</v>
      </c>
    </row>
    <row r="874">
      <c r="A874" s="3">
        <f>IFERROR(__xludf.DUMMYFUNCTION("""COMPUTED_VALUE"""),96.0)</f>
        <v>96</v>
      </c>
      <c r="B874" s="3" t="str">
        <f>IFERROR(__xludf.DUMMYFUNCTION("""COMPUTED_VALUE"""),"Doritos green hot")</f>
        <v>Doritos green hot</v>
      </c>
    </row>
    <row r="875">
      <c r="A875" s="3">
        <f>IFERROR(__xludf.DUMMYFUNCTION("""COMPUTED_VALUE"""),97.0)</f>
        <v>97</v>
      </c>
      <c r="B875" s="3" t="str">
        <f>IFERROR(__xludf.DUMMYFUNCTION("""COMPUTED_VALUE"""),"Doritos nacho")</f>
        <v>Doritos nacho</v>
      </c>
    </row>
    <row r="876">
      <c r="A876" s="3">
        <f>IFERROR(__xludf.DUMMYFUNCTION("""COMPUTED_VALUE"""),98.0)</f>
        <v>98</v>
      </c>
      <c r="B876" s="3" t="str">
        <f>IFERROR(__xludf.DUMMYFUNCTION("""COMPUTED_VALUE"""),"Barbican")</f>
        <v>Barbican</v>
      </c>
    </row>
    <row r="877">
      <c r="A877" s="3">
        <f>IFERROR(__xludf.DUMMYFUNCTION("""COMPUTED_VALUE"""),99.0)</f>
        <v>99</v>
      </c>
      <c r="B877" s="3" t="str">
        <f>IFERROR(__xludf.DUMMYFUNCTION("""COMPUTED_VALUE"""),"Shani")</f>
        <v>Shani</v>
      </c>
    </row>
    <row r="878">
      <c r="A878" s="3">
        <f>IFERROR(__xludf.DUMMYFUNCTION("""COMPUTED_VALUE"""),102.0)</f>
        <v>102</v>
      </c>
      <c r="B878" s="3" t="str">
        <f>IFERROR(__xludf.DUMMYFUNCTION("""COMPUTED_VALUE"""),"Buldak")</f>
        <v>Buldak</v>
      </c>
    </row>
    <row r="879">
      <c r="A879" s="3">
        <f>IFERROR(__xludf.DUMMYFUNCTION("""COMPUTED_VALUE"""),106.0)</f>
        <v>106</v>
      </c>
      <c r="B879" s="3" t="str">
        <f>IFERROR(__xludf.DUMMYFUNCTION("""COMPUTED_VALUE"""),"Toblerone")</f>
        <v>Toblerone</v>
      </c>
    </row>
    <row r="880">
      <c r="A880" s="3">
        <f>IFERROR(__xludf.DUMMYFUNCTION("""COMPUTED_VALUE"""),114.0)</f>
        <v>114</v>
      </c>
      <c r="B880" s="3" t="str">
        <f>IFERROR(__xludf.DUMMYFUNCTION("""COMPUTED_VALUE"""),"Tiger excellence")</f>
        <v>Tiger excellence</v>
      </c>
    </row>
    <row r="881">
      <c r="A881" s="3">
        <f>IFERROR(__xludf.DUMMYFUNCTION("""COMPUTED_VALUE"""),115.0)</f>
        <v>115</v>
      </c>
      <c r="B881" s="3" t="str">
        <f>IFERROR(__xludf.DUMMYFUNCTION("""COMPUTED_VALUE"""),"Lavazza")</f>
        <v>Lavazza</v>
      </c>
    </row>
    <row r="882">
      <c r="A882" s="3">
        <f>IFERROR(__xludf.DUMMYFUNCTION("""COMPUTED_VALUE"""),118.0)</f>
        <v>118</v>
      </c>
      <c r="B882" s="3" t="str">
        <f>IFERROR(__xludf.DUMMYFUNCTION("""COMPUTED_VALUE"""),"Haribo bears")</f>
        <v>Haribo bears</v>
      </c>
    </row>
    <row r="883">
      <c r="A883" s="3">
        <f>IFERROR(__xludf.DUMMYFUNCTION("""COMPUTED_VALUE"""),119.0)</f>
        <v>119</v>
      </c>
      <c r="B883" s="3" t="str">
        <f>IFERROR(__xludf.DUMMYFUNCTION("""COMPUTED_VALUE"""),"Turbo strips")</f>
        <v>Turbo strips</v>
      </c>
    </row>
    <row r="884">
      <c r="A884" s="3">
        <f>IFERROR(__xludf.DUMMYFUNCTION("""COMPUTED_VALUE"""),120.0)</f>
        <v>120</v>
      </c>
      <c r="B884" s="3" t="str">
        <f>IFERROR(__xludf.DUMMYFUNCTION("""COMPUTED_VALUE"""),"Chillax chips")</f>
        <v>Chillax chips</v>
      </c>
    </row>
    <row r="885">
      <c r="A885" s="3">
        <f>IFERROR(__xludf.DUMMYFUNCTION("""COMPUTED_VALUE"""),123.0)</f>
        <v>123</v>
      </c>
      <c r="B885" s="3" t="str">
        <f>IFERROR(__xludf.DUMMYFUNCTION("""COMPUTED_VALUE"""),"Lexus")</f>
        <v>Lexus</v>
      </c>
    </row>
    <row r="886">
      <c r="A886" s="3">
        <f>IFERROR(__xludf.DUMMYFUNCTION("""COMPUTED_VALUE"""),127.0)</f>
        <v>127</v>
      </c>
      <c r="B886" s="3" t="str">
        <f>IFERROR(__xludf.DUMMYFUNCTION("""COMPUTED_VALUE"""),"Twix single")</f>
        <v>Twix single</v>
      </c>
    </row>
    <row r="887">
      <c r="A887" s="3">
        <f>IFERROR(__xludf.DUMMYFUNCTION("""COMPUTED_VALUE"""),128.0)</f>
        <v>128</v>
      </c>
      <c r="B887" s="3" t="str">
        <f>IFERROR(__xludf.DUMMYFUNCTION("""COMPUTED_VALUE"""),"EXO")</f>
        <v>EXO</v>
      </c>
    </row>
    <row r="888">
      <c r="A888" s="3">
        <f>IFERROR(__xludf.DUMMYFUNCTION("""COMPUTED_VALUE"""),129.0)</f>
        <v>129</v>
      </c>
      <c r="B888" s="3" t="str">
        <f>IFERROR(__xludf.DUMMYFUNCTION("""COMPUTED_VALUE"""),"Kitkat 2 fingers")</f>
        <v>Kitkat 2 fingers</v>
      </c>
    </row>
    <row r="889">
      <c r="A889" s="3">
        <f>IFERROR(__xludf.DUMMYFUNCTION("""COMPUTED_VALUE"""),130.0)</f>
        <v>130</v>
      </c>
      <c r="B889" s="3" t="str">
        <f>IFERROR(__xludf.DUMMYFUNCTION("""COMPUTED_VALUE"""),"Schweppes bullet")</f>
        <v>Schweppes bullet</v>
      </c>
    </row>
    <row r="890">
      <c r="A890" s="3">
        <f>IFERROR(__xludf.DUMMYFUNCTION("""COMPUTED_VALUE"""),131.0)</f>
        <v>131</v>
      </c>
      <c r="B890" s="3" t="str">
        <f>IFERROR(__xludf.DUMMYFUNCTION("""COMPUTED_VALUE"""),"Yumi zak")</f>
        <v>Yumi zak</v>
      </c>
    </row>
    <row r="891">
      <c r="A891" s="3">
        <f>IFERROR(__xludf.DUMMYFUNCTION("""COMPUTED_VALUE"""),132.0)</f>
        <v>132</v>
      </c>
      <c r="B891" s="3" t="str">
        <f>IFERROR(__xludf.DUMMYFUNCTION("""COMPUTED_VALUE"""),"Almarai Banana")</f>
        <v>Almarai Banana</v>
      </c>
    </row>
    <row r="892">
      <c r="A892" s="3">
        <f>IFERROR(__xludf.DUMMYFUNCTION("""COMPUTED_VALUE"""),133.0)</f>
        <v>133</v>
      </c>
      <c r="B892" s="3" t="str">
        <f>IFERROR(__xludf.DUMMYFUNCTION("""COMPUTED_VALUE"""),"Activ chips")</f>
        <v>Activ chips</v>
      </c>
    </row>
    <row r="893">
      <c r="A893" s="3">
        <f>IFERROR(__xludf.DUMMYFUNCTION("""COMPUTED_VALUE"""),134.0)</f>
        <v>134</v>
      </c>
      <c r="B893" s="3" t="str">
        <f>IFERROR(__xludf.DUMMYFUNCTION("""COMPUTED_VALUE"""),"Yumi Zak")</f>
        <v>Yumi Zak</v>
      </c>
    </row>
    <row r="894">
      <c r="A894" s="3">
        <f>IFERROR(__xludf.DUMMYFUNCTION("""COMPUTED_VALUE"""),0.0)</f>
        <v>0</v>
      </c>
      <c r="B894" s="3" t="str">
        <f>IFERROR(__xludf.DUMMYFUNCTION("""COMPUTED_VALUE"""),"未设置")</f>
        <v>未设置</v>
      </c>
    </row>
    <row r="895">
      <c r="A895" s="3">
        <f>IFERROR(__xludf.DUMMYFUNCTION("""COMPUTED_VALUE"""),1.0)</f>
        <v>1</v>
      </c>
      <c r="B895" s="3" t="str">
        <f>IFERROR(__xludf.DUMMYFUNCTION("""COMPUTED_VALUE"""),"Doritos cool ranc")</f>
        <v>Doritos cool ranc</v>
      </c>
    </row>
    <row r="896">
      <c r="A896" s="3">
        <f>IFERROR(__xludf.DUMMYFUNCTION("""COMPUTED_VALUE"""),2.0)</f>
        <v>2</v>
      </c>
      <c r="B896" s="3" t="str">
        <f>IFERROR(__xludf.DUMMYFUNCTION("""COMPUTED_VALUE"""),"Water")</f>
        <v>Water</v>
      </c>
    </row>
    <row r="897">
      <c r="A897" s="3">
        <f>IFERROR(__xludf.DUMMYFUNCTION("""COMPUTED_VALUE"""),6.0)</f>
        <v>6</v>
      </c>
      <c r="B897" s="3" t="str">
        <f>IFERROR(__xludf.DUMMYFUNCTION("""COMPUTED_VALUE"""),"Tiger *12 tomato")</f>
        <v>Tiger *12 tomato</v>
      </c>
    </row>
    <row r="898">
      <c r="A898" s="3">
        <f>IFERROR(__xludf.DUMMYFUNCTION("""COMPUTED_VALUE"""),8.0)</f>
        <v>8</v>
      </c>
      <c r="B898" s="3" t="str">
        <f>IFERROR(__xludf.DUMMYFUNCTION("""COMPUTED_VALUE"""),"Xo Energy")</f>
        <v>Xo Energy</v>
      </c>
    </row>
    <row r="899">
      <c r="A899" s="3">
        <f>IFERROR(__xludf.DUMMYFUNCTION("""COMPUTED_VALUE"""),11.0)</f>
        <v>11</v>
      </c>
      <c r="B899" s="3" t="str">
        <f>IFERROR(__xludf.DUMMYFUNCTION("""COMPUTED_VALUE"""),"X!R")</f>
        <v>X!R</v>
      </c>
    </row>
    <row r="900">
      <c r="A900" s="3">
        <f>IFERROR(__xludf.DUMMYFUNCTION("""COMPUTED_VALUE"""),14.0)</f>
        <v>14</v>
      </c>
      <c r="B900" s="3" t="str">
        <f>IFERROR(__xludf.DUMMYFUNCTION("""COMPUTED_VALUE"""),"Kinder Bueno")</f>
        <v>Kinder Bueno</v>
      </c>
    </row>
    <row r="901">
      <c r="A901" s="3">
        <f>IFERROR(__xludf.DUMMYFUNCTION("""COMPUTED_VALUE"""),15.0)</f>
        <v>15</v>
      </c>
      <c r="B901" s="3" t="str">
        <f>IFERROR(__xludf.DUMMYFUNCTION("""COMPUTED_VALUE"""),"kinza")</f>
        <v>kinza</v>
      </c>
    </row>
    <row r="902">
      <c r="A902" s="3">
        <f>IFERROR(__xludf.DUMMYFUNCTION("""COMPUTED_VALUE"""),19.0)</f>
        <v>19</v>
      </c>
      <c r="B902" s="3" t="str">
        <f>IFERROR(__xludf.DUMMYFUNCTION("""COMPUTED_VALUE"""),"mr bite")</f>
        <v>mr bite</v>
      </c>
    </row>
    <row r="903">
      <c r="A903" s="3">
        <f>IFERROR(__xludf.DUMMYFUNCTION("""COMPUTED_VALUE"""),21.0)</f>
        <v>21</v>
      </c>
      <c r="B903" s="3" t="str">
        <f>IFERROR(__xludf.DUMMYFUNCTION("""COMPUTED_VALUE"""),"Laviva")</f>
        <v>Laviva</v>
      </c>
    </row>
    <row r="904">
      <c r="A904" s="3">
        <f>IFERROR(__xludf.DUMMYFUNCTION("""COMPUTED_VALUE"""),27.0)</f>
        <v>27</v>
      </c>
      <c r="B904" s="3" t="str">
        <f>IFERROR(__xludf.DUMMYFUNCTION("""COMPUTED_VALUE"""),"Gardena")</f>
        <v>Gardena</v>
      </c>
    </row>
    <row r="905">
      <c r="A905" s="3">
        <f>IFERROR(__xludf.DUMMYFUNCTION("""COMPUTED_VALUE"""),28.0)</f>
        <v>28</v>
      </c>
      <c r="B905" s="3" t="str">
        <f>IFERROR(__xludf.DUMMYFUNCTION("""COMPUTED_VALUE"""),"Snickers")</f>
        <v>Snickers</v>
      </c>
    </row>
    <row r="906">
      <c r="A906" s="3">
        <f>IFERROR(__xludf.DUMMYFUNCTION("""COMPUTED_VALUE"""),29.0)</f>
        <v>29</v>
      </c>
      <c r="B906" s="3" t="str">
        <f>IFERROR(__xludf.DUMMYFUNCTION("""COMPUTED_VALUE"""),"Pepsi")</f>
        <v>Pepsi</v>
      </c>
    </row>
    <row r="907">
      <c r="A907" s="3">
        <f>IFERROR(__xludf.DUMMYFUNCTION("""COMPUTED_VALUE"""),30.0)</f>
        <v>30</v>
      </c>
      <c r="B907" s="3" t="str">
        <f>IFERROR(__xludf.DUMMYFUNCTION("""COMPUTED_VALUE"""),"Mars")</f>
        <v>Mars</v>
      </c>
    </row>
    <row r="908">
      <c r="A908" s="3">
        <f>IFERROR(__xludf.DUMMYFUNCTION("""COMPUTED_VALUE"""),32.0)</f>
        <v>32</v>
      </c>
      <c r="B908" s="3" t="str">
        <f>IFERROR(__xludf.DUMMYFUNCTION("""COMPUTED_VALUE"""),"Almarai Chocolate")</f>
        <v>Almarai Chocolate</v>
      </c>
    </row>
    <row r="909">
      <c r="A909" s="3">
        <f>IFERROR(__xludf.DUMMYFUNCTION("""COMPUTED_VALUE"""),49.0)</f>
        <v>49</v>
      </c>
      <c r="B909" s="3" t="str">
        <f>IFERROR(__xludf.DUMMYFUNCTION("""COMPUTED_VALUE"""),"Haribo")</f>
        <v>Haribo</v>
      </c>
    </row>
    <row r="910">
      <c r="A910" s="3">
        <f>IFERROR(__xludf.DUMMYFUNCTION("""COMPUTED_VALUE"""),52.0)</f>
        <v>52</v>
      </c>
      <c r="B910" s="3" t="str">
        <f>IFERROR(__xludf.DUMMYFUNCTION("""COMPUTED_VALUE"""),"MR Crunch")</f>
        <v>MR Crunch</v>
      </c>
    </row>
    <row r="911">
      <c r="A911" s="3">
        <f>IFERROR(__xludf.DUMMYFUNCTION("""COMPUTED_VALUE"""),54.0)</f>
        <v>54</v>
      </c>
      <c r="B911" s="3" t="str">
        <f>IFERROR(__xludf.DUMMYFUNCTION("""COMPUTED_VALUE"""),"Mirinda")</f>
        <v>Mirinda</v>
      </c>
    </row>
    <row r="912">
      <c r="A912" s="3">
        <f>IFERROR(__xludf.DUMMYFUNCTION("""COMPUTED_VALUE"""),64.0)</f>
        <v>64</v>
      </c>
      <c r="B912" s="3" t="str">
        <f>IFERROR(__xludf.DUMMYFUNCTION("""COMPUTED_VALUE"""),"Almarai Strawberry")</f>
        <v>Almarai Strawberry</v>
      </c>
    </row>
    <row r="913">
      <c r="A913" s="3">
        <f>IFERROR(__xludf.DUMMYFUNCTION("""COMPUTED_VALUE"""),86.0)</f>
        <v>86</v>
      </c>
      <c r="B913" s="3" t="str">
        <f>IFERROR(__xludf.DUMMYFUNCTION("""COMPUTED_VALUE"""),"Mrbeast")</f>
        <v>Mrbeast</v>
      </c>
    </row>
    <row r="914">
      <c r="A914" s="3">
        <f>IFERROR(__xludf.DUMMYFUNCTION("""COMPUTED_VALUE"""),96.0)</f>
        <v>96</v>
      </c>
      <c r="B914" s="3" t="str">
        <f>IFERROR(__xludf.DUMMYFUNCTION("""COMPUTED_VALUE"""),"Doritos green hot")</f>
        <v>Doritos green hot</v>
      </c>
    </row>
    <row r="915">
      <c r="A915" s="3">
        <f>IFERROR(__xludf.DUMMYFUNCTION("""COMPUTED_VALUE"""),97.0)</f>
        <v>97</v>
      </c>
      <c r="B915" s="3" t="str">
        <f>IFERROR(__xludf.DUMMYFUNCTION("""COMPUTED_VALUE"""),"Doritos nacho")</f>
        <v>Doritos nacho</v>
      </c>
    </row>
    <row r="916">
      <c r="A916" s="3">
        <f>IFERROR(__xludf.DUMMYFUNCTION("""COMPUTED_VALUE"""),99.0)</f>
        <v>99</v>
      </c>
      <c r="B916" s="3" t="str">
        <f>IFERROR(__xludf.DUMMYFUNCTION("""COMPUTED_VALUE"""),"Shani")</f>
        <v>Shani</v>
      </c>
    </row>
    <row r="917">
      <c r="A917" s="3">
        <f>IFERROR(__xludf.DUMMYFUNCTION("""COMPUTED_VALUE"""),106.0)</f>
        <v>106</v>
      </c>
      <c r="B917" s="3" t="str">
        <f>IFERROR(__xludf.DUMMYFUNCTION("""COMPUTED_VALUE"""),"Toblerone")</f>
        <v>Toblerone</v>
      </c>
    </row>
    <row r="918">
      <c r="A918" s="3">
        <f>IFERROR(__xludf.DUMMYFUNCTION("""COMPUTED_VALUE"""),111.0)</f>
        <v>111</v>
      </c>
      <c r="B918" s="3" t="str">
        <f>IFERROR(__xludf.DUMMYFUNCTION("""COMPUTED_VALUE"""),"Rayhan suntop")</f>
        <v>Rayhan suntop</v>
      </c>
    </row>
    <row r="919">
      <c r="A919" s="3">
        <f>IFERROR(__xludf.DUMMYFUNCTION("""COMPUTED_VALUE"""),114.0)</f>
        <v>114</v>
      </c>
      <c r="B919" s="3" t="str">
        <f>IFERROR(__xludf.DUMMYFUNCTION("""COMPUTED_VALUE"""),"Tiger excellence")</f>
        <v>Tiger excellence</v>
      </c>
    </row>
    <row r="920">
      <c r="A920" s="3">
        <f>IFERROR(__xludf.DUMMYFUNCTION("""COMPUTED_VALUE"""),119.0)</f>
        <v>119</v>
      </c>
      <c r="B920" s="3" t="str">
        <f>IFERROR(__xludf.DUMMYFUNCTION("""COMPUTED_VALUE"""),"Turbo strips")</f>
        <v>Turbo strips</v>
      </c>
    </row>
    <row r="921">
      <c r="A921" s="3">
        <f>IFERROR(__xludf.DUMMYFUNCTION("""COMPUTED_VALUE"""),126.0)</f>
        <v>126</v>
      </c>
      <c r="B921" s="3" t="str">
        <f>IFERROR(__xludf.DUMMYFUNCTION("""COMPUTED_VALUE"""),"Coach Suntop")</f>
        <v>Coach Suntop</v>
      </c>
    </row>
    <row r="922">
      <c r="A922" s="3">
        <f>IFERROR(__xludf.DUMMYFUNCTION("""COMPUTED_VALUE"""),127.0)</f>
        <v>127</v>
      </c>
      <c r="B922" s="3" t="str">
        <f>IFERROR(__xludf.DUMMYFUNCTION("""COMPUTED_VALUE"""),"Twix single")</f>
        <v>Twix single</v>
      </c>
    </row>
    <row r="923">
      <c r="A923" s="3">
        <f>IFERROR(__xludf.DUMMYFUNCTION("""COMPUTED_VALUE"""),128.0)</f>
        <v>128</v>
      </c>
      <c r="B923" s="3" t="str">
        <f>IFERROR(__xludf.DUMMYFUNCTION("""COMPUTED_VALUE"""),"EXO")</f>
        <v>EXO</v>
      </c>
    </row>
    <row r="924">
      <c r="A924" s="3">
        <f>IFERROR(__xludf.DUMMYFUNCTION("""COMPUTED_VALUE"""),130.0)</f>
        <v>130</v>
      </c>
      <c r="B924" s="3" t="str">
        <f>IFERROR(__xludf.DUMMYFUNCTION("""COMPUTED_VALUE"""),"Schweppes bullet")</f>
        <v>Schweppes bullet</v>
      </c>
    </row>
    <row r="925">
      <c r="A925" s="3">
        <f>IFERROR(__xludf.DUMMYFUNCTION("""COMPUTED_VALUE"""),135.0)</f>
        <v>135</v>
      </c>
      <c r="B925" s="3" t="str">
        <f>IFERROR(__xludf.DUMMYFUNCTION("""COMPUTED_VALUE"""),"Yupi")</f>
        <v>Yupi</v>
      </c>
    </row>
    <row r="926">
      <c r="A926" s="3">
        <f>IFERROR(__xludf.DUMMYFUNCTION("""COMPUTED_VALUE"""),137.0)</f>
        <v>137</v>
      </c>
      <c r="B926" s="3" t="str">
        <f>IFERROR(__xludf.DUMMYFUNCTION("""COMPUTED_VALUE"""),"Doritos cool ranc")</f>
        <v>Doritos cool ranc</v>
      </c>
    </row>
    <row r="927">
      <c r="A927" s="3">
        <f>IFERROR(__xludf.DUMMYFUNCTION("""COMPUTED_VALUE"""),0.0)</f>
        <v>0</v>
      </c>
      <c r="B927" s="3" t="str">
        <f>IFERROR(__xludf.DUMMYFUNCTION("""COMPUTED_VALUE"""),"未设置")</f>
        <v>未设置</v>
      </c>
    </row>
    <row r="928">
      <c r="A928" s="3">
        <f>IFERROR(__xludf.DUMMYFUNCTION("""COMPUTED_VALUE"""),1.0)</f>
        <v>1</v>
      </c>
      <c r="B928" s="3" t="str">
        <f>IFERROR(__xludf.DUMMYFUNCTION("""COMPUTED_VALUE"""),"Doritos cool ranc")</f>
        <v>Doritos cool ranc</v>
      </c>
    </row>
    <row r="929">
      <c r="A929" s="3">
        <f>IFERROR(__xludf.DUMMYFUNCTION("""COMPUTED_VALUE"""),2.0)</f>
        <v>2</v>
      </c>
      <c r="B929" s="3" t="str">
        <f>IFERROR(__xludf.DUMMYFUNCTION("""COMPUTED_VALUE"""),"Water")</f>
        <v>Water</v>
      </c>
    </row>
    <row r="930">
      <c r="A930" s="3">
        <f>IFERROR(__xludf.DUMMYFUNCTION("""COMPUTED_VALUE"""),19.0)</f>
        <v>19</v>
      </c>
      <c r="B930" s="3" t="str">
        <f>IFERROR(__xludf.DUMMYFUNCTION("""COMPUTED_VALUE"""),"mr bite")</f>
        <v>mr bite</v>
      </c>
    </row>
    <row r="931">
      <c r="A931" s="3">
        <f>IFERROR(__xludf.DUMMYFUNCTION("""COMPUTED_VALUE"""),29.0)</f>
        <v>29</v>
      </c>
      <c r="B931" s="3" t="str">
        <f>IFERROR(__xludf.DUMMYFUNCTION("""COMPUTED_VALUE"""),"Pepsi")</f>
        <v>Pepsi</v>
      </c>
    </row>
    <row r="932">
      <c r="A932" s="3">
        <f>IFERROR(__xludf.DUMMYFUNCTION("""COMPUTED_VALUE"""),32.0)</f>
        <v>32</v>
      </c>
      <c r="B932" s="3" t="str">
        <f>IFERROR(__xludf.DUMMYFUNCTION("""COMPUTED_VALUE"""),"Almarai Chocolate")</f>
        <v>Almarai Chocolate</v>
      </c>
    </row>
    <row r="933">
      <c r="A933" s="3">
        <f>IFERROR(__xludf.DUMMYFUNCTION("""COMPUTED_VALUE"""),36.0)</f>
        <v>36</v>
      </c>
      <c r="B933" s="3" t="str">
        <f>IFERROR(__xludf.DUMMYFUNCTION("""COMPUTED_VALUE"""),"Kunuz Juice")</f>
        <v>Kunuz Juice</v>
      </c>
    </row>
    <row r="934">
      <c r="A934" s="3">
        <f>IFERROR(__xludf.DUMMYFUNCTION("""COMPUTED_VALUE"""),38.0)</f>
        <v>38</v>
      </c>
      <c r="B934" s="3" t="str">
        <f>IFERROR(__xludf.DUMMYFUNCTION("""COMPUTED_VALUE"""),"Lovita cookies")</f>
        <v>Lovita cookies</v>
      </c>
    </row>
    <row r="935">
      <c r="A935" s="3">
        <f>IFERROR(__xludf.DUMMYFUNCTION("""COMPUTED_VALUE"""),52.0)</f>
        <v>52</v>
      </c>
      <c r="B935" s="3" t="str">
        <f>IFERROR(__xludf.DUMMYFUNCTION("""COMPUTED_VALUE"""),"MR Crunch")</f>
        <v>MR Crunch</v>
      </c>
    </row>
    <row r="936">
      <c r="A936" s="3">
        <f>IFERROR(__xludf.DUMMYFUNCTION("""COMPUTED_VALUE"""),54.0)</f>
        <v>54</v>
      </c>
      <c r="B936" s="3" t="str">
        <f>IFERROR(__xludf.DUMMYFUNCTION("""COMPUTED_VALUE"""),"Mirinda")</f>
        <v>Mirinda</v>
      </c>
    </row>
    <row r="937">
      <c r="A937" s="3">
        <f>IFERROR(__xludf.DUMMYFUNCTION("""COMPUTED_VALUE"""),64.0)</f>
        <v>64</v>
      </c>
      <c r="B937" s="3" t="str">
        <f>IFERROR(__xludf.DUMMYFUNCTION("""COMPUTED_VALUE"""),"Almarai Strawberry")</f>
        <v>Almarai Strawberry</v>
      </c>
    </row>
    <row r="938">
      <c r="A938" s="3">
        <f>IFERROR(__xludf.DUMMYFUNCTION("""COMPUTED_VALUE"""),65.0)</f>
        <v>65</v>
      </c>
      <c r="B938" s="3" t="str">
        <f>IFERROR(__xludf.DUMMYFUNCTION("""COMPUTED_VALUE"""),"Dallas juice")</f>
        <v>Dallas juice</v>
      </c>
    </row>
    <row r="939">
      <c r="A939" s="3">
        <f>IFERROR(__xludf.DUMMYFUNCTION("""COMPUTED_VALUE"""),96.0)</f>
        <v>96</v>
      </c>
      <c r="B939" s="3" t="str">
        <f>IFERROR(__xludf.DUMMYFUNCTION("""COMPUTED_VALUE"""),"Doritos green hot")</f>
        <v>Doritos green hot</v>
      </c>
    </row>
    <row r="940">
      <c r="A940" s="3">
        <f>IFERROR(__xludf.DUMMYFUNCTION("""COMPUTED_VALUE"""),99.0)</f>
        <v>99</v>
      </c>
      <c r="B940" s="3" t="str">
        <f>IFERROR(__xludf.DUMMYFUNCTION("""COMPUTED_VALUE"""),"Shani")</f>
        <v>Shani</v>
      </c>
    </row>
    <row r="941">
      <c r="A941" s="3">
        <f>IFERROR(__xludf.DUMMYFUNCTION("""COMPUTED_VALUE"""),100.0)</f>
        <v>100</v>
      </c>
      <c r="B941" s="3" t="str">
        <f>IFERROR(__xludf.DUMMYFUNCTION("""COMPUTED_VALUE"""),"Mr Cruch veggy's")</f>
        <v>Mr Cruch veggy's</v>
      </c>
    </row>
    <row r="942">
      <c r="A942" s="3">
        <f>IFERROR(__xludf.DUMMYFUNCTION("""COMPUTED_VALUE"""),108.0)</f>
        <v>108</v>
      </c>
      <c r="B942" s="3" t="str">
        <f>IFERROR(__xludf.DUMMYFUNCTION("""COMPUTED_VALUE"""),"Shada up")</f>
        <v>Shada up</v>
      </c>
    </row>
    <row r="943">
      <c r="A943" s="3">
        <f>IFERROR(__xludf.DUMMYFUNCTION("""COMPUTED_VALUE"""),126.0)</f>
        <v>126</v>
      </c>
      <c r="B943" s="3" t="str">
        <f>IFERROR(__xludf.DUMMYFUNCTION("""COMPUTED_VALUE"""),"Coach Suntop")</f>
        <v>Coach Suntop</v>
      </c>
    </row>
    <row r="944">
      <c r="A944" s="3">
        <f>IFERROR(__xludf.DUMMYFUNCTION("""COMPUTED_VALUE"""),130.0)</f>
        <v>130</v>
      </c>
      <c r="B944" s="3" t="str">
        <f>IFERROR(__xludf.DUMMYFUNCTION("""COMPUTED_VALUE"""),"Schweppes bullet")</f>
        <v>Schweppes bullet</v>
      </c>
    </row>
    <row r="945">
      <c r="A945" s="3">
        <f>IFERROR(__xludf.DUMMYFUNCTION("""COMPUTED_VALUE"""),1.0)</f>
        <v>1</v>
      </c>
      <c r="B945" s="3" t="str">
        <f>IFERROR(__xludf.DUMMYFUNCTION("""COMPUTED_VALUE"""),"Doritos cool ranc")</f>
        <v>Doritos cool ranc</v>
      </c>
    </row>
    <row r="946">
      <c r="A946" s="3">
        <f>IFERROR(__xludf.DUMMYFUNCTION("""COMPUTED_VALUE"""),2.0)</f>
        <v>2</v>
      </c>
      <c r="B946" s="3" t="str">
        <f>IFERROR(__xludf.DUMMYFUNCTION("""COMPUTED_VALUE"""),"Water")</f>
        <v>Water</v>
      </c>
    </row>
    <row r="947">
      <c r="A947" s="3">
        <f>IFERROR(__xludf.DUMMYFUNCTION("""COMPUTED_VALUE"""),3.0)</f>
        <v>3</v>
      </c>
      <c r="B947" s="3" t="str">
        <f>IFERROR(__xludf.DUMMYFUNCTION("""COMPUTED_VALUE"""),"Maltesers")</f>
        <v>Maltesers</v>
      </c>
    </row>
    <row r="948">
      <c r="A948" s="3">
        <f>IFERROR(__xludf.DUMMYFUNCTION("""COMPUTED_VALUE"""),5.0)</f>
        <v>5</v>
      </c>
      <c r="B948" s="3" t="str">
        <f>IFERROR(__xludf.DUMMYFUNCTION("""COMPUTED_VALUE"""),"Schweppes")</f>
        <v>Schweppes</v>
      </c>
    </row>
    <row r="949">
      <c r="A949" s="3">
        <f>IFERROR(__xludf.DUMMYFUNCTION("""COMPUTED_VALUE"""),11.0)</f>
        <v>11</v>
      </c>
      <c r="B949" s="3" t="str">
        <f>IFERROR(__xludf.DUMMYFUNCTION("""COMPUTED_VALUE"""),"X!R")</f>
        <v>X!R</v>
      </c>
    </row>
    <row r="950">
      <c r="A950" s="3">
        <f>IFERROR(__xludf.DUMMYFUNCTION("""COMPUTED_VALUE"""),14.0)</f>
        <v>14</v>
      </c>
      <c r="B950" s="3" t="str">
        <f>IFERROR(__xludf.DUMMYFUNCTION("""COMPUTED_VALUE"""),"Kinder Bueno")</f>
        <v>Kinder Bueno</v>
      </c>
    </row>
    <row r="951">
      <c r="A951" s="3">
        <f>IFERROR(__xludf.DUMMYFUNCTION("""COMPUTED_VALUE"""),16.0)</f>
        <v>16</v>
      </c>
      <c r="B951" s="3" t="str">
        <f>IFERROR(__xludf.DUMMYFUNCTION("""COMPUTED_VALUE"""),"wafe'up")</f>
        <v>wafe'up</v>
      </c>
    </row>
    <row r="952">
      <c r="A952" s="3">
        <f>IFERROR(__xludf.DUMMYFUNCTION("""COMPUTED_VALUE"""),19.0)</f>
        <v>19</v>
      </c>
      <c r="B952" s="3" t="str">
        <f>IFERROR(__xludf.DUMMYFUNCTION("""COMPUTED_VALUE"""),"mr bite")</f>
        <v>mr bite</v>
      </c>
    </row>
    <row r="953">
      <c r="A953" s="3">
        <f>IFERROR(__xludf.DUMMYFUNCTION("""COMPUTED_VALUE"""),21.0)</f>
        <v>21</v>
      </c>
      <c r="B953" s="3" t="str">
        <f>IFERROR(__xludf.DUMMYFUNCTION("""COMPUTED_VALUE"""),"Laviva")</f>
        <v>Laviva</v>
      </c>
    </row>
    <row r="954">
      <c r="A954" s="3">
        <f>IFERROR(__xludf.DUMMYFUNCTION("""COMPUTED_VALUE"""),23.0)</f>
        <v>23</v>
      </c>
      <c r="B954" s="3" t="str">
        <f>IFERROR(__xludf.DUMMYFUNCTION("""COMPUTED_VALUE"""),"Freez")</f>
        <v>Freez</v>
      </c>
    </row>
    <row r="955">
      <c r="A955" s="3">
        <f>IFERROR(__xludf.DUMMYFUNCTION("""COMPUTED_VALUE"""),25.0)</f>
        <v>25</v>
      </c>
      <c r="B955" s="3" t="str">
        <f>IFERROR(__xludf.DUMMYFUNCTION("""COMPUTED_VALUE"""),"Twix")</f>
        <v>Twix</v>
      </c>
    </row>
    <row r="956">
      <c r="A956" s="3">
        <f>IFERROR(__xludf.DUMMYFUNCTION("""COMPUTED_VALUE"""),27.0)</f>
        <v>27</v>
      </c>
      <c r="B956" s="3" t="str">
        <f>IFERROR(__xludf.DUMMYFUNCTION("""COMPUTED_VALUE"""),"Gardena")</f>
        <v>Gardena</v>
      </c>
    </row>
    <row r="957">
      <c r="A957" s="3">
        <f>IFERROR(__xludf.DUMMYFUNCTION("""COMPUTED_VALUE"""),28.0)</f>
        <v>28</v>
      </c>
      <c r="B957" s="3" t="str">
        <f>IFERROR(__xludf.DUMMYFUNCTION("""COMPUTED_VALUE"""),"Snickers")</f>
        <v>Snickers</v>
      </c>
    </row>
    <row r="958">
      <c r="A958" s="3">
        <f>IFERROR(__xludf.DUMMYFUNCTION("""COMPUTED_VALUE"""),29.0)</f>
        <v>29</v>
      </c>
      <c r="B958" s="3" t="str">
        <f>IFERROR(__xludf.DUMMYFUNCTION("""COMPUTED_VALUE"""),"Pepsi")</f>
        <v>Pepsi</v>
      </c>
    </row>
    <row r="959">
      <c r="A959" s="3">
        <f>IFERROR(__xludf.DUMMYFUNCTION("""COMPUTED_VALUE"""),32.0)</f>
        <v>32</v>
      </c>
      <c r="B959" s="3" t="str">
        <f>IFERROR(__xludf.DUMMYFUNCTION("""COMPUTED_VALUE"""),"Almarai Chocolate")</f>
        <v>Almarai Chocolate</v>
      </c>
    </row>
    <row r="960">
      <c r="A960" s="3">
        <f>IFERROR(__xludf.DUMMYFUNCTION("""COMPUTED_VALUE"""),33.0)</f>
        <v>33</v>
      </c>
      <c r="B960" s="3" t="str">
        <f>IFERROR(__xludf.DUMMYFUNCTION("""COMPUTED_VALUE"""),"Corissant Karuzo")</f>
        <v>Corissant Karuzo</v>
      </c>
    </row>
    <row r="961">
      <c r="A961" s="3">
        <f>IFERROR(__xludf.DUMMYFUNCTION("""COMPUTED_VALUE"""),36.0)</f>
        <v>36</v>
      </c>
      <c r="B961" s="3" t="str">
        <f>IFERROR(__xludf.DUMMYFUNCTION("""COMPUTED_VALUE"""),"Kunuz Juice")</f>
        <v>Kunuz Juice</v>
      </c>
    </row>
    <row r="962">
      <c r="A962" s="3">
        <f>IFERROR(__xludf.DUMMYFUNCTION("""COMPUTED_VALUE"""),36.0)</f>
        <v>36</v>
      </c>
      <c r="B962" s="3" t="str">
        <f>IFERROR(__xludf.DUMMYFUNCTION("""COMPUTED_VALUE"""),"vitrac")</f>
        <v>vitrac</v>
      </c>
    </row>
    <row r="963">
      <c r="A963" s="3">
        <f>IFERROR(__xludf.DUMMYFUNCTION("""COMPUTED_VALUE"""),38.0)</f>
        <v>38</v>
      </c>
      <c r="B963" s="3" t="str">
        <f>IFERROR(__xludf.DUMMYFUNCTION("""COMPUTED_VALUE"""),"Lovita cookies")</f>
        <v>Lovita cookies</v>
      </c>
    </row>
    <row r="964">
      <c r="A964" s="3">
        <f>IFERROR(__xludf.DUMMYFUNCTION("""COMPUTED_VALUE"""),44.0)</f>
        <v>44</v>
      </c>
      <c r="B964" s="3" t="str">
        <f>IFERROR(__xludf.DUMMYFUNCTION("""COMPUTED_VALUE"""),"Caser Juice")</f>
        <v>Caser Juice</v>
      </c>
    </row>
    <row r="965">
      <c r="A965" s="3">
        <f>IFERROR(__xludf.DUMMYFUNCTION("""COMPUTED_VALUE"""),52.0)</f>
        <v>52</v>
      </c>
      <c r="B965" s="3" t="str">
        <f>IFERROR(__xludf.DUMMYFUNCTION("""COMPUTED_VALUE"""),"MR Crunch")</f>
        <v>MR Crunch</v>
      </c>
    </row>
    <row r="966">
      <c r="A966" s="3">
        <f>IFERROR(__xludf.DUMMYFUNCTION("""COMPUTED_VALUE"""),53.0)</f>
        <v>53</v>
      </c>
      <c r="B966" s="3" t="str">
        <f>IFERROR(__xludf.DUMMYFUNCTION("""COMPUTED_VALUE"""),"7up")</f>
        <v>7up</v>
      </c>
    </row>
    <row r="967">
      <c r="A967" s="3">
        <f>IFERROR(__xludf.DUMMYFUNCTION("""COMPUTED_VALUE"""),54.0)</f>
        <v>54</v>
      </c>
      <c r="B967" s="3" t="str">
        <f>IFERROR(__xludf.DUMMYFUNCTION("""COMPUTED_VALUE"""),"Mirinda")</f>
        <v>Mirinda</v>
      </c>
    </row>
    <row r="968">
      <c r="A968" s="3">
        <f>IFERROR(__xludf.DUMMYFUNCTION("""COMPUTED_VALUE"""),64.0)</f>
        <v>64</v>
      </c>
      <c r="B968" s="3" t="str">
        <f>IFERROR(__xludf.DUMMYFUNCTION("""COMPUTED_VALUE"""),"Almarai Strawberry")</f>
        <v>Almarai Strawberry</v>
      </c>
    </row>
    <row r="969">
      <c r="A969" s="3">
        <f>IFERROR(__xludf.DUMMYFUNCTION("""COMPUTED_VALUE"""),88.0)</f>
        <v>88</v>
      </c>
      <c r="B969" s="3" t="str">
        <f>IFERROR(__xludf.DUMMYFUNCTION("""COMPUTED_VALUE"""),"brownies moulin")</f>
        <v>brownies moulin</v>
      </c>
    </row>
    <row r="970">
      <c r="A970" s="3">
        <f>IFERROR(__xludf.DUMMYFUNCTION("""COMPUTED_VALUE"""),96.0)</f>
        <v>96</v>
      </c>
      <c r="B970" s="3" t="str">
        <f>IFERROR(__xludf.DUMMYFUNCTION("""COMPUTED_VALUE"""),"Doritos green hot")</f>
        <v>Doritos green hot</v>
      </c>
    </row>
    <row r="971">
      <c r="A971" s="3">
        <f>IFERROR(__xludf.DUMMYFUNCTION("""COMPUTED_VALUE"""),96.0)</f>
        <v>96</v>
      </c>
      <c r="B971" s="3" t="str">
        <f>IFERROR(__xludf.DUMMYFUNCTION("""COMPUTED_VALUE"""),"Doritos green hot")</f>
        <v>Doritos green hot</v>
      </c>
    </row>
    <row r="972">
      <c r="A972" s="3">
        <f>IFERROR(__xludf.DUMMYFUNCTION("""COMPUTED_VALUE"""),97.0)</f>
        <v>97</v>
      </c>
      <c r="B972" s="3" t="str">
        <f>IFERROR(__xludf.DUMMYFUNCTION("""COMPUTED_VALUE"""),"Doritos nacho")</f>
        <v>Doritos nacho</v>
      </c>
    </row>
    <row r="973">
      <c r="A973" s="3">
        <f>IFERROR(__xludf.DUMMYFUNCTION("""COMPUTED_VALUE"""),98.0)</f>
        <v>98</v>
      </c>
      <c r="B973" s="3" t="str">
        <f>IFERROR(__xludf.DUMMYFUNCTION("""COMPUTED_VALUE"""),"Barbican")</f>
        <v>Barbican</v>
      </c>
    </row>
    <row r="974">
      <c r="A974" s="3">
        <f>IFERROR(__xludf.DUMMYFUNCTION("""COMPUTED_VALUE"""),99.0)</f>
        <v>99</v>
      </c>
      <c r="B974" s="3" t="str">
        <f>IFERROR(__xludf.DUMMYFUNCTION("""COMPUTED_VALUE"""),"Shani")</f>
        <v>Shani</v>
      </c>
    </row>
    <row r="975">
      <c r="A975" s="3">
        <f>IFERROR(__xludf.DUMMYFUNCTION("""COMPUTED_VALUE"""),111.0)</f>
        <v>111</v>
      </c>
      <c r="B975" s="3" t="str">
        <f>IFERROR(__xludf.DUMMYFUNCTION("""COMPUTED_VALUE"""),"Rayhan suntop")</f>
        <v>Rayhan suntop</v>
      </c>
    </row>
    <row r="976">
      <c r="A976" s="3">
        <f>IFERROR(__xludf.DUMMYFUNCTION("""COMPUTED_VALUE"""),114.0)</f>
        <v>114</v>
      </c>
      <c r="B976" s="3" t="str">
        <f>IFERROR(__xludf.DUMMYFUNCTION("""COMPUTED_VALUE"""),"Tiger excellence")</f>
        <v>Tiger excellence</v>
      </c>
    </row>
    <row r="977">
      <c r="A977" s="3">
        <f>IFERROR(__xludf.DUMMYFUNCTION("""COMPUTED_VALUE"""),122.0)</f>
        <v>122</v>
      </c>
      <c r="B977" s="3" t="str">
        <f>IFERROR(__xludf.DUMMYFUNCTION("""COMPUTED_VALUE"""),"Savi stix")</f>
        <v>Savi stix</v>
      </c>
    </row>
    <row r="978">
      <c r="A978" s="3">
        <f>IFERROR(__xludf.DUMMYFUNCTION("""COMPUTED_VALUE"""),130.0)</f>
        <v>130</v>
      </c>
      <c r="B978" s="3" t="str">
        <f>IFERROR(__xludf.DUMMYFUNCTION("""COMPUTED_VALUE"""),"Schweppes bullet")</f>
        <v>Schweppes bullet</v>
      </c>
    </row>
    <row r="979">
      <c r="A979" s="3">
        <f>IFERROR(__xludf.DUMMYFUNCTION("""COMPUTED_VALUE"""),137.0)</f>
        <v>137</v>
      </c>
      <c r="B979" s="3" t="str">
        <f>IFERROR(__xludf.DUMMYFUNCTION("""COMPUTED_VALUE"""),"Doritos red hot")</f>
        <v>Doritos red hot</v>
      </c>
    </row>
    <row r="980">
      <c r="A980" s="3">
        <f>IFERROR(__xludf.DUMMYFUNCTION("""COMPUTED_VALUE"""),137.0)</f>
        <v>137</v>
      </c>
      <c r="B980" s="3" t="str">
        <f>IFERROR(__xludf.DUMMYFUNCTION("""COMPUTED_VALUE"""),"Doritos cool ranc")</f>
        <v>Doritos cool ranc</v>
      </c>
    </row>
    <row r="981">
      <c r="A981" s="3">
        <f>IFERROR(__xludf.DUMMYFUNCTION("""COMPUTED_VALUE"""),138.0)</f>
        <v>138</v>
      </c>
      <c r="B981" s="3" t="str">
        <f>IFERROR(__xludf.DUMMYFUNCTION("""COMPUTED_VALUE"""),"Twix wafer roll")</f>
        <v>Twix wafer roll</v>
      </c>
    </row>
    <row r="982">
      <c r="A982" s="3">
        <f>IFERROR(__xludf.DUMMYFUNCTION("""COMPUTED_VALUE"""),139.0)</f>
        <v>139</v>
      </c>
      <c r="B982" s="3" t="str">
        <f>IFERROR(__xludf.DUMMYFUNCTION("""COMPUTED_VALUE"""),"Galaxy wafer roll")</f>
        <v>Galaxy wafer roll</v>
      </c>
    </row>
    <row r="983">
      <c r="A983" s="3">
        <f>IFERROR(__xludf.DUMMYFUNCTION("""COMPUTED_VALUE"""),142.0)</f>
        <v>142</v>
      </c>
      <c r="B983" s="3" t="str">
        <f>IFERROR(__xludf.DUMMYFUNCTION("""COMPUTED_VALUE"""),"Sweeto jelly")</f>
        <v>Sweeto jelly</v>
      </c>
    </row>
    <row r="984">
      <c r="A984" s="3">
        <f>IFERROR(__xludf.DUMMYFUNCTION("""COMPUTED_VALUE"""),145.0)</f>
        <v>145</v>
      </c>
      <c r="B984" s="3" t="str">
        <f>IFERROR(__xludf.DUMMYFUNCTION("""COMPUTED_VALUE"""),"Snickers wafer roll")</f>
        <v>Snickers wafer roll</v>
      </c>
    </row>
    <row r="985">
      <c r="A985" s="3">
        <f>IFERROR(__xludf.DUMMYFUNCTION("""COMPUTED_VALUE"""),1.0)</f>
        <v>1</v>
      </c>
      <c r="B985" s="3" t="str">
        <f>IFERROR(__xludf.DUMMYFUNCTION("""COMPUTED_VALUE"""),"Doritos cool ranc")</f>
        <v>Doritos cool ranc</v>
      </c>
    </row>
    <row r="986">
      <c r="A986" s="3">
        <f>IFERROR(__xludf.DUMMYFUNCTION("""COMPUTED_VALUE"""),2.0)</f>
        <v>2</v>
      </c>
      <c r="B986" s="3" t="str">
        <f>IFERROR(__xludf.DUMMYFUNCTION("""COMPUTED_VALUE"""),"Water")</f>
        <v>Water</v>
      </c>
    </row>
    <row r="987">
      <c r="A987" s="3">
        <f>IFERROR(__xludf.DUMMYFUNCTION("""COMPUTED_VALUE"""),8.0)</f>
        <v>8</v>
      </c>
      <c r="B987" s="3" t="str">
        <f>IFERROR(__xludf.DUMMYFUNCTION("""COMPUTED_VALUE"""),"Xo Energy")</f>
        <v>Xo Energy</v>
      </c>
    </row>
    <row r="988">
      <c r="A988" s="3">
        <f>IFERROR(__xludf.DUMMYFUNCTION("""COMPUTED_VALUE"""),10.0)</f>
        <v>10</v>
      </c>
      <c r="B988" s="3" t="str">
        <f>IFERROR(__xludf.DUMMYFUNCTION("""COMPUTED_VALUE"""),"Skittles")</f>
        <v>Skittles</v>
      </c>
    </row>
    <row r="989">
      <c r="A989" s="3">
        <f>IFERROR(__xludf.DUMMYFUNCTION("""COMPUTED_VALUE"""),11.0)</f>
        <v>11</v>
      </c>
      <c r="B989" s="3" t="str">
        <f>IFERROR(__xludf.DUMMYFUNCTION("""COMPUTED_VALUE"""),"X!R")</f>
        <v>X!R</v>
      </c>
    </row>
    <row r="990">
      <c r="A990" s="3">
        <f>IFERROR(__xludf.DUMMYFUNCTION("""COMPUTED_VALUE"""),14.0)</f>
        <v>14</v>
      </c>
      <c r="B990" s="3" t="str">
        <f>IFERROR(__xludf.DUMMYFUNCTION("""COMPUTED_VALUE"""),"Kinder Bueno")</f>
        <v>Kinder Bueno</v>
      </c>
    </row>
    <row r="991">
      <c r="A991" s="3">
        <f>IFERROR(__xludf.DUMMYFUNCTION("""COMPUTED_VALUE"""),19.0)</f>
        <v>19</v>
      </c>
      <c r="B991" s="3" t="str">
        <f>IFERROR(__xludf.DUMMYFUNCTION("""COMPUTED_VALUE"""),"mr bite")</f>
        <v>mr bite</v>
      </c>
    </row>
    <row r="992">
      <c r="A992" s="3">
        <f>IFERROR(__xludf.DUMMYFUNCTION("""COMPUTED_VALUE"""),21.0)</f>
        <v>21</v>
      </c>
      <c r="B992" s="3" t="str">
        <f>IFERROR(__xludf.DUMMYFUNCTION("""COMPUTED_VALUE"""),"Laviva")</f>
        <v>Laviva</v>
      </c>
    </row>
    <row r="993">
      <c r="A993" s="3">
        <f>IFERROR(__xludf.DUMMYFUNCTION("""COMPUTED_VALUE"""),28.0)</f>
        <v>28</v>
      </c>
      <c r="B993" s="3" t="str">
        <f>IFERROR(__xludf.DUMMYFUNCTION("""COMPUTED_VALUE"""),"Snickers")</f>
        <v>Snickers</v>
      </c>
    </row>
    <row r="994">
      <c r="A994" s="3">
        <f>IFERROR(__xludf.DUMMYFUNCTION("""COMPUTED_VALUE"""),29.0)</f>
        <v>29</v>
      </c>
      <c r="B994" s="3" t="str">
        <f>IFERROR(__xludf.DUMMYFUNCTION("""COMPUTED_VALUE"""),"Pepsi")</f>
        <v>Pepsi</v>
      </c>
    </row>
    <row r="995">
      <c r="A995" s="3">
        <f>IFERROR(__xludf.DUMMYFUNCTION("""COMPUTED_VALUE"""),32.0)</f>
        <v>32</v>
      </c>
      <c r="B995" s="3" t="str">
        <f>IFERROR(__xludf.DUMMYFUNCTION("""COMPUTED_VALUE"""),"Almarai Chocolate")</f>
        <v>Almarai Chocolate</v>
      </c>
    </row>
    <row r="996">
      <c r="A996" s="3">
        <f>IFERROR(__xludf.DUMMYFUNCTION("""COMPUTED_VALUE"""),49.0)</f>
        <v>49</v>
      </c>
      <c r="B996" s="3" t="str">
        <f>IFERROR(__xludf.DUMMYFUNCTION("""COMPUTED_VALUE"""),"Haribo")</f>
        <v>Haribo</v>
      </c>
    </row>
    <row r="997">
      <c r="A997" s="3">
        <f>IFERROR(__xludf.DUMMYFUNCTION("""COMPUTED_VALUE"""),52.0)</f>
        <v>52</v>
      </c>
      <c r="B997" s="3" t="str">
        <f>IFERROR(__xludf.DUMMYFUNCTION("""COMPUTED_VALUE"""),"MR Crunch")</f>
        <v>MR Crunch</v>
      </c>
    </row>
    <row r="998">
      <c r="A998" s="3">
        <f>IFERROR(__xludf.DUMMYFUNCTION("""COMPUTED_VALUE"""),53.0)</f>
        <v>53</v>
      </c>
      <c r="B998" s="3" t="str">
        <f>IFERROR(__xludf.DUMMYFUNCTION("""COMPUTED_VALUE"""),"7up")</f>
        <v>7up</v>
      </c>
    </row>
    <row r="999">
      <c r="A999" s="3">
        <f>IFERROR(__xludf.DUMMYFUNCTION("""COMPUTED_VALUE"""),54.0)</f>
        <v>54</v>
      </c>
      <c r="B999" s="3" t="str">
        <f>IFERROR(__xludf.DUMMYFUNCTION("""COMPUTED_VALUE"""),"Mirinda")</f>
        <v>Mirinda</v>
      </c>
    </row>
    <row r="1000">
      <c r="A1000" s="3">
        <f>IFERROR(__xludf.DUMMYFUNCTION("""COMPUTED_VALUE"""),64.0)</f>
        <v>64</v>
      </c>
      <c r="B1000" s="3" t="str">
        <f>IFERROR(__xludf.DUMMYFUNCTION("""COMPUTED_VALUE"""),"Almarai Strawberry")</f>
        <v>Almarai Strawberry</v>
      </c>
    </row>
    <row r="1001">
      <c r="A1001" s="3">
        <f>IFERROR(__xludf.DUMMYFUNCTION("""COMPUTED_VALUE"""),66.0)</f>
        <v>66</v>
      </c>
      <c r="B1001" s="3" t="str">
        <f>IFERROR(__xludf.DUMMYFUNCTION("""COMPUTED_VALUE"""),"Prime Ex")</f>
        <v>Prime Ex</v>
      </c>
    </row>
    <row r="1002">
      <c r="A1002" s="3">
        <f>IFERROR(__xludf.DUMMYFUNCTION("""COMPUTED_VALUE"""),91.0)</f>
        <v>91</v>
      </c>
      <c r="B1002" s="3" t="str">
        <f>IFERROR(__xludf.DUMMYFUNCTION("""COMPUTED_VALUE"""),"Tiger *12 Cheese")</f>
        <v>Tiger *12 Cheese</v>
      </c>
    </row>
    <row r="1003">
      <c r="A1003" s="3">
        <f>IFERROR(__xludf.DUMMYFUNCTION("""COMPUTED_VALUE"""),94.0)</f>
        <v>94</v>
      </c>
      <c r="B1003" s="3" t="str">
        <f>IFERROR(__xludf.DUMMYFUNCTION("""COMPUTED_VALUE"""),"Tiger 12 chili and lemon")</f>
        <v>Tiger 12 chili and lemon</v>
      </c>
    </row>
    <row r="1004">
      <c r="A1004" s="3">
        <f>IFERROR(__xludf.DUMMYFUNCTION("""COMPUTED_VALUE"""),96.0)</f>
        <v>96</v>
      </c>
      <c r="B1004" s="3" t="str">
        <f>IFERROR(__xludf.DUMMYFUNCTION("""COMPUTED_VALUE"""),"Doritos green hot")</f>
        <v>Doritos green hot</v>
      </c>
    </row>
    <row r="1005">
      <c r="A1005" s="3">
        <f>IFERROR(__xludf.DUMMYFUNCTION("""COMPUTED_VALUE"""),96.0)</f>
        <v>96</v>
      </c>
      <c r="B1005" s="3" t="str">
        <f>IFERROR(__xludf.DUMMYFUNCTION("""COMPUTED_VALUE"""),"Doritos green hot")</f>
        <v>Doritos green hot</v>
      </c>
    </row>
    <row r="1006">
      <c r="A1006" s="3">
        <f>IFERROR(__xludf.DUMMYFUNCTION("""COMPUTED_VALUE"""),97.0)</f>
        <v>97</v>
      </c>
      <c r="B1006" s="3" t="str">
        <f>IFERROR(__xludf.DUMMYFUNCTION("""COMPUTED_VALUE"""),"Doritos nacho")</f>
        <v>Doritos nacho</v>
      </c>
    </row>
    <row r="1007">
      <c r="A1007" s="3">
        <f>IFERROR(__xludf.DUMMYFUNCTION("""COMPUTED_VALUE"""),99.0)</f>
        <v>99</v>
      </c>
      <c r="B1007" s="3" t="str">
        <f>IFERROR(__xludf.DUMMYFUNCTION("""COMPUTED_VALUE"""),"Shani")</f>
        <v>Shani</v>
      </c>
    </row>
    <row r="1008">
      <c r="A1008" s="3">
        <f>IFERROR(__xludf.DUMMYFUNCTION("""COMPUTED_VALUE"""),100.0)</f>
        <v>100</v>
      </c>
      <c r="B1008" s="3" t="str">
        <f>IFERROR(__xludf.DUMMYFUNCTION("""COMPUTED_VALUE"""),"Mr Cruch veggy's")</f>
        <v>Mr Cruch veggy's</v>
      </c>
    </row>
    <row r="1009">
      <c r="A1009" s="3">
        <f>IFERROR(__xludf.DUMMYFUNCTION("""COMPUTED_VALUE"""),114.0)</f>
        <v>114</v>
      </c>
      <c r="B1009" s="3" t="str">
        <f>IFERROR(__xludf.DUMMYFUNCTION("""COMPUTED_VALUE"""),"Tiger excellence")</f>
        <v>Tiger excellence</v>
      </c>
    </row>
    <row r="1010">
      <c r="A1010" s="3">
        <f>IFERROR(__xludf.DUMMYFUNCTION("""COMPUTED_VALUE"""),119.0)</f>
        <v>119</v>
      </c>
      <c r="B1010" s="3" t="str">
        <f>IFERROR(__xludf.DUMMYFUNCTION("""COMPUTED_VALUE"""),"Turbo strips")</f>
        <v>Turbo strips</v>
      </c>
    </row>
    <row r="1011">
      <c r="A1011" s="3">
        <f>IFERROR(__xludf.DUMMYFUNCTION("""COMPUTED_VALUE"""),120.0)</f>
        <v>120</v>
      </c>
      <c r="B1011" s="3" t="str">
        <f>IFERROR(__xludf.DUMMYFUNCTION("""COMPUTED_VALUE"""),"Chillax chips")</f>
        <v>Chillax chips</v>
      </c>
    </row>
    <row r="1012">
      <c r="A1012" s="3">
        <f>IFERROR(__xludf.DUMMYFUNCTION("""COMPUTED_VALUE"""),126.0)</f>
        <v>126</v>
      </c>
      <c r="B1012" s="3" t="str">
        <f>IFERROR(__xludf.DUMMYFUNCTION("""COMPUTED_VALUE"""),"Coach Suntop")</f>
        <v>Coach Suntop</v>
      </c>
    </row>
    <row r="1013">
      <c r="A1013" s="3">
        <f>IFERROR(__xludf.DUMMYFUNCTION("""COMPUTED_VALUE"""),130.0)</f>
        <v>130</v>
      </c>
      <c r="B1013" s="3" t="str">
        <f>IFERROR(__xludf.DUMMYFUNCTION("""COMPUTED_VALUE"""),"Schweppes bullet")</f>
        <v>Schweppes bullet</v>
      </c>
    </row>
    <row r="1014">
      <c r="A1014" s="3">
        <f>IFERROR(__xludf.DUMMYFUNCTION("""COMPUTED_VALUE"""),136.0)</f>
        <v>136</v>
      </c>
      <c r="B1014" s="3" t="str">
        <f>IFERROR(__xludf.DUMMYFUNCTION("""COMPUTED_VALUE"""),"Haribo 80g")</f>
        <v>Haribo 80g</v>
      </c>
    </row>
    <row r="1015">
      <c r="A1015" s="3">
        <f>IFERROR(__xludf.DUMMYFUNCTION("""COMPUTED_VALUE"""),137.0)</f>
        <v>137</v>
      </c>
      <c r="B1015" s="3" t="str">
        <f>IFERROR(__xludf.DUMMYFUNCTION("""COMPUTED_VALUE"""),"Doritos red hot")</f>
        <v>Doritos red hot</v>
      </c>
    </row>
    <row r="1016">
      <c r="A1016" s="3">
        <f>IFERROR(__xludf.DUMMYFUNCTION("""COMPUTED_VALUE"""),137.0)</f>
        <v>137</v>
      </c>
      <c r="B1016" s="3" t="str">
        <f>IFERROR(__xludf.DUMMYFUNCTION("""COMPUTED_VALUE"""),"Doritos cool ranc")</f>
        <v>Doritos cool ranc</v>
      </c>
    </row>
    <row r="1017">
      <c r="A1017" s="3">
        <f>IFERROR(__xludf.DUMMYFUNCTION("""COMPUTED_VALUE"""),138.0)</f>
        <v>138</v>
      </c>
      <c r="B1017" s="3" t="str">
        <f>IFERROR(__xludf.DUMMYFUNCTION("""COMPUTED_VALUE"""),"Twix wafer roll")</f>
        <v>Twix wafer roll</v>
      </c>
    </row>
    <row r="1018">
      <c r="A1018" s="3">
        <f>IFERROR(__xludf.DUMMYFUNCTION("""COMPUTED_VALUE"""),139.0)</f>
        <v>139</v>
      </c>
      <c r="B1018" s="3" t="str">
        <f>IFERROR(__xludf.DUMMYFUNCTION("""COMPUTED_VALUE"""),"Galaxy wafer roll")</f>
        <v>Galaxy wafer roll</v>
      </c>
    </row>
    <row r="1019">
      <c r="A1019" s="3">
        <f>IFERROR(__xludf.DUMMYFUNCTION("""COMPUTED_VALUE"""),140.0)</f>
        <v>140</v>
      </c>
      <c r="B1019" s="3" t="str">
        <f>IFERROR(__xludf.DUMMYFUNCTION("""COMPUTED_VALUE"""),"Bounty wafer roll")</f>
        <v>Bounty wafer roll</v>
      </c>
    </row>
    <row r="1020">
      <c r="A1020" s="3">
        <f>IFERROR(__xludf.DUMMYFUNCTION("""COMPUTED_VALUE"""),141.0)</f>
        <v>141</v>
      </c>
      <c r="B1020" s="3" t="str">
        <f>IFERROR(__xludf.DUMMYFUNCTION("""COMPUTED_VALUE"""),"BeBeto marshmello")</f>
        <v>BeBeto marshmello</v>
      </c>
    </row>
    <row r="1021">
      <c r="A1021" s="3">
        <f>IFERROR(__xludf.DUMMYFUNCTION("""COMPUTED_VALUE"""),142.0)</f>
        <v>142</v>
      </c>
      <c r="B1021" s="3" t="str">
        <f>IFERROR(__xludf.DUMMYFUNCTION("""COMPUTED_VALUE"""),"Sweeto jelly")</f>
        <v>Sweeto jelly</v>
      </c>
    </row>
    <row r="1022">
      <c r="A1022" s="3">
        <f>IFERROR(__xludf.DUMMYFUNCTION("""COMPUTED_VALUE"""),143.0)</f>
        <v>143</v>
      </c>
      <c r="B1022" s="3" t="str">
        <f>IFERROR(__xludf.DUMMYFUNCTION("""COMPUTED_VALUE"""),"Doritos BBQ")</f>
        <v>Doritos BBQ</v>
      </c>
    </row>
    <row r="1023">
      <c r="A1023" s="3">
        <f>IFERROR(__xludf.DUMMYFUNCTION("""COMPUTED_VALUE"""),145.0)</f>
        <v>145</v>
      </c>
      <c r="B1023" s="3" t="str">
        <f>IFERROR(__xludf.DUMMYFUNCTION("""COMPUTED_VALUE"""),"Snickers wafer roll")</f>
        <v>Snickers wafer roll</v>
      </c>
    </row>
    <row r="1024">
      <c r="A1024" s="3">
        <f>IFERROR(__xludf.DUMMYFUNCTION("""COMPUTED_VALUE"""),1.0)</f>
        <v>1</v>
      </c>
      <c r="B1024" s="3" t="str">
        <f>IFERROR(__xludf.DUMMYFUNCTION("""COMPUTED_VALUE"""),"Doritos cool ranc")</f>
        <v>Doritos cool ranc</v>
      </c>
    </row>
    <row r="1025">
      <c r="A1025" s="3">
        <f>IFERROR(__xludf.DUMMYFUNCTION("""COMPUTED_VALUE"""),2.0)</f>
        <v>2</v>
      </c>
      <c r="B1025" s="3" t="str">
        <f>IFERROR(__xludf.DUMMYFUNCTION("""COMPUTED_VALUE"""),"Water")</f>
        <v>Water</v>
      </c>
    </row>
    <row r="1026">
      <c r="A1026" s="3">
        <f>IFERROR(__xludf.DUMMYFUNCTION("""COMPUTED_VALUE"""),3.0)</f>
        <v>3</v>
      </c>
      <c r="B1026" s="3" t="str">
        <f>IFERROR(__xludf.DUMMYFUNCTION("""COMPUTED_VALUE"""),"Maltesers")</f>
        <v>Maltesers</v>
      </c>
    </row>
    <row r="1027">
      <c r="A1027" s="3">
        <f>IFERROR(__xludf.DUMMYFUNCTION("""COMPUTED_VALUE"""),11.0)</f>
        <v>11</v>
      </c>
      <c r="B1027" s="3" t="str">
        <f>IFERROR(__xludf.DUMMYFUNCTION("""COMPUTED_VALUE"""),"X!R")</f>
        <v>X!R</v>
      </c>
    </row>
    <row r="1028">
      <c r="A1028" s="3">
        <f>IFERROR(__xludf.DUMMYFUNCTION("""COMPUTED_VALUE"""),14.0)</f>
        <v>14</v>
      </c>
      <c r="B1028" s="3" t="str">
        <f>IFERROR(__xludf.DUMMYFUNCTION("""COMPUTED_VALUE"""),"Kinder Bueno")</f>
        <v>Kinder Bueno</v>
      </c>
    </row>
    <row r="1029">
      <c r="A1029" s="3">
        <f>IFERROR(__xludf.DUMMYFUNCTION("""COMPUTED_VALUE"""),15.0)</f>
        <v>15</v>
      </c>
      <c r="B1029" s="3" t="str">
        <f>IFERROR(__xludf.DUMMYFUNCTION("""COMPUTED_VALUE"""),"kinza")</f>
        <v>kinza</v>
      </c>
    </row>
    <row r="1030">
      <c r="A1030" s="3">
        <f>IFERROR(__xludf.DUMMYFUNCTION("""COMPUTED_VALUE"""),16.0)</f>
        <v>16</v>
      </c>
      <c r="B1030" s="3" t="str">
        <f>IFERROR(__xludf.DUMMYFUNCTION("""COMPUTED_VALUE"""),"wafe'up")</f>
        <v>wafe'up</v>
      </c>
    </row>
    <row r="1031">
      <c r="A1031" s="3">
        <f>IFERROR(__xludf.DUMMYFUNCTION("""COMPUTED_VALUE"""),19.0)</f>
        <v>19</v>
      </c>
      <c r="B1031" s="3" t="str">
        <f>IFERROR(__xludf.DUMMYFUNCTION("""COMPUTED_VALUE"""),"mr bite")</f>
        <v>mr bite</v>
      </c>
    </row>
    <row r="1032">
      <c r="A1032" s="3">
        <f>IFERROR(__xludf.DUMMYFUNCTION("""COMPUTED_VALUE"""),21.0)</f>
        <v>21</v>
      </c>
      <c r="B1032" s="3" t="str">
        <f>IFERROR(__xludf.DUMMYFUNCTION("""COMPUTED_VALUE"""),"Laviva")</f>
        <v>Laviva</v>
      </c>
    </row>
    <row r="1033">
      <c r="A1033" s="3">
        <f>IFERROR(__xludf.DUMMYFUNCTION("""COMPUTED_VALUE"""),23.0)</f>
        <v>23</v>
      </c>
      <c r="B1033" s="3" t="str">
        <f>IFERROR(__xludf.DUMMYFUNCTION("""COMPUTED_VALUE"""),"Freez")</f>
        <v>Freez</v>
      </c>
    </row>
    <row r="1034">
      <c r="A1034" s="3">
        <f>IFERROR(__xludf.DUMMYFUNCTION("""COMPUTED_VALUE"""),25.0)</f>
        <v>25</v>
      </c>
      <c r="B1034" s="3" t="str">
        <f>IFERROR(__xludf.DUMMYFUNCTION("""COMPUTED_VALUE"""),"Twix")</f>
        <v>Twix</v>
      </c>
    </row>
    <row r="1035">
      <c r="A1035" s="3">
        <f>IFERROR(__xludf.DUMMYFUNCTION("""COMPUTED_VALUE"""),27.0)</f>
        <v>27</v>
      </c>
      <c r="B1035" s="3" t="str">
        <f>IFERROR(__xludf.DUMMYFUNCTION("""COMPUTED_VALUE"""),"Gardena")</f>
        <v>Gardena</v>
      </c>
    </row>
    <row r="1036">
      <c r="A1036" s="3">
        <f>IFERROR(__xludf.DUMMYFUNCTION("""COMPUTED_VALUE"""),29.0)</f>
        <v>29</v>
      </c>
      <c r="B1036" s="3" t="str">
        <f>IFERROR(__xludf.DUMMYFUNCTION("""COMPUTED_VALUE"""),"Pepsi")</f>
        <v>Pepsi</v>
      </c>
    </row>
    <row r="1037">
      <c r="A1037" s="3">
        <f>IFERROR(__xludf.DUMMYFUNCTION("""COMPUTED_VALUE"""),30.0)</f>
        <v>30</v>
      </c>
      <c r="B1037" s="3" t="str">
        <f>IFERROR(__xludf.DUMMYFUNCTION("""COMPUTED_VALUE"""),"Mars")</f>
        <v>Mars</v>
      </c>
    </row>
    <row r="1038">
      <c r="A1038" s="3">
        <f>IFERROR(__xludf.DUMMYFUNCTION("""COMPUTED_VALUE"""),32.0)</f>
        <v>32</v>
      </c>
      <c r="B1038" s="3" t="str">
        <f>IFERROR(__xludf.DUMMYFUNCTION("""COMPUTED_VALUE"""),"Almarai Chocolate")</f>
        <v>Almarai Chocolate</v>
      </c>
    </row>
    <row r="1039">
      <c r="A1039" s="3">
        <f>IFERROR(__xludf.DUMMYFUNCTION("""COMPUTED_VALUE"""),33.0)</f>
        <v>33</v>
      </c>
      <c r="B1039" s="3" t="str">
        <f>IFERROR(__xludf.DUMMYFUNCTION("""COMPUTED_VALUE"""),"Corissant Karuzo")</f>
        <v>Corissant Karuzo</v>
      </c>
    </row>
    <row r="1040">
      <c r="A1040" s="3">
        <f>IFERROR(__xludf.DUMMYFUNCTION("""COMPUTED_VALUE"""),36.0)</f>
        <v>36</v>
      </c>
      <c r="B1040" s="3" t="str">
        <f>IFERROR(__xludf.DUMMYFUNCTION("""COMPUTED_VALUE"""),"vitrac")</f>
        <v>vitrac</v>
      </c>
    </row>
    <row r="1041">
      <c r="A1041" s="3">
        <f>IFERROR(__xludf.DUMMYFUNCTION("""COMPUTED_VALUE"""),36.0)</f>
        <v>36</v>
      </c>
      <c r="B1041" s="3" t="str">
        <f>IFERROR(__xludf.DUMMYFUNCTION("""COMPUTED_VALUE"""),"Kunuz Juice")</f>
        <v>Kunuz Juice</v>
      </c>
    </row>
    <row r="1042">
      <c r="A1042" s="3">
        <f>IFERROR(__xludf.DUMMYFUNCTION("""COMPUTED_VALUE"""),38.0)</f>
        <v>38</v>
      </c>
      <c r="B1042" s="3" t="str">
        <f>IFERROR(__xludf.DUMMYFUNCTION("""COMPUTED_VALUE"""),"Lovita cookies")</f>
        <v>Lovita cookies</v>
      </c>
    </row>
    <row r="1043">
      <c r="A1043" s="3">
        <f>IFERROR(__xludf.DUMMYFUNCTION("""COMPUTED_VALUE"""),44.0)</f>
        <v>44</v>
      </c>
      <c r="B1043" s="3" t="str">
        <f>IFERROR(__xludf.DUMMYFUNCTION("""COMPUTED_VALUE"""),"Caser Juice")</f>
        <v>Caser Juice</v>
      </c>
    </row>
    <row r="1044">
      <c r="A1044" s="3">
        <f>IFERROR(__xludf.DUMMYFUNCTION("""COMPUTED_VALUE"""),52.0)</f>
        <v>52</v>
      </c>
      <c r="B1044" s="3" t="str">
        <f>IFERROR(__xludf.DUMMYFUNCTION("""COMPUTED_VALUE"""),"MR Crunch")</f>
        <v>MR Crunch</v>
      </c>
    </row>
    <row r="1045">
      <c r="A1045" s="3">
        <f>IFERROR(__xludf.DUMMYFUNCTION("""COMPUTED_VALUE"""),53.0)</f>
        <v>53</v>
      </c>
      <c r="B1045" s="3" t="str">
        <f>IFERROR(__xludf.DUMMYFUNCTION("""COMPUTED_VALUE"""),"7up")</f>
        <v>7up</v>
      </c>
    </row>
    <row r="1046">
      <c r="A1046" s="3">
        <f>IFERROR(__xludf.DUMMYFUNCTION("""COMPUTED_VALUE"""),54.0)</f>
        <v>54</v>
      </c>
      <c r="B1046" s="3" t="str">
        <f>IFERROR(__xludf.DUMMYFUNCTION("""COMPUTED_VALUE"""),"Mirinda")</f>
        <v>Mirinda</v>
      </c>
    </row>
    <row r="1047">
      <c r="A1047" s="3">
        <f>IFERROR(__xludf.DUMMYFUNCTION("""COMPUTED_VALUE"""),64.0)</f>
        <v>64</v>
      </c>
      <c r="B1047" s="3" t="str">
        <f>IFERROR(__xludf.DUMMYFUNCTION("""COMPUTED_VALUE"""),"Almarai Strawberry")</f>
        <v>Almarai Strawberry</v>
      </c>
    </row>
    <row r="1048">
      <c r="A1048" s="3">
        <f>IFERROR(__xludf.DUMMYFUNCTION("""COMPUTED_VALUE"""),87.0)</f>
        <v>87</v>
      </c>
      <c r="B1048" s="3" t="str">
        <f>IFERROR(__xludf.DUMMYFUNCTION("""COMPUTED_VALUE"""),"mr.bite strike")</f>
        <v>mr.bite strike</v>
      </c>
    </row>
    <row r="1049">
      <c r="A1049" s="3">
        <f>IFERROR(__xludf.DUMMYFUNCTION("""COMPUTED_VALUE"""),96.0)</f>
        <v>96</v>
      </c>
      <c r="B1049" s="3" t="str">
        <f>IFERROR(__xludf.DUMMYFUNCTION("""COMPUTED_VALUE"""),"Doritos green hot")</f>
        <v>Doritos green hot</v>
      </c>
    </row>
    <row r="1050">
      <c r="A1050" s="3">
        <f>IFERROR(__xludf.DUMMYFUNCTION("""COMPUTED_VALUE"""),96.0)</f>
        <v>96</v>
      </c>
      <c r="B1050" s="3" t="str">
        <f>IFERROR(__xludf.DUMMYFUNCTION("""COMPUTED_VALUE"""),"Doritos green hot")</f>
        <v>Doritos green hot</v>
      </c>
    </row>
    <row r="1051">
      <c r="A1051" s="3">
        <f>IFERROR(__xludf.DUMMYFUNCTION("""COMPUTED_VALUE"""),97.0)</f>
        <v>97</v>
      </c>
      <c r="B1051" s="3" t="str">
        <f>IFERROR(__xludf.DUMMYFUNCTION("""COMPUTED_VALUE"""),"Doritos nacho")</f>
        <v>Doritos nacho</v>
      </c>
    </row>
    <row r="1052">
      <c r="A1052" s="3">
        <f>IFERROR(__xludf.DUMMYFUNCTION("""COMPUTED_VALUE"""),98.0)</f>
        <v>98</v>
      </c>
      <c r="B1052" s="3" t="str">
        <f>IFERROR(__xludf.DUMMYFUNCTION("""COMPUTED_VALUE"""),"Barbican")</f>
        <v>Barbican</v>
      </c>
    </row>
    <row r="1053">
      <c r="A1053" s="3">
        <f>IFERROR(__xludf.DUMMYFUNCTION("""COMPUTED_VALUE"""),99.0)</f>
        <v>99</v>
      </c>
      <c r="B1053" s="3" t="str">
        <f>IFERROR(__xludf.DUMMYFUNCTION("""COMPUTED_VALUE"""),"Shani")</f>
        <v>Shani</v>
      </c>
    </row>
    <row r="1054">
      <c r="A1054" s="3">
        <f>IFERROR(__xludf.DUMMYFUNCTION("""COMPUTED_VALUE"""),106.0)</f>
        <v>106</v>
      </c>
      <c r="B1054" s="3" t="str">
        <f>IFERROR(__xludf.DUMMYFUNCTION("""COMPUTED_VALUE"""),"Toblerone")</f>
        <v>Toblerone</v>
      </c>
    </row>
    <row r="1055">
      <c r="A1055" s="3">
        <f>IFERROR(__xludf.DUMMYFUNCTION("""COMPUTED_VALUE"""),108.0)</f>
        <v>108</v>
      </c>
      <c r="B1055" s="3" t="str">
        <f>IFERROR(__xludf.DUMMYFUNCTION("""COMPUTED_VALUE"""),"Shada up")</f>
        <v>Shada up</v>
      </c>
    </row>
    <row r="1056">
      <c r="A1056" s="3">
        <f>IFERROR(__xludf.DUMMYFUNCTION("""COMPUTED_VALUE"""),111.0)</f>
        <v>111</v>
      </c>
      <c r="B1056" s="3" t="str">
        <f>IFERROR(__xludf.DUMMYFUNCTION("""COMPUTED_VALUE"""),"Rayhan suntop")</f>
        <v>Rayhan suntop</v>
      </c>
    </row>
    <row r="1057">
      <c r="A1057" s="3">
        <f>IFERROR(__xludf.DUMMYFUNCTION("""COMPUTED_VALUE"""),114.0)</f>
        <v>114</v>
      </c>
      <c r="B1057" s="3" t="str">
        <f>IFERROR(__xludf.DUMMYFUNCTION("""COMPUTED_VALUE"""),"Tiger excellence")</f>
        <v>Tiger excellence</v>
      </c>
    </row>
    <row r="1058">
      <c r="A1058" s="3">
        <f>IFERROR(__xludf.DUMMYFUNCTION("""COMPUTED_VALUE"""),115.0)</f>
        <v>115</v>
      </c>
      <c r="B1058" s="3" t="str">
        <f>IFERROR(__xludf.DUMMYFUNCTION("""COMPUTED_VALUE"""),"Lavazza")</f>
        <v>Lavazza</v>
      </c>
    </row>
    <row r="1059">
      <c r="A1059" s="3">
        <f>IFERROR(__xludf.DUMMYFUNCTION("""COMPUTED_VALUE"""),122.0)</f>
        <v>122</v>
      </c>
      <c r="B1059" s="3" t="str">
        <f>IFERROR(__xludf.DUMMYFUNCTION("""COMPUTED_VALUE"""),"Savi stix")</f>
        <v>Savi stix</v>
      </c>
    </row>
    <row r="1060">
      <c r="A1060" s="3">
        <f>IFERROR(__xludf.DUMMYFUNCTION("""COMPUTED_VALUE"""),130.0)</f>
        <v>130</v>
      </c>
      <c r="B1060" s="3" t="str">
        <f>IFERROR(__xludf.DUMMYFUNCTION("""COMPUTED_VALUE"""),"Schweppes bullet")</f>
        <v>Schweppes bullet</v>
      </c>
    </row>
    <row r="1061">
      <c r="A1061" s="3">
        <f>IFERROR(__xludf.DUMMYFUNCTION("""COMPUTED_VALUE"""),131.0)</f>
        <v>131</v>
      </c>
      <c r="B1061" s="3" t="str">
        <f>IFERROR(__xludf.DUMMYFUNCTION("""COMPUTED_VALUE"""),"Yumi zak")</f>
        <v>Yumi zak</v>
      </c>
    </row>
    <row r="1062">
      <c r="A1062" s="3">
        <f>IFERROR(__xludf.DUMMYFUNCTION("""COMPUTED_VALUE"""),137.0)</f>
        <v>137</v>
      </c>
      <c r="B1062" s="3" t="str">
        <f>IFERROR(__xludf.DUMMYFUNCTION("""COMPUTED_VALUE"""),"Doritos red hot")</f>
        <v>Doritos red hot</v>
      </c>
    </row>
    <row r="1063">
      <c r="A1063" s="3">
        <f>IFERROR(__xludf.DUMMYFUNCTION("""COMPUTED_VALUE"""),137.0)</f>
        <v>137</v>
      </c>
      <c r="B1063" s="3" t="str">
        <f>IFERROR(__xludf.DUMMYFUNCTION("""COMPUTED_VALUE"""),"Doritos cool ranc")</f>
        <v>Doritos cool ranc</v>
      </c>
    </row>
    <row r="1064">
      <c r="A1064" s="3">
        <f>IFERROR(__xludf.DUMMYFUNCTION("""COMPUTED_VALUE"""),138.0)</f>
        <v>138</v>
      </c>
      <c r="B1064" s="3" t="str">
        <f>IFERROR(__xludf.DUMMYFUNCTION("""COMPUTED_VALUE"""),"Twix wafer roll")</f>
        <v>Twix wafer roll</v>
      </c>
    </row>
    <row r="1065">
      <c r="A1065" s="3">
        <f>IFERROR(__xludf.DUMMYFUNCTION("""COMPUTED_VALUE"""),139.0)</f>
        <v>139</v>
      </c>
      <c r="B1065" s="3" t="str">
        <f>IFERROR(__xludf.DUMMYFUNCTION("""COMPUTED_VALUE"""),"Galaxy wafer roll")</f>
        <v>Galaxy wafer roll</v>
      </c>
    </row>
    <row r="1066">
      <c r="A1066" s="3">
        <f>IFERROR(__xludf.DUMMYFUNCTION("""COMPUTED_VALUE"""),140.0)</f>
        <v>140</v>
      </c>
      <c r="B1066" s="3" t="str">
        <f>IFERROR(__xludf.DUMMYFUNCTION("""COMPUTED_VALUE"""),"Bounty wafer roll")</f>
        <v>Bounty wafer roll</v>
      </c>
    </row>
    <row r="1067">
      <c r="A1067" s="3">
        <f>IFERROR(__xludf.DUMMYFUNCTION("""COMPUTED_VALUE"""),142.0)</f>
        <v>142</v>
      </c>
      <c r="B1067" s="3" t="str">
        <f>IFERROR(__xludf.DUMMYFUNCTION("""COMPUTED_VALUE"""),"Sweeto jelly")</f>
        <v>Sweeto jelly</v>
      </c>
    </row>
    <row r="1068">
      <c r="A1068" s="3">
        <f>IFERROR(__xludf.DUMMYFUNCTION("""COMPUTED_VALUE"""),145.0)</f>
        <v>145</v>
      </c>
      <c r="B1068" s="3" t="str">
        <f>IFERROR(__xludf.DUMMYFUNCTION("""COMPUTED_VALUE"""),"Snickers wafer roll")</f>
        <v>Snickers wafer roll</v>
      </c>
    </row>
    <row r="1069">
      <c r="A1069" s="3">
        <f>IFERROR(__xludf.DUMMYFUNCTION("""COMPUTED_VALUE"""),1.0)</f>
        <v>1</v>
      </c>
      <c r="B1069" s="3" t="str">
        <f>IFERROR(__xludf.DUMMYFUNCTION("""COMPUTED_VALUE"""),"Doritos cool ranc")</f>
        <v>Doritos cool ranc</v>
      </c>
    </row>
    <row r="1070">
      <c r="A1070" s="3">
        <f>IFERROR(__xludf.DUMMYFUNCTION("""COMPUTED_VALUE"""),2.0)</f>
        <v>2</v>
      </c>
      <c r="B1070" s="3" t="str">
        <f>IFERROR(__xludf.DUMMYFUNCTION("""COMPUTED_VALUE"""),"Water")</f>
        <v>Water</v>
      </c>
    </row>
    <row r="1071">
      <c r="A1071" s="3">
        <f>IFERROR(__xludf.DUMMYFUNCTION("""COMPUTED_VALUE"""),3.0)</f>
        <v>3</v>
      </c>
      <c r="B1071" s="3" t="str">
        <f>IFERROR(__xludf.DUMMYFUNCTION("""COMPUTED_VALUE"""),"Maltesers")</f>
        <v>Maltesers</v>
      </c>
    </row>
    <row r="1072">
      <c r="A1072" s="3">
        <f>IFERROR(__xludf.DUMMYFUNCTION("""COMPUTED_VALUE"""),10.0)</f>
        <v>10</v>
      </c>
      <c r="B1072" s="3" t="str">
        <f>IFERROR(__xludf.DUMMYFUNCTION("""COMPUTED_VALUE"""),"Skittles")</f>
        <v>Skittles</v>
      </c>
    </row>
    <row r="1073">
      <c r="A1073" s="3">
        <f>IFERROR(__xludf.DUMMYFUNCTION("""COMPUTED_VALUE"""),11.0)</f>
        <v>11</v>
      </c>
      <c r="B1073" s="3" t="str">
        <f>IFERROR(__xludf.DUMMYFUNCTION("""COMPUTED_VALUE"""),"X!R")</f>
        <v>X!R</v>
      </c>
    </row>
    <row r="1074">
      <c r="A1074" s="3">
        <f>IFERROR(__xludf.DUMMYFUNCTION("""COMPUTED_VALUE"""),14.0)</f>
        <v>14</v>
      </c>
      <c r="B1074" s="3" t="str">
        <f>IFERROR(__xludf.DUMMYFUNCTION("""COMPUTED_VALUE"""),"Kinder Bueno")</f>
        <v>Kinder Bueno</v>
      </c>
    </row>
    <row r="1075">
      <c r="A1075" s="3">
        <f>IFERROR(__xludf.DUMMYFUNCTION("""COMPUTED_VALUE"""),18.0)</f>
        <v>18</v>
      </c>
      <c r="B1075" s="3" t="str">
        <f>IFERROR(__xludf.DUMMYFUNCTION("""COMPUTED_VALUE"""),"Takis")</f>
        <v>Takis</v>
      </c>
    </row>
    <row r="1076">
      <c r="A1076" s="3">
        <f>IFERROR(__xludf.DUMMYFUNCTION("""COMPUTED_VALUE"""),19.0)</f>
        <v>19</v>
      </c>
      <c r="B1076" s="3" t="str">
        <f>IFERROR(__xludf.DUMMYFUNCTION("""COMPUTED_VALUE"""),"mr bite")</f>
        <v>mr bite</v>
      </c>
    </row>
    <row r="1077">
      <c r="A1077" s="3">
        <f>IFERROR(__xludf.DUMMYFUNCTION("""COMPUTED_VALUE"""),21.0)</f>
        <v>21</v>
      </c>
      <c r="B1077" s="3" t="str">
        <f>IFERROR(__xludf.DUMMYFUNCTION("""COMPUTED_VALUE"""),"Laviva")</f>
        <v>Laviva</v>
      </c>
    </row>
    <row r="1078">
      <c r="A1078" s="3">
        <f>IFERROR(__xludf.DUMMYFUNCTION("""COMPUTED_VALUE"""),23.0)</f>
        <v>23</v>
      </c>
      <c r="B1078" s="3" t="str">
        <f>IFERROR(__xludf.DUMMYFUNCTION("""COMPUTED_VALUE"""),"Freez")</f>
        <v>Freez</v>
      </c>
    </row>
    <row r="1079">
      <c r="A1079" s="3">
        <f>IFERROR(__xludf.DUMMYFUNCTION("""COMPUTED_VALUE"""),24.0)</f>
        <v>24</v>
      </c>
      <c r="B1079" s="3" t="str">
        <f>IFERROR(__xludf.DUMMYFUNCTION("""COMPUTED_VALUE"""),"kinder delice")</f>
        <v>kinder delice</v>
      </c>
    </row>
    <row r="1080">
      <c r="A1080" s="3">
        <f>IFERROR(__xludf.DUMMYFUNCTION("""COMPUTED_VALUE"""),27.0)</f>
        <v>27</v>
      </c>
      <c r="B1080" s="3" t="str">
        <f>IFERROR(__xludf.DUMMYFUNCTION("""COMPUTED_VALUE"""),"Gardena")</f>
        <v>Gardena</v>
      </c>
    </row>
    <row r="1081">
      <c r="A1081" s="3">
        <f>IFERROR(__xludf.DUMMYFUNCTION("""COMPUTED_VALUE"""),29.0)</f>
        <v>29</v>
      </c>
      <c r="B1081" s="3" t="str">
        <f>IFERROR(__xludf.DUMMYFUNCTION("""COMPUTED_VALUE"""),"Pepsi")</f>
        <v>Pepsi</v>
      </c>
    </row>
    <row r="1082">
      <c r="A1082" s="3">
        <f>IFERROR(__xludf.DUMMYFUNCTION("""COMPUTED_VALUE"""),32.0)</f>
        <v>32</v>
      </c>
      <c r="B1082" s="3" t="str">
        <f>IFERROR(__xludf.DUMMYFUNCTION("""COMPUTED_VALUE"""),"Almarai Chocolate")</f>
        <v>Almarai Chocolate</v>
      </c>
    </row>
    <row r="1083">
      <c r="A1083" s="3">
        <f>IFERROR(__xludf.DUMMYFUNCTION("""COMPUTED_VALUE"""),33.0)</f>
        <v>33</v>
      </c>
      <c r="B1083" s="3" t="str">
        <f>IFERROR(__xludf.DUMMYFUNCTION("""COMPUTED_VALUE"""),"Corissant Karuzo")</f>
        <v>Corissant Karuzo</v>
      </c>
    </row>
    <row r="1084">
      <c r="A1084" s="3">
        <f>IFERROR(__xludf.DUMMYFUNCTION("""COMPUTED_VALUE"""),38.0)</f>
        <v>38</v>
      </c>
      <c r="B1084" s="3" t="str">
        <f>IFERROR(__xludf.DUMMYFUNCTION("""COMPUTED_VALUE"""),"Lovita cookies")</f>
        <v>Lovita cookies</v>
      </c>
    </row>
    <row r="1085">
      <c r="A1085" s="3">
        <f>IFERROR(__xludf.DUMMYFUNCTION("""COMPUTED_VALUE"""),49.0)</f>
        <v>49</v>
      </c>
      <c r="B1085" s="3" t="str">
        <f>IFERROR(__xludf.DUMMYFUNCTION("""COMPUTED_VALUE"""),"Haribo")</f>
        <v>Haribo</v>
      </c>
    </row>
    <row r="1086">
      <c r="A1086" s="3">
        <f>IFERROR(__xludf.DUMMYFUNCTION("""COMPUTED_VALUE"""),52.0)</f>
        <v>52</v>
      </c>
      <c r="B1086" s="3" t="str">
        <f>IFERROR(__xludf.DUMMYFUNCTION("""COMPUTED_VALUE"""),"MR Crunch")</f>
        <v>MR Crunch</v>
      </c>
    </row>
    <row r="1087">
      <c r="A1087" s="3">
        <f>IFERROR(__xludf.DUMMYFUNCTION("""COMPUTED_VALUE"""),64.0)</f>
        <v>64</v>
      </c>
      <c r="B1087" s="3" t="str">
        <f>IFERROR(__xludf.DUMMYFUNCTION("""COMPUTED_VALUE"""),"Almarai Strawberry")</f>
        <v>Almarai Strawberry</v>
      </c>
    </row>
    <row r="1088">
      <c r="A1088" s="3">
        <f>IFERROR(__xludf.DUMMYFUNCTION("""COMPUTED_VALUE"""),86.0)</f>
        <v>86</v>
      </c>
      <c r="B1088" s="3" t="str">
        <f>IFERROR(__xludf.DUMMYFUNCTION("""COMPUTED_VALUE"""),"Mrbeast")</f>
        <v>Mrbeast</v>
      </c>
    </row>
    <row r="1089">
      <c r="A1089" s="3">
        <f>IFERROR(__xludf.DUMMYFUNCTION("""COMPUTED_VALUE"""),96.0)</f>
        <v>96</v>
      </c>
      <c r="B1089" s="3" t="str">
        <f>IFERROR(__xludf.DUMMYFUNCTION("""COMPUTED_VALUE"""),"Doritos green hot")</f>
        <v>Doritos green hot</v>
      </c>
    </row>
    <row r="1090">
      <c r="A1090" s="3">
        <f>IFERROR(__xludf.DUMMYFUNCTION("""COMPUTED_VALUE"""),97.0)</f>
        <v>97</v>
      </c>
      <c r="B1090" s="3" t="str">
        <f>IFERROR(__xludf.DUMMYFUNCTION("""COMPUTED_VALUE"""),"Doritos nacho")</f>
        <v>Doritos nacho</v>
      </c>
    </row>
    <row r="1091">
      <c r="A1091" s="3">
        <f>IFERROR(__xludf.DUMMYFUNCTION("""COMPUTED_VALUE"""),114.0)</f>
        <v>114</v>
      </c>
      <c r="B1091" s="3" t="str">
        <f>IFERROR(__xludf.DUMMYFUNCTION("""COMPUTED_VALUE"""),"Tiger excellence")</f>
        <v>Tiger excellence</v>
      </c>
    </row>
    <row r="1092">
      <c r="A1092" s="3">
        <f>IFERROR(__xludf.DUMMYFUNCTION("""COMPUTED_VALUE"""),118.0)</f>
        <v>118</v>
      </c>
      <c r="B1092" s="3" t="str">
        <f>IFERROR(__xludf.DUMMYFUNCTION("""COMPUTED_VALUE"""),"Haribo bears")</f>
        <v>Haribo bears</v>
      </c>
    </row>
    <row r="1093">
      <c r="A1093" s="3">
        <f>IFERROR(__xludf.DUMMYFUNCTION("""COMPUTED_VALUE"""),119.0)</f>
        <v>119</v>
      </c>
      <c r="B1093" s="3" t="str">
        <f>IFERROR(__xludf.DUMMYFUNCTION("""COMPUTED_VALUE"""),"Turbo strips")</f>
        <v>Turbo strips</v>
      </c>
    </row>
    <row r="1094">
      <c r="A1094" s="3">
        <f>IFERROR(__xludf.DUMMYFUNCTION("""COMPUTED_VALUE"""),127.0)</f>
        <v>127</v>
      </c>
      <c r="B1094" s="3" t="str">
        <f>IFERROR(__xludf.DUMMYFUNCTION("""COMPUTED_VALUE"""),"Twix single")</f>
        <v>Twix single</v>
      </c>
    </row>
    <row r="1095">
      <c r="A1095" s="3">
        <f>IFERROR(__xludf.DUMMYFUNCTION("""COMPUTED_VALUE"""),130.0)</f>
        <v>130</v>
      </c>
      <c r="B1095" s="3" t="str">
        <f>IFERROR(__xludf.DUMMYFUNCTION("""COMPUTED_VALUE"""),"Schweppes bullet")</f>
        <v>Schweppes bullet</v>
      </c>
    </row>
    <row r="1096">
      <c r="A1096" s="3">
        <f>IFERROR(__xludf.DUMMYFUNCTION("""COMPUTED_VALUE"""),132.0)</f>
        <v>132</v>
      </c>
      <c r="B1096" s="3" t="str">
        <f>IFERROR(__xludf.DUMMYFUNCTION("""COMPUTED_VALUE"""),"Almarai Banana")</f>
        <v>Almarai Banana</v>
      </c>
    </row>
    <row r="1097">
      <c r="A1097" s="3">
        <f>IFERROR(__xludf.DUMMYFUNCTION("""COMPUTED_VALUE"""),134.0)</f>
        <v>134</v>
      </c>
      <c r="B1097" s="3" t="str">
        <f>IFERROR(__xludf.DUMMYFUNCTION("""COMPUTED_VALUE"""),"Yumi Zak")</f>
        <v>Yumi Zak</v>
      </c>
    </row>
    <row r="1098">
      <c r="A1098" s="3">
        <f>IFERROR(__xludf.DUMMYFUNCTION("""COMPUTED_VALUE"""),137.0)</f>
        <v>137</v>
      </c>
      <c r="B1098" s="3" t="str">
        <f>IFERROR(__xludf.DUMMYFUNCTION("""COMPUTED_VALUE"""),"Doritos red hot")</f>
        <v>Doritos red hot</v>
      </c>
    </row>
    <row r="1099">
      <c r="A1099" s="3">
        <f>IFERROR(__xludf.DUMMYFUNCTION("""COMPUTED_VALUE"""),139.0)</f>
        <v>139</v>
      </c>
      <c r="B1099" s="3" t="str">
        <f>IFERROR(__xludf.DUMMYFUNCTION("""COMPUTED_VALUE"""),"Galaxy wafer roll")</f>
        <v>Galaxy wafer roll</v>
      </c>
    </row>
    <row r="1100">
      <c r="A1100" s="3">
        <f>IFERROR(__xludf.DUMMYFUNCTION("""COMPUTED_VALUE"""),140.0)</f>
        <v>140</v>
      </c>
      <c r="B1100" s="3" t="str">
        <f>IFERROR(__xludf.DUMMYFUNCTION("""COMPUTED_VALUE"""),"Bounty wafer roll")</f>
        <v>Bounty wafer roll</v>
      </c>
    </row>
    <row r="1101">
      <c r="A1101" s="3">
        <f>IFERROR(__xludf.DUMMYFUNCTION("""COMPUTED_VALUE"""),142.0)</f>
        <v>142</v>
      </c>
      <c r="B1101" s="3" t="str">
        <f>IFERROR(__xludf.DUMMYFUNCTION("""COMPUTED_VALUE"""),"Sweeto jelly")</f>
        <v>Sweeto jelly</v>
      </c>
    </row>
    <row r="1102">
      <c r="A1102" s="3">
        <f>IFERROR(__xludf.DUMMYFUNCTION("""COMPUTED_VALUE"""),145.0)</f>
        <v>145</v>
      </c>
      <c r="B1102" s="3" t="str">
        <f>IFERROR(__xludf.DUMMYFUNCTION("""COMPUTED_VALUE"""),"Snickers wafer roll")</f>
        <v>Snickers wafer roll</v>
      </c>
    </row>
    <row r="1103">
      <c r="A1103" s="3">
        <f>IFERROR(__xludf.DUMMYFUNCTION("""COMPUTED_VALUE"""),0.0)</f>
        <v>0</v>
      </c>
      <c r="B1103" s="3" t="str">
        <f>IFERROR(__xludf.DUMMYFUNCTION("""COMPUTED_VALUE"""),"未设置")</f>
        <v>未设置</v>
      </c>
    </row>
    <row r="1104">
      <c r="A1104" s="3">
        <f>IFERROR(__xludf.DUMMYFUNCTION("""COMPUTED_VALUE"""),1.0)</f>
        <v>1</v>
      </c>
      <c r="B1104" s="3" t="str">
        <f>IFERROR(__xludf.DUMMYFUNCTION("""COMPUTED_VALUE"""),"Doritos cool ranc")</f>
        <v>Doritos cool ranc</v>
      </c>
    </row>
    <row r="1105">
      <c r="A1105" s="3">
        <f>IFERROR(__xludf.DUMMYFUNCTION("""COMPUTED_VALUE"""),2.0)</f>
        <v>2</v>
      </c>
      <c r="B1105" s="3" t="str">
        <f>IFERROR(__xludf.DUMMYFUNCTION("""COMPUTED_VALUE"""),"Water")</f>
        <v>Water</v>
      </c>
    </row>
    <row r="1106">
      <c r="A1106" s="3">
        <f>IFERROR(__xludf.DUMMYFUNCTION("""COMPUTED_VALUE"""),5.0)</f>
        <v>5</v>
      </c>
      <c r="B1106" s="3" t="str">
        <f>IFERROR(__xludf.DUMMYFUNCTION("""COMPUTED_VALUE"""),"Schweppes")</f>
        <v>Schweppes</v>
      </c>
    </row>
    <row r="1107">
      <c r="A1107" s="3">
        <f>IFERROR(__xludf.DUMMYFUNCTION("""COMPUTED_VALUE"""),11.0)</f>
        <v>11</v>
      </c>
      <c r="B1107" s="3" t="str">
        <f>IFERROR(__xludf.DUMMYFUNCTION("""COMPUTED_VALUE"""),"X!R")</f>
        <v>X!R</v>
      </c>
    </row>
    <row r="1108">
      <c r="A1108" s="3">
        <f>IFERROR(__xludf.DUMMYFUNCTION("""COMPUTED_VALUE"""),14.0)</f>
        <v>14</v>
      </c>
      <c r="B1108" s="3" t="str">
        <f>IFERROR(__xludf.DUMMYFUNCTION("""COMPUTED_VALUE"""),"Kinder Bueno")</f>
        <v>Kinder Bueno</v>
      </c>
    </row>
    <row r="1109">
      <c r="A1109" s="3">
        <f>IFERROR(__xludf.DUMMYFUNCTION("""COMPUTED_VALUE"""),19.0)</f>
        <v>19</v>
      </c>
      <c r="B1109" s="3" t="str">
        <f>IFERROR(__xludf.DUMMYFUNCTION("""COMPUTED_VALUE"""),"mr bite")</f>
        <v>mr bite</v>
      </c>
    </row>
    <row r="1110">
      <c r="A1110" s="3">
        <f>IFERROR(__xludf.DUMMYFUNCTION("""COMPUTED_VALUE"""),21.0)</f>
        <v>21</v>
      </c>
      <c r="B1110" s="3" t="str">
        <f>IFERROR(__xludf.DUMMYFUNCTION("""COMPUTED_VALUE"""),"Laviva")</f>
        <v>Laviva</v>
      </c>
    </row>
    <row r="1111">
      <c r="A1111" s="3">
        <f>IFERROR(__xludf.DUMMYFUNCTION("""COMPUTED_VALUE"""),25.0)</f>
        <v>25</v>
      </c>
      <c r="B1111" s="3" t="str">
        <f>IFERROR(__xludf.DUMMYFUNCTION("""COMPUTED_VALUE"""),"Twix")</f>
        <v>Twix</v>
      </c>
    </row>
    <row r="1112">
      <c r="A1112" s="3">
        <f>IFERROR(__xludf.DUMMYFUNCTION("""COMPUTED_VALUE"""),27.0)</f>
        <v>27</v>
      </c>
      <c r="B1112" s="3" t="str">
        <f>IFERROR(__xludf.DUMMYFUNCTION("""COMPUTED_VALUE"""),"Gardena")</f>
        <v>Gardena</v>
      </c>
    </row>
    <row r="1113">
      <c r="A1113" s="3">
        <f>IFERROR(__xludf.DUMMYFUNCTION("""COMPUTED_VALUE"""),28.0)</f>
        <v>28</v>
      </c>
      <c r="B1113" s="3" t="str">
        <f>IFERROR(__xludf.DUMMYFUNCTION("""COMPUTED_VALUE"""),"Snickers")</f>
        <v>Snickers</v>
      </c>
    </row>
    <row r="1114">
      <c r="A1114" s="3">
        <f>IFERROR(__xludf.DUMMYFUNCTION("""COMPUTED_VALUE"""),29.0)</f>
        <v>29</v>
      </c>
      <c r="B1114" s="3" t="str">
        <f>IFERROR(__xludf.DUMMYFUNCTION("""COMPUTED_VALUE"""),"Pepsi")</f>
        <v>Pepsi</v>
      </c>
    </row>
    <row r="1115">
      <c r="A1115" s="3">
        <f>IFERROR(__xludf.DUMMYFUNCTION("""COMPUTED_VALUE"""),30.0)</f>
        <v>30</v>
      </c>
      <c r="B1115" s="3" t="str">
        <f>IFERROR(__xludf.DUMMYFUNCTION("""COMPUTED_VALUE"""),"Mars")</f>
        <v>Mars</v>
      </c>
    </row>
    <row r="1116">
      <c r="A1116" s="3">
        <f>IFERROR(__xludf.DUMMYFUNCTION("""COMPUTED_VALUE"""),32.0)</f>
        <v>32</v>
      </c>
      <c r="B1116" s="3" t="str">
        <f>IFERROR(__xludf.DUMMYFUNCTION("""COMPUTED_VALUE"""),"Almarai Chocolate")</f>
        <v>Almarai Chocolate</v>
      </c>
    </row>
    <row r="1117">
      <c r="A1117" s="3">
        <f>IFERROR(__xludf.DUMMYFUNCTION("""COMPUTED_VALUE"""),49.0)</f>
        <v>49</v>
      </c>
      <c r="B1117" s="3" t="str">
        <f>IFERROR(__xludf.DUMMYFUNCTION("""COMPUTED_VALUE"""),"Haribo")</f>
        <v>Haribo</v>
      </c>
    </row>
    <row r="1118">
      <c r="A1118" s="3">
        <f>IFERROR(__xludf.DUMMYFUNCTION("""COMPUTED_VALUE"""),52.0)</f>
        <v>52</v>
      </c>
      <c r="B1118" s="3" t="str">
        <f>IFERROR(__xludf.DUMMYFUNCTION("""COMPUTED_VALUE"""),"MR Crunch")</f>
        <v>MR Crunch</v>
      </c>
    </row>
    <row r="1119">
      <c r="A1119" s="3">
        <f>IFERROR(__xludf.DUMMYFUNCTION("""COMPUTED_VALUE"""),53.0)</f>
        <v>53</v>
      </c>
      <c r="B1119" s="3" t="str">
        <f>IFERROR(__xludf.DUMMYFUNCTION("""COMPUTED_VALUE"""),"7up")</f>
        <v>7up</v>
      </c>
    </row>
    <row r="1120">
      <c r="A1120" s="3">
        <f>IFERROR(__xludf.DUMMYFUNCTION("""COMPUTED_VALUE"""),54.0)</f>
        <v>54</v>
      </c>
      <c r="B1120" s="3" t="str">
        <f>IFERROR(__xludf.DUMMYFUNCTION("""COMPUTED_VALUE"""),"Mirinda")</f>
        <v>Mirinda</v>
      </c>
    </row>
    <row r="1121">
      <c r="A1121" s="3">
        <f>IFERROR(__xludf.DUMMYFUNCTION("""COMPUTED_VALUE"""),64.0)</f>
        <v>64</v>
      </c>
      <c r="B1121" s="3" t="str">
        <f>IFERROR(__xludf.DUMMYFUNCTION("""COMPUTED_VALUE"""),"Almarai Strawberry")</f>
        <v>Almarai Strawberry</v>
      </c>
    </row>
    <row r="1122">
      <c r="A1122" s="3">
        <f>IFERROR(__xludf.DUMMYFUNCTION("""COMPUTED_VALUE"""),65.0)</f>
        <v>65</v>
      </c>
      <c r="B1122" s="3" t="str">
        <f>IFERROR(__xludf.DUMMYFUNCTION("""COMPUTED_VALUE"""),"Dallas juice")</f>
        <v>Dallas juice</v>
      </c>
    </row>
    <row r="1123">
      <c r="A1123" s="3">
        <f>IFERROR(__xludf.DUMMYFUNCTION("""COMPUTED_VALUE"""),86.0)</f>
        <v>86</v>
      </c>
      <c r="B1123" s="3" t="str">
        <f>IFERROR(__xludf.DUMMYFUNCTION("""COMPUTED_VALUE"""),"Mrbeast")</f>
        <v>Mrbeast</v>
      </c>
    </row>
    <row r="1124">
      <c r="A1124" s="3">
        <f>IFERROR(__xludf.DUMMYFUNCTION("""COMPUTED_VALUE"""),96.0)</f>
        <v>96</v>
      </c>
      <c r="B1124" s="3" t="str">
        <f>IFERROR(__xludf.DUMMYFUNCTION("""COMPUTED_VALUE"""),"Doritos green hot")</f>
        <v>Doritos green hot</v>
      </c>
    </row>
    <row r="1125">
      <c r="A1125" s="3">
        <f>IFERROR(__xludf.DUMMYFUNCTION("""COMPUTED_VALUE"""),96.0)</f>
        <v>96</v>
      </c>
      <c r="B1125" s="3" t="str">
        <f>IFERROR(__xludf.DUMMYFUNCTION("""COMPUTED_VALUE"""),"Doritos green hot")</f>
        <v>Doritos green hot</v>
      </c>
    </row>
    <row r="1126">
      <c r="A1126" s="3">
        <f>IFERROR(__xludf.DUMMYFUNCTION("""COMPUTED_VALUE"""),97.0)</f>
        <v>97</v>
      </c>
      <c r="B1126" s="3" t="str">
        <f>IFERROR(__xludf.DUMMYFUNCTION("""COMPUTED_VALUE"""),"Doritos nacho")</f>
        <v>Doritos nacho</v>
      </c>
    </row>
    <row r="1127">
      <c r="A1127" s="3">
        <f>IFERROR(__xludf.DUMMYFUNCTION("""COMPUTED_VALUE"""),99.0)</f>
        <v>99</v>
      </c>
      <c r="B1127" s="3" t="str">
        <f>IFERROR(__xludf.DUMMYFUNCTION("""COMPUTED_VALUE"""),"Shani")</f>
        <v>Shani</v>
      </c>
    </row>
    <row r="1128">
      <c r="A1128" s="3">
        <f>IFERROR(__xludf.DUMMYFUNCTION("""COMPUTED_VALUE"""),114.0)</f>
        <v>114</v>
      </c>
      <c r="B1128" s="3" t="str">
        <f>IFERROR(__xludf.DUMMYFUNCTION("""COMPUTED_VALUE"""),"Tiger excellence")</f>
        <v>Tiger excellence</v>
      </c>
    </row>
    <row r="1129">
      <c r="A1129" s="3">
        <f>IFERROR(__xludf.DUMMYFUNCTION("""COMPUTED_VALUE"""),119.0)</f>
        <v>119</v>
      </c>
      <c r="B1129" s="3" t="str">
        <f>IFERROR(__xludf.DUMMYFUNCTION("""COMPUTED_VALUE"""),"Turbo strips")</f>
        <v>Turbo strips</v>
      </c>
    </row>
    <row r="1130">
      <c r="A1130" s="3">
        <f>IFERROR(__xludf.DUMMYFUNCTION("""COMPUTED_VALUE"""),120.0)</f>
        <v>120</v>
      </c>
      <c r="B1130" s="3" t="str">
        <f>IFERROR(__xludf.DUMMYFUNCTION("""COMPUTED_VALUE"""),"Chillax chips")</f>
        <v>Chillax chips</v>
      </c>
    </row>
    <row r="1131">
      <c r="A1131" s="3">
        <f>IFERROR(__xludf.DUMMYFUNCTION("""COMPUTED_VALUE"""),126.0)</f>
        <v>126</v>
      </c>
      <c r="B1131" s="3" t="str">
        <f>IFERROR(__xludf.DUMMYFUNCTION("""COMPUTED_VALUE"""),"Coach Suntop")</f>
        <v>Coach Suntop</v>
      </c>
    </row>
    <row r="1132">
      <c r="A1132" s="3">
        <f>IFERROR(__xludf.DUMMYFUNCTION("""COMPUTED_VALUE"""),130.0)</f>
        <v>130</v>
      </c>
      <c r="B1132" s="3" t="str">
        <f>IFERROR(__xludf.DUMMYFUNCTION("""COMPUTED_VALUE"""),"Schweppes bullet")</f>
        <v>Schweppes bullet</v>
      </c>
    </row>
    <row r="1133">
      <c r="A1133" s="3">
        <f>IFERROR(__xludf.DUMMYFUNCTION("""COMPUTED_VALUE"""),135.0)</f>
        <v>135</v>
      </c>
      <c r="B1133" s="3" t="str">
        <f>IFERROR(__xludf.DUMMYFUNCTION("""COMPUTED_VALUE"""),"Yupi")</f>
        <v>Yupi</v>
      </c>
    </row>
    <row r="1134">
      <c r="A1134" s="3">
        <f>IFERROR(__xludf.DUMMYFUNCTION("""COMPUTED_VALUE"""),137.0)</f>
        <v>137</v>
      </c>
      <c r="B1134" s="3" t="str">
        <f>IFERROR(__xludf.DUMMYFUNCTION("""COMPUTED_VALUE"""),"Doritos cool ranc")</f>
        <v>Doritos cool ranc</v>
      </c>
    </row>
    <row r="1135">
      <c r="A1135" s="3">
        <f>IFERROR(__xludf.DUMMYFUNCTION("""COMPUTED_VALUE"""),137.0)</f>
        <v>137</v>
      </c>
      <c r="B1135" s="3" t="str">
        <f>IFERROR(__xludf.DUMMYFUNCTION("""COMPUTED_VALUE"""),"Doritos red hot")</f>
        <v>Doritos red hot</v>
      </c>
    </row>
    <row r="1136">
      <c r="A1136" s="3">
        <f>IFERROR(__xludf.DUMMYFUNCTION("""COMPUTED_VALUE"""),138.0)</f>
        <v>138</v>
      </c>
      <c r="B1136" s="3" t="str">
        <f>IFERROR(__xludf.DUMMYFUNCTION("""COMPUTED_VALUE"""),"Twix wafer roll")</f>
        <v>Twix wafer roll</v>
      </c>
    </row>
    <row r="1137">
      <c r="A1137" s="3">
        <f>IFERROR(__xludf.DUMMYFUNCTION("""COMPUTED_VALUE"""),139.0)</f>
        <v>139</v>
      </c>
      <c r="B1137" s="3" t="str">
        <f>IFERROR(__xludf.DUMMYFUNCTION("""COMPUTED_VALUE"""),"Galaxy wafer roll")</f>
        <v>Galaxy wafer roll</v>
      </c>
    </row>
    <row r="1138">
      <c r="A1138" s="3">
        <f>IFERROR(__xludf.DUMMYFUNCTION("""COMPUTED_VALUE"""),140.0)</f>
        <v>140</v>
      </c>
      <c r="B1138" s="3" t="str">
        <f>IFERROR(__xludf.DUMMYFUNCTION("""COMPUTED_VALUE"""),"Bounty wafer roll")</f>
        <v>Bounty wafer roll</v>
      </c>
    </row>
    <row r="1139">
      <c r="A1139" s="3">
        <f>IFERROR(__xludf.DUMMYFUNCTION("""COMPUTED_VALUE"""),141.0)</f>
        <v>141</v>
      </c>
      <c r="B1139" s="3" t="str">
        <f>IFERROR(__xludf.DUMMYFUNCTION("""COMPUTED_VALUE"""),"BeBeto marshmello")</f>
        <v>BeBeto marshmello</v>
      </c>
    </row>
    <row r="1140">
      <c r="A1140" s="3">
        <f>IFERROR(__xludf.DUMMYFUNCTION("""COMPUTED_VALUE"""),142.0)</f>
        <v>142</v>
      </c>
      <c r="B1140" s="3" t="str">
        <f>IFERROR(__xludf.DUMMYFUNCTION("""COMPUTED_VALUE"""),"Sweeto jelly")</f>
        <v>Sweeto jelly</v>
      </c>
    </row>
    <row r="1141">
      <c r="A1141" s="3">
        <f>IFERROR(__xludf.DUMMYFUNCTION("""COMPUTED_VALUE"""),143.0)</f>
        <v>143</v>
      </c>
      <c r="B1141" s="3" t="str">
        <f>IFERROR(__xludf.DUMMYFUNCTION("""COMPUTED_VALUE"""),"Doritos cool ranc")</f>
        <v>Doritos cool ranc</v>
      </c>
    </row>
    <row r="1142">
      <c r="A1142" s="3">
        <f>IFERROR(__xludf.DUMMYFUNCTION("""COMPUTED_VALUE"""),143.0)</f>
        <v>143</v>
      </c>
      <c r="B1142" s="3" t="str">
        <f>IFERROR(__xludf.DUMMYFUNCTION("""COMPUTED_VALUE"""),"Doritos BBQ")</f>
        <v>Doritos BBQ</v>
      </c>
    </row>
    <row r="1143">
      <c r="A1143" s="3">
        <f>IFERROR(__xludf.DUMMYFUNCTION("""COMPUTED_VALUE"""),144.0)</f>
        <v>144</v>
      </c>
      <c r="B1143" s="3" t="str">
        <f>IFERROR(__xludf.DUMMYFUNCTION("""COMPUTED_VALUE"""),"Balls")</f>
        <v>Balls</v>
      </c>
    </row>
    <row r="1144">
      <c r="A1144" s="3">
        <f>IFERROR(__xludf.DUMMYFUNCTION("""COMPUTED_VALUE"""),145.0)</f>
        <v>145</v>
      </c>
      <c r="B1144" s="3" t="str">
        <f>IFERROR(__xludf.DUMMYFUNCTION("""COMPUTED_VALUE"""),"Snickers wafer roll")</f>
        <v>Snickers wafer roll</v>
      </c>
    </row>
    <row r="1145">
      <c r="A1145" s="3">
        <f>IFERROR(__xludf.DUMMYFUNCTION("""COMPUTED_VALUE"""),1.0)</f>
        <v>1</v>
      </c>
      <c r="B1145" s="3" t="str">
        <f>IFERROR(__xludf.DUMMYFUNCTION("""COMPUTED_VALUE"""),"Doritos cool ranc")</f>
        <v>Doritos cool ranc</v>
      </c>
    </row>
    <row r="1146">
      <c r="A1146" s="3">
        <f>IFERROR(__xludf.DUMMYFUNCTION("""COMPUTED_VALUE"""),2.0)</f>
        <v>2</v>
      </c>
      <c r="B1146" s="3" t="str">
        <f>IFERROR(__xludf.DUMMYFUNCTION("""COMPUTED_VALUE"""),"Water")</f>
        <v>Water</v>
      </c>
    </row>
    <row r="1147">
      <c r="A1147" s="3">
        <f>IFERROR(__xludf.DUMMYFUNCTION("""COMPUTED_VALUE"""),16.0)</f>
        <v>16</v>
      </c>
      <c r="B1147" s="3" t="str">
        <f>IFERROR(__xludf.DUMMYFUNCTION("""COMPUTED_VALUE"""),"wafe'up")</f>
        <v>wafe'up</v>
      </c>
    </row>
    <row r="1148">
      <c r="A1148" s="3">
        <f>IFERROR(__xludf.DUMMYFUNCTION("""COMPUTED_VALUE"""),19.0)</f>
        <v>19</v>
      </c>
      <c r="B1148" s="3" t="str">
        <f>IFERROR(__xludf.DUMMYFUNCTION("""COMPUTED_VALUE"""),"mr bite")</f>
        <v>mr bite</v>
      </c>
    </row>
    <row r="1149">
      <c r="A1149" s="3">
        <f>IFERROR(__xludf.DUMMYFUNCTION("""COMPUTED_VALUE"""),21.0)</f>
        <v>21</v>
      </c>
      <c r="B1149" s="3" t="str">
        <f>IFERROR(__xludf.DUMMYFUNCTION("""COMPUTED_VALUE"""),"Laviva")</f>
        <v>Laviva</v>
      </c>
    </row>
    <row r="1150">
      <c r="A1150" s="3">
        <f>IFERROR(__xludf.DUMMYFUNCTION("""COMPUTED_VALUE"""),29.0)</f>
        <v>29</v>
      </c>
      <c r="B1150" s="3" t="str">
        <f>IFERROR(__xludf.DUMMYFUNCTION("""COMPUTED_VALUE"""),"Pepsi")</f>
        <v>Pepsi</v>
      </c>
    </row>
    <row r="1151">
      <c r="A1151" s="3">
        <f>IFERROR(__xludf.DUMMYFUNCTION("""COMPUTED_VALUE"""),32.0)</f>
        <v>32</v>
      </c>
      <c r="B1151" s="3" t="str">
        <f>IFERROR(__xludf.DUMMYFUNCTION("""COMPUTED_VALUE"""),"Almarai Chocolate")</f>
        <v>Almarai Chocolate</v>
      </c>
    </row>
    <row r="1152">
      <c r="A1152" s="3">
        <f>IFERROR(__xludf.DUMMYFUNCTION("""COMPUTED_VALUE"""),38.0)</f>
        <v>38</v>
      </c>
      <c r="B1152" s="3" t="str">
        <f>IFERROR(__xludf.DUMMYFUNCTION("""COMPUTED_VALUE"""),"Lovita cookies")</f>
        <v>Lovita cookies</v>
      </c>
    </row>
    <row r="1153">
      <c r="A1153" s="3">
        <f>IFERROR(__xludf.DUMMYFUNCTION("""COMPUTED_VALUE"""),44.0)</f>
        <v>44</v>
      </c>
      <c r="B1153" s="3" t="str">
        <f>IFERROR(__xludf.DUMMYFUNCTION("""COMPUTED_VALUE"""),"Caser Juice")</f>
        <v>Caser Juice</v>
      </c>
    </row>
    <row r="1154">
      <c r="A1154" s="3">
        <f>IFERROR(__xludf.DUMMYFUNCTION("""COMPUTED_VALUE"""),54.0)</f>
        <v>54</v>
      </c>
      <c r="B1154" s="3" t="str">
        <f>IFERROR(__xludf.DUMMYFUNCTION("""COMPUTED_VALUE"""),"Mirinda")</f>
        <v>Mirinda</v>
      </c>
    </row>
    <row r="1155">
      <c r="A1155" s="3">
        <f>IFERROR(__xludf.DUMMYFUNCTION("""COMPUTED_VALUE"""),64.0)</f>
        <v>64</v>
      </c>
      <c r="B1155" s="3" t="str">
        <f>IFERROR(__xludf.DUMMYFUNCTION("""COMPUTED_VALUE"""),"Almarai Strawberry")</f>
        <v>Almarai Strawberry</v>
      </c>
    </row>
    <row r="1156">
      <c r="A1156" s="3">
        <f>IFERROR(__xludf.DUMMYFUNCTION("""COMPUTED_VALUE"""),65.0)</f>
        <v>65</v>
      </c>
      <c r="B1156" s="3" t="str">
        <f>IFERROR(__xludf.DUMMYFUNCTION("""COMPUTED_VALUE"""),"Dallas juice")</f>
        <v>Dallas juice</v>
      </c>
    </row>
    <row r="1157">
      <c r="A1157" s="3">
        <f>IFERROR(__xludf.DUMMYFUNCTION("""COMPUTED_VALUE"""),88.0)</f>
        <v>88</v>
      </c>
      <c r="B1157" s="3" t="str">
        <f>IFERROR(__xludf.DUMMYFUNCTION("""COMPUTED_VALUE"""),"brownies moulin")</f>
        <v>brownies moulin</v>
      </c>
    </row>
    <row r="1158">
      <c r="A1158" s="3">
        <f>IFERROR(__xludf.DUMMYFUNCTION("""COMPUTED_VALUE"""),97.0)</f>
        <v>97</v>
      </c>
      <c r="B1158" s="3" t="str">
        <f>IFERROR(__xludf.DUMMYFUNCTION("""COMPUTED_VALUE"""),"Doritos nacho")</f>
        <v>Doritos nacho</v>
      </c>
    </row>
    <row r="1159">
      <c r="A1159" s="3">
        <f>IFERROR(__xludf.DUMMYFUNCTION("""COMPUTED_VALUE"""),99.0)</f>
        <v>99</v>
      </c>
      <c r="B1159" s="3" t="str">
        <f>IFERROR(__xludf.DUMMYFUNCTION("""COMPUTED_VALUE"""),"Shani")</f>
        <v>Shani</v>
      </c>
    </row>
    <row r="1160">
      <c r="A1160" s="3">
        <f>IFERROR(__xludf.DUMMYFUNCTION("""COMPUTED_VALUE"""),100.0)</f>
        <v>100</v>
      </c>
      <c r="B1160" s="3" t="str">
        <f>IFERROR(__xludf.DUMMYFUNCTION("""COMPUTED_VALUE"""),"Mr Cruch veggy's")</f>
        <v>Mr Cruch veggy's</v>
      </c>
    </row>
    <row r="1161">
      <c r="A1161" s="3">
        <f>IFERROR(__xludf.DUMMYFUNCTION("""COMPUTED_VALUE"""),120.0)</f>
        <v>120</v>
      </c>
      <c r="B1161" s="3" t="str">
        <f>IFERROR(__xludf.DUMMYFUNCTION("""COMPUTED_VALUE"""),"Chillax chips")</f>
        <v>Chillax chips</v>
      </c>
    </row>
    <row r="1162">
      <c r="A1162" s="3">
        <f>IFERROR(__xludf.DUMMYFUNCTION("""COMPUTED_VALUE"""),126.0)</f>
        <v>126</v>
      </c>
      <c r="B1162" s="3" t="str">
        <f>IFERROR(__xludf.DUMMYFUNCTION("""COMPUTED_VALUE"""),"Coach Suntop")</f>
        <v>Coach Suntop</v>
      </c>
    </row>
    <row r="1163">
      <c r="A1163" s="3">
        <f>IFERROR(__xludf.DUMMYFUNCTION("""COMPUTED_VALUE"""),130.0)</f>
        <v>130</v>
      </c>
      <c r="B1163" s="3" t="str">
        <f>IFERROR(__xludf.DUMMYFUNCTION("""COMPUTED_VALUE"""),"Schweppes bullet")</f>
        <v>Schweppes bullet</v>
      </c>
    </row>
    <row r="1164">
      <c r="A1164" s="3">
        <f>IFERROR(__xludf.DUMMYFUNCTION("""COMPUTED_VALUE"""),137.0)</f>
        <v>137</v>
      </c>
      <c r="B1164" s="3" t="str">
        <f>IFERROR(__xludf.DUMMYFUNCTION("""COMPUTED_VALUE"""),"Doritos cool ranc")</f>
        <v>Doritos cool ranc</v>
      </c>
    </row>
    <row r="1165">
      <c r="A1165" s="3">
        <f>IFERROR(__xludf.DUMMYFUNCTION("""COMPUTED_VALUE"""),137.0)</f>
        <v>137</v>
      </c>
      <c r="B1165" s="3" t="str">
        <f>IFERROR(__xludf.DUMMYFUNCTION("""COMPUTED_VALUE"""),"Doritos red hot")</f>
        <v>Doritos red hot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560</v>
      </c>
      <c r="B1" s="1" t="s">
        <v>0</v>
      </c>
      <c r="C1" s="1" t="s">
        <v>561</v>
      </c>
      <c r="D1" s="1" t="s">
        <v>562</v>
      </c>
      <c r="E1" s="1" t="s">
        <v>563</v>
      </c>
      <c r="F1" s="4" t="s">
        <v>564</v>
      </c>
      <c r="G1" s="1" t="s">
        <v>565</v>
      </c>
      <c r="H1" s="1" t="s">
        <v>566</v>
      </c>
      <c r="I1" s="1" t="s">
        <v>567</v>
      </c>
      <c r="J1" s="1" t="s">
        <v>568</v>
      </c>
    </row>
    <row r="2">
      <c r="A2" s="2" t="s">
        <v>569</v>
      </c>
      <c r="B2" s="5" t="s">
        <v>202</v>
      </c>
      <c r="C2" s="6">
        <v>46051.61640046296</v>
      </c>
      <c r="D2" s="2">
        <v>10.0</v>
      </c>
      <c r="F2" s="2" t="s">
        <v>570</v>
      </c>
      <c r="H2" s="2" t="s">
        <v>571</v>
      </c>
    </row>
    <row r="3">
      <c r="A3" s="2" t="s">
        <v>572</v>
      </c>
      <c r="B3" s="5" t="s">
        <v>202</v>
      </c>
      <c r="C3" s="6">
        <v>46051.616898148146</v>
      </c>
      <c r="D3" s="2">
        <v>5.0</v>
      </c>
      <c r="H3" s="2" t="s">
        <v>571</v>
      </c>
    </row>
    <row r="4">
      <c r="A4" s="2" t="s">
        <v>573</v>
      </c>
      <c r="B4" s="5" t="s">
        <v>202</v>
      </c>
      <c r="C4" s="6">
        <v>46051.61819444445</v>
      </c>
      <c r="D4" s="2">
        <v>1.0</v>
      </c>
      <c r="F4" s="2" t="s">
        <v>570</v>
      </c>
      <c r="H4" s="2" t="s">
        <v>571</v>
      </c>
    </row>
    <row r="5">
      <c r="A5" s="2" t="s">
        <v>574</v>
      </c>
      <c r="B5" s="2" t="s">
        <v>220</v>
      </c>
      <c r="C5" s="6">
        <v>46051.62831018519</v>
      </c>
      <c r="D5" s="2">
        <v>5.0</v>
      </c>
      <c r="F5" s="2" t="s">
        <v>570</v>
      </c>
      <c r="H5" s="2" t="s">
        <v>571</v>
      </c>
    </row>
    <row r="6">
      <c r="A6" s="2" t="s">
        <v>575</v>
      </c>
      <c r="B6" s="2" t="s">
        <v>220</v>
      </c>
      <c r="C6" s="6">
        <v>46051.62862268519</v>
      </c>
      <c r="D6" s="2">
        <v>1.0</v>
      </c>
      <c r="F6" s="2" t="s">
        <v>570</v>
      </c>
      <c r="H6" s="2" t="s">
        <v>571</v>
      </c>
    </row>
    <row r="7">
      <c r="A7" s="2" t="s">
        <v>576</v>
      </c>
      <c r="B7" s="2" t="s">
        <v>220</v>
      </c>
      <c r="C7" s="6">
        <v>46051.62925925926</v>
      </c>
      <c r="D7" s="2">
        <v>2.0</v>
      </c>
      <c r="F7" s="2" t="s">
        <v>570</v>
      </c>
      <c r="H7" s="2" t="s">
        <v>571</v>
      </c>
    </row>
    <row r="8">
      <c r="A8" s="2" t="s">
        <v>577</v>
      </c>
      <c r="B8" s="5" t="s">
        <v>202</v>
      </c>
      <c r="C8" s="6">
        <v>46051.64810185185</v>
      </c>
      <c r="D8" s="2">
        <v>-1.0</v>
      </c>
      <c r="H8" s="2" t="s">
        <v>571</v>
      </c>
    </row>
    <row r="9">
      <c r="A9" s="2" t="s">
        <v>578</v>
      </c>
      <c r="B9" s="5" t="s">
        <v>165</v>
      </c>
      <c r="C9" s="6">
        <v>46054.814421296294</v>
      </c>
      <c r="D9" s="2">
        <v>24.0</v>
      </c>
      <c r="E9" s="2" t="s">
        <v>579</v>
      </c>
      <c r="H9" s="2" t="s">
        <v>571</v>
      </c>
    </row>
    <row r="10">
      <c r="A10" s="2" t="s">
        <v>580</v>
      </c>
      <c r="B10" s="2" t="s">
        <v>289</v>
      </c>
      <c r="C10" s="6">
        <v>46054.81538194444</v>
      </c>
      <c r="D10" s="2">
        <v>36.0</v>
      </c>
      <c r="E10" s="2" t="s">
        <v>581</v>
      </c>
      <c r="H10" s="2" t="s">
        <v>571</v>
      </c>
    </row>
    <row r="11">
      <c r="A11" s="2" t="s">
        <v>582</v>
      </c>
      <c r="B11" s="5" t="s">
        <v>165</v>
      </c>
      <c r="C11" s="6">
        <v>46054.81694444444</v>
      </c>
      <c r="D11" s="2">
        <v>72.0</v>
      </c>
      <c r="E11" s="2" t="s">
        <v>583</v>
      </c>
      <c r="H11" s="2" t="s">
        <v>571</v>
      </c>
    </row>
    <row r="12">
      <c r="A12" s="2" t="s">
        <v>584</v>
      </c>
      <c r="B12" s="2" t="s">
        <v>259</v>
      </c>
      <c r="C12" s="6">
        <v>46054.81886574074</v>
      </c>
      <c r="D12" s="2">
        <v>150.0</v>
      </c>
      <c r="E12" s="2" t="s">
        <v>585</v>
      </c>
      <c r="H12" s="2" t="s">
        <v>571</v>
      </c>
    </row>
    <row r="13">
      <c r="A13" s="2" t="s">
        <v>586</v>
      </c>
      <c r="B13" s="2" t="s">
        <v>259</v>
      </c>
      <c r="C13" s="6">
        <v>46055.464907407404</v>
      </c>
      <c r="D13" s="2">
        <v>1.0</v>
      </c>
      <c r="E13" s="2" t="s">
        <v>587</v>
      </c>
      <c r="H13" s="2" t="s">
        <v>571</v>
      </c>
    </row>
    <row r="14">
      <c r="A14" s="2" t="s">
        <v>588</v>
      </c>
      <c r="B14" s="5" t="s">
        <v>14</v>
      </c>
      <c r="C14" s="6">
        <v>46055.476493055554</v>
      </c>
      <c r="D14" s="2">
        <v>100.0</v>
      </c>
      <c r="E14" s="2" t="s">
        <v>589</v>
      </c>
      <c r="H14" s="2" t="s">
        <v>571</v>
      </c>
    </row>
    <row r="15">
      <c r="A15" s="2" t="s">
        <v>590</v>
      </c>
      <c r="B15" s="2" t="s">
        <v>259</v>
      </c>
      <c r="C15" s="6">
        <v>46055.47699074074</v>
      </c>
      <c r="D15" s="2">
        <v>1.0</v>
      </c>
      <c r="E15" s="2" t="s">
        <v>591</v>
      </c>
      <c r="H15" s="2" t="s">
        <v>571</v>
      </c>
    </row>
    <row r="16">
      <c r="A16" s="2" t="s">
        <v>592</v>
      </c>
      <c r="B16" s="5" t="s">
        <v>14</v>
      </c>
      <c r="C16" s="6">
        <v>46055.481099537035</v>
      </c>
      <c r="D16" s="2">
        <v>70.0</v>
      </c>
      <c r="E16" s="2" t="s">
        <v>593</v>
      </c>
      <c r="H16" s="2" t="s">
        <v>571</v>
      </c>
    </row>
    <row r="17">
      <c r="A17" s="2" t="s">
        <v>594</v>
      </c>
      <c r="B17" s="2" t="s">
        <v>259</v>
      </c>
      <c r="C17" s="6">
        <v>46056.7409837963</v>
      </c>
      <c r="D17" s="2">
        <v>1.0</v>
      </c>
      <c r="E17" s="2" t="s">
        <v>595</v>
      </c>
      <c r="H17" s="2" t="s">
        <v>571</v>
      </c>
    </row>
    <row r="18">
      <c r="A18" s="2" t="s">
        <v>596</v>
      </c>
      <c r="B18" s="2" t="s">
        <v>259</v>
      </c>
      <c r="C18" s="6">
        <v>46056.75356481481</v>
      </c>
      <c r="D18" s="2">
        <v>0.0</v>
      </c>
      <c r="E18" s="2" t="s">
        <v>597</v>
      </c>
      <c r="H18" s="2" t="s">
        <v>571</v>
      </c>
    </row>
    <row r="19">
      <c r="A19" s="2" t="s">
        <v>598</v>
      </c>
      <c r="B19" s="5" t="s">
        <v>217</v>
      </c>
      <c r="C19" s="6">
        <v>46061.63375</v>
      </c>
      <c r="D19" s="2">
        <v>45.0</v>
      </c>
      <c r="H19" s="2" t="s">
        <v>599</v>
      </c>
    </row>
    <row r="20">
      <c r="A20" s="2" t="s">
        <v>600</v>
      </c>
      <c r="B20" s="2" t="s">
        <v>271</v>
      </c>
      <c r="C20" s="6">
        <v>46061.63386574074</v>
      </c>
      <c r="D20" s="2">
        <v>4.0</v>
      </c>
      <c r="H20" s="2" t="s">
        <v>599</v>
      </c>
    </row>
    <row r="21" ht="15.75" customHeight="1">
      <c r="A21" s="2" t="s">
        <v>601</v>
      </c>
      <c r="B21" s="5" t="s">
        <v>183</v>
      </c>
      <c r="C21" s="6">
        <v>46061.63553240741</v>
      </c>
      <c r="D21" s="2">
        <v>53.0</v>
      </c>
      <c r="H21" s="2" t="s">
        <v>599</v>
      </c>
    </row>
    <row r="22" ht="15.75" customHeight="1">
      <c r="A22" s="2" t="s">
        <v>602</v>
      </c>
      <c r="B22" s="5" t="s">
        <v>142</v>
      </c>
      <c r="C22" s="6">
        <v>46061.63590277778</v>
      </c>
      <c r="D22" s="2">
        <v>24.0</v>
      </c>
      <c r="H22" s="2" t="s">
        <v>599</v>
      </c>
    </row>
    <row r="23" ht="15.75" customHeight="1">
      <c r="A23" s="2" t="s">
        <v>603</v>
      </c>
      <c r="B23" s="5" t="s">
        <v>142</v>
      </c>
      <c r="C23" s="6">
        <v>46061.63600694444</v>
      </c>
      <c r="D23" s="2">
        <v>24.0</v>
      </c>
      <c r="H23" s="2" t="s">
        <v>599</v>
      </c>
    </row>
    <row r="24" ht="15.75" customHeight="1">
      <c r="A24" s="2" t="s">
        <v>604</v>
      </c>
      <c r="B24" s="5" t="s">
        <v>142</v>
      </c>
      <c r="C24" s="6">
        <v>46061.6362037037</v>
      </c>
      <c r="D24" s="2">
        <v>3.0</v>
      </c>
      <c r="H24" s="2" t="s">
        <v>599</v>
      </c>
    </row>
    <row r="25" ht="15.75" customHeight="1">
      <c r="A25" s="2" t="s">
        <v>605</v>
      </c>
      <c r="B25" s="5" t="s">
        <v>82</v>
      </c>
      <c r="C25" s="6">
        <v>46061.636655092596</v>
      </c>
      <c r="D25" s="2">
        <v>17.0</v>
      </c>
      <c r="H25" s="2" t="s">
        <v>599</v>
      </c>
    </row>
    <row r="26" ht="15.75" customHeight="1">
      <c r="A26" s="2" t="s">
        <v>606</v>
      </c>
      <c r="B26" s="2" t="s">
        <v>301</v>
      </c>
      <c r="C26" s="6">
        <v>46061.637453703705</v>
      </c>
      <c r="D26" s="2">
        <v>18.0</v>
      </c>
      <c r="H26" s="2" t="s">
        <v>599</v>
      </c>
    </row>
    <row r="27" ht="15.75" customHeight="1">
      <c r="A27" s="2" t="s">
        <v>607</v>
      </c>
      <c r="B27" s="2" t="s">
        <v>301</v>
      </c>
      <c r="C27" s="6">
        <v>46061.63774305556</v>
      </c>
      <c r="D27" s="2">
        <v>24.0</v>
      </c>
      <c r="H27" s="2" t="s">
        <v>599</v>
      </c>
    </row>
    <row r="28" ht="15.75" customHeight="1">
      <c r="A28" s="2" t="s">
        <v>608</v>
      </c>
      <c r="B28" s="5" t="s">
        <v>105</v>
      </c>
      <c r="C28" s="6">
        <v>46061.63805555556</v>
      </c>
      <c r="D28" s="2">
        <v>4.0</v>
      </c>
      <c r="H28" s="2" t="s">
        <v>599</v>
      </c>
    </row>
    <row r="29" ht="15.75" customHeight="1">
      <c r="A29" s="2" t="s">
        <v>609</v>
      </c>
      <c r="B29" s="2" t="s">
        <v>283</v>
      </c>
      <c r="C29" s="6">
        <v>46061.63979166667</v>
      </c>
      <c r="D29" s="2">
        <v>30.0</v>
      </c>
      <c r="H29" s="2" t="s">
        <v>599</v>
      </c>
    </row>
    <row r="30" ht="15.75" customHeight="1">
      <c r="A30" s="2" t="s">
        <v>610</v>
      </c>
      <c r="B30" s="5" t="s">
        <v>159</v>
      </c>
      <c r="C30" s="6">
        <v>46061.640439814815</v>
      </c>
      <c r="D30" s="2">
        <v>12.0</v>
      </c>
      <c r="H30" s="2" t="s">
        <v>599</v>
      </c>
    </row>
    <row r="31" ht="15.75" customHeight="1">
      <c r="A31" s="2" t="s">
        <v>611</v>
      </c>
      <c r="B31" s="5" t="s">
        <v>183</v>
      </c>
      <c r="C31" s="6">
        <v>46061.64475694444</v>
      </c>
      <c r="D31" s="2">
        <v>5.0</v>
      </c>
      <c r="H31" s="2" t="s">
        <v>599</v>
      </c>
    </row>
    <row r="32" ht="15.75" customHeight="1">
      <c r="A32" s="2" t="s">
        <v>612</v>
      </c>
      <c r="B32" s="5" t="s">
        <v>192</v>
      </c>
      <c r="C32" s="6">
        <v>46061.6459375</v>
      </c>
      <c r="D32" s="2">
        <v>141.0</v>
      </c>
      <c r="H32" s="2" t="s">
        <v>599</v>
      </c>
    </row>
    <row r="33" ht="15.75" customHeight="1">
      <c r="A33" s="2" t="s">
        <v>613</v>
      </c>
      <c r="B33" s="2" t="s">
        <v>247</v>
      </c>
      <c r="C33" s="6">
        <v>46061.64619212963</v>
      </c>
      <c r="D33" s="2">
        <v>40.0</v>
      </c>
      <c r="H33" s="2" t="s">
        <v>599</v>
      </c>
    </row>
    <row r="34" ht="15.75" customHeight="1">
      <c r="A34" s="2" t="s">
        <v>614</v>
      </c>
      <c r="B34" s="2" t="s">
        <v>304</v>
      </c>
      <c r="C34" s="6">
        <v>46061.6515162037</v>
      </c>
      <c r="D34" s="2">
        <v>14.0</v>
      </c>
      <c r="H34" s="2" t="s">
        <v>599</v>
      </c>
    </row>
    <row r="35" ht="15.75" customHeight="1">
      <c r="A35" s="2" t="s">
        <v>615</v>
      </c>
      <c r="B35" s="2" t="s">
        <v>307</v>
      </c>
      <c r="C35" s="6">
        <v>46061.652025462965</v>
      </c>
      <c r="D35" s="2">
        <v>18.0</v>
      </c>
      <c r="H35" s="2" t="s">
        <v>599</v>
      </c>
    </row>
    <row r="36" ht="15.75" customHeight="1">
      <c r="A36" s="2" t="s">
        <v>616</v>
      </c>
      <c r="B36" s="5" t="s">
        <v>192</v>
      </c>
      <c r="C36" s="6">
        <v>46061.652141203704</v>
      </c>
      <c r="D36" s="2">
        <v>109.0</v>
      </c>
      <c r="H36" s="2" t="s">
        <v>599</v>
      </c>
    </row>
    <row r="37" ht="15.75" customHeight="1">
      <c r="A37" s="2" t="s">
        <v>617</v>
      </c>
      <c r="B37" s="5" t="s">
        <v>192</v>
      </c>
      <c r="C37" s="6">
        <v>46061.65262731481</v>
      </c>
      <c r="D37" s="2">
        <v>-141.0</v>
      </c>
      <c r="H37" s="2" t="s">
        <v>599</v>
      </c>
    </row>
    <row r="38" ht="15.75" customHeight="1">
      <c r="A38" s="2" t="s">
        <v>618</v>
      </c>
      <c r="B38" s="2" t="s">
        <v>247</v>
      </c>
      <c r="C38" s="6">
        <v>46061.65310185185</v>
      </c>
      <c r="D38" s="2">
        <v>-40.0</v>
      </c>
      <c r="H38" s="2" t="s">
        <v>599</v>
      </c>
    </row>
    <row r="39" ht="15.75" customHeight="1">
      <c r="A39" s="2" t="s">
        <v>619</v>
      </c>
      <c r="B39" s="2" t="s">
        <v>247</v>
      </c>
      <c r="C39" s="6">
        <v>46061.653275462966</v>
      </c>
      <c r="D39" s="2">
        <v>24.0</v>
      </c>
      <c r="H39" s="2" t="s">
        <v>599</v>
      </c>
    </row>
    <row r="40" ht="15.75" customHeight="1">
      <c r="A40" s="2" t="s">
        <v>620</v>
      </c>
      <c r="B40" s="2" t="s">
        <v>310</v>
      </c>
      <c r="C40" s="6">
        <v>46061.65412037037</v>
      </c>
      <c r="D40" s="2">
        <v>16.0</v>
      </c>
      <c r="H40" s="2" t="s">
        <v>599</v>
      </c>
    </row>
    <row r="41" ht="15.75" customHeight="1">
      <c r="A41" s="2" t="s">
        <v>621</v>
      </c>
      <c r="B41" s="5" t="s">
        <v>206</v>
      </c>
      <c r="C41" s="6">
        <v>46061.65521990741</v>
      </c>
      <c r="D41" s="2">
        <v>35.0</v>
      </c>
      <c r="H41" s="2" t="s">
        <v>599</v>
      </c>
    </row>
    <row r="42" ht="15.75" customHeight="1">
      <c r="A42" s="2" t="s">
        <v>622</v>
      </c>
      <c r="B42" s="2" t="s">
        <v>313</v>
      </c>
      <c r="C42" s="6">
        <v>46061.656122685185</v>
      </c>
      <c r="D42" s="2">
        <v>34.0</v>
      </c>
      <c r="H42" s="2" t="s">
        <v>599</v>
      </c>
    </row>
    <row r="43" ht="15.75" customHeight="1">
      <c r="A43" s="2" t="s">
        <v>623</v>
      </c>
      <c r="B43" s="2" t="s">
        <v>316</v>
      </c>
      <c r="C43" s="6">
        <v>46061.656539351854</v>
      </c>
      <c r="D43" s="2">
        <v>12.0</v>
      </c>
      <c r="H43" s="2" t="s">
        <v>599</v>
      </c>
    </row>
    <row r="44" ht="15.75" customHeight="1">
      <c r="A44" s="2" t="s">
        <v>624</v>
      </c>
      <c r="B44" s="5" t="s">
        <v>96</v>
      </c>
      <c r="C44" s="6">
        <v>46061.65725694445</v>
      </c>
      <c r="D44" s="2">
        <v>89.0</v>
      </c>
      <c r="H44" s="2" t="s">
        <v>599</v>
      </c>
    </row>
    <row r="45" ht="15.75" customHeight="1">
      <c r="A45" s="2" t="s">
        <v>625</v>
      </c>
      <c r="B45" s="5" t="s">
        <v>250</v>
      </c>
      <c r="C45" s="6">
        <v>46061.65841435185</v>
      </c>
      <c r="D45" s="2">
        <v>2.0</v>
      </c>
      <c r="H45" s="2" t="s">
        <v>599</v>
      </c>
    </row>
    <row r="46" ht="15.75" customHeight="1">
      <c r="A46" s="2" t="s">
        <v>626</v>
      </c>
      <c r="B46" s="2" t="s">
        <v>253</v>
      </c>
      <c r="C46" s="6">
        <v>46061.658530092594</v>
      </c>
      <c r="D46" s="2">
        <v>1.0</v>
      </c>
      <c r="H46" s="2" t="s">
        <v>599</v>
      </c>
    </row>
    <row r="47" ht="15.75" customHeight="1">
      <c r="A47" s="2" t="s">
        <v>627</v>
      </c>
      <c r="B47" s="2" t="s">
        <v>244</v>
      </c>
      <c r="C47" s="6">
        <v>46061.658680555556</v>
      </c>
      <c r="D47" s="2">
        <v>24.0</v>
      </c>
      <c r="H47" s="2" t="s">
        <v>599</v>
      </c>
    </row>
    <row r="48" ht="15.75" customHeight="1">
      <c r="A48" s="2" t="s">
        <v>628</v>
      </c>
      <c r="B48" s="5" t="s">
        <v>183</v>
      </c>
      <c r="C48" s="6">
        <v>46061.65907407407</v>
      </c>
      <c r="D48" s="2">
        <v>-5.0</v>
      </c>
      <c r="H48" s="2" t="s">
        <v>599</v>
      </c>
    </row>
    <row r="49" ht="15.75" customHeight="1">
      <c r="A49" s="2" t="s">
        <v>629</v>
      </c>
      <c r="B49" s="2" t="s">
        <v>318</v>
      </c>
      <c r="C49" s="6">
        <v>46061.661203703705</v>
      </c>
      <c r="D49" s="2">
        <v>7.0</v>
      </c>
      <c r="H49" s="2" t="s">
        <v>599</v>
      </c>
    </row>
    <row r="50" ht="15.75" customHeight="1">
      <c r="A50" s="2" t="s">
        <v>630</v>
      </c>
      <c r="B50" s="5" t="s">
        <v>59</v>
      </c>
      <c r="C50" s="6">
        <v>46061.661469907405</v>
      </c>
      <c r="D50" s="2">
        <v>1.0</v>
      </c>
      <c r="H50" s="2" t="s">
        <v>599</v>
      </c>
    </row>
    <row r="51" ht="15.75" customHeight="1">
      <c r="A51" s="2" t="s">
        <v>631</v>
      </c>
      <c r="B51" s="5" t="s">
        <v>59</v>
      </c>
      <c r="C51" s="6">
        <v>46061.661724537036</v>
      </c>
      <c r="D51" s="2">
        <v>-1.0</v>
      </c>
      <c r="H51" s="2" t="s">
        <v>599</v>
      </c>
    </row>
    <row r="52" ht="15.75" customHeight="1">
      <c r="A52" s="2" t="s">
        <v>632</v>
      </c>
      <c r="B52" s="5" t="s">
        <v>131</v>
      </c>
      <c r="C52" s="6">
        <v>46061.666446759256</v>
      </c>
      <c r="D52" s="2">
        <v>70.0</v>
      </c>
      <c r="H52" s="2" t="s">
        <v>599</v>
      </c>
    </row>
    <row r="53" ht="15.75" customHeight="1">
      <c r="A53" s="2" t="s">
        <v>633</v>
      </c>
      <c r="B53" s="2" t="s">
        <v>321</v>
      </c>
      <c r="C53" s="6">
        <v>46061.66847222222</v>
      </c>
      <c r="D53" s="2">
        <v>12.0</v>
      </c>
      <c r="H53" s="2" t="s">
        <v>599</v>
      </c>
    </row>
    <row r="54" ht="15.75" customHeight="1">
      <c r="A54" s="2" t="s">
        <v>634</v>
      </c>
      <c r="B54" s="5" t="s">
        <v>49</v>
      </c>
      <c r="C54" s="6">
        <v>46061.668969907405</v>
      </c>
      <c r="D54" s="2">
        <v>12.0</v>
      </c>
      <c r="H54" s="2" t="s">
        <v>599</v>
      </c>
    </row>
    <row r="55" ht="15.75" customHeight="1">
      <c r="A55" s="2" t="s">
        <v>635</v>
      </c>
      <c r="B55" s="2" t="s">
        <v>324</v>
      </c>
      <c r="C55" s="6">
        <v>46061.67052083334</v>
      </c>
      <c r="D55" s="2">
        <v>4.0</v>
      </c>
      <c r="H55" s="2" t="s">
        <v>599</v>
      </c>
    </row>
    <row r="56" ht="15.75" customHeight="1">
      <c r="A56" s="2" t="s">
        <v>636</v>
      </c>
      <c r="B56" s="2" t="s">
        <v>226</v>
      </c>
      <c r="C56" s="6">
        <v>46061.67099537037</v>
      </c>
      <c r="D56" s="2">
        <v>5.0</v>
      </c>
      <c r="H56" s="2" t="s">
        <v>599</v>
      </c>
    </row>
    <row r="57" ht="15.75" customHeight="1">
      <c r="A57" s="2" t="s">
        <v>637</v>
      </c>
      <c r="B57" s="2" t="s">
        <v>229</v>
      </c>
      <c r="C57" s="6">
        <v>46061.67114583333</v>
      </c>
      <c r="D57" s="2">
        <v>12.0</v>
      </c>
      <c r="H57" s="2" t="s">
        <v>599</v>
      </c>
    </row>
    <row r="58" ht="15.75" customHeight="1">
      <c r="A58" s="2" t="s">
        <v>638</v>
      </c>
      <c r="B58" s="5" t="s">
        <v>202</v>
      </c>
      <c r="C58" s="6">
        <v>46061.67123842592</v>
      </c>
      <c r="D58" s="2">
        <v>12.0</v>
      </c>
      <c r="H58" s="2" t="s">
        <v>599</v>
      </c>
    </row>
    <row r="59" ht="15.75" customHeight="1">
      <c r="A59" s="2" t="s">
        <v>639</v>
      </c>
      <c r="B59" s="2" t="s">
        <v>327</v>
      </c>
      <c r="C59" s="6">
        <v>46061.673101851855</v>
      </c>
      <c r="D59" s="2">
        <v>1.0</v>
      </c>
      <c r="H59" s="2" t="s">
        <v>599</v>
      </c>
    </row>
    <row r="60" ht="15.75" customHeight="1">
      <c r="A60" s="2" t="s">
        <v>640</v>
      </c>
      <c r="B60" s="2" t="s">
        <v>330</v>
      </c>
      <c r="C60" s="6">
        <v>46061.67380787037</v>
      </c>
      <c r="D60" s="2">
        <v>1.0</v>
      </c>
      <c r="H60" s="2" t="s">
        <v>599</v>
      </c>
    </row>
    <row r="61" ht="15.75" customHeight="1">
      <c r="A61" s="2" t="s">
        <v>641</v>
      </c>
      <c r="B61" s="2" t="s">
        <v>220</v>
      </c>
      <c r="C61" s="6">
        <v>46061.67390046296</v>
      </c>
      <c r="D61" s="2">
        <v>-8.0</v>
      </c>
      <c r="H61" s="2" t="s">
        <v>599</v>
      </c>
    </row>
    <row r="62" ht="15.75" customHeight="1">
      <c r="A62" s="2" t="s">
        <v>642</v>
      </c>
      <c r="B62" s="5" t="s">
        <v>202</v>
      </c>
      <c r="C62" s="6">
        <v>46061.67403935185</v>
      </c>
      <c r="D62" s="2">
        <v>-15.0</v>
      </c>
      <c r="H62" s="2" t="s">
        <v>599</v>
      </c>
    </row>
    <row r="63" ht="15.75" customHeight="1">
      <c r="A63" s="5" t="s">
        <v>643</v>
      </c>
      <c r="B63" s="2" t="s">
        <v>333</v>
      </c>
      <c r="C63" s="6">
        <v>46061.67702546297</v>
      </c>
      <c r="D63" s="2">
        <v>41.0</v>
      </c>
      <c r="H63" s="2" t="s">
        <v>599</v>
      </c>
    </row>
    <row r="64" ht="15.75" customHeight="1">
      <c r="A64" s="2" t="s">
        <v>644</v>
      </c>
      <c r="B64" s="2" t="s">
        <v>238</v>
      </c>
      <c r="C64" s="6">
        <v>46061.67841435185</v>
      </c>
      <c r="D64" s="2">
        <v>73.0</v>
      </c>
      <c r="H64" s="2" t="s">
        <v>599</v>
      </c>
    </row>
    <row r="65" ht="15.75" customHeight="1">
      <c r="A65" s="2" t="s">
        <v>645</v>
      </c>
      <c r="B65" s="2" t="s">
        <v>289</v>
      </c>
      <c r="C65" s="6">
        <v>46061.68009259259</v>
      </c>
      <c r="D65" s="2">
        <v>72.0</v>
      </c>
      <c r="H65" s="2" t="s">
        <v>599</v>
      </c>
    </row>
    <row r="66" ht="15.75" customHeight="1">
      <c r="A66" s="2" t="s">
        <v>646</v>
      </c>
      <c r="B66" s="5" t="s">
        <v>120</v>
      </c>
      <c r="C66" s="6">
        <v>46061.68125</v>
      </c>
      <c r="D66" s="2">
        <v>16.0</v>
      </c>
      <c r="H66" s="2" t="s">
        <v>599</v>
      </c>
    </row>
    <row r="67" ht="15.75" customHeight="1">
      <c r="A67" s="2" t="s">
        <v>647</v>
      </c>
      <c r="B67" s="2" t="s">
        <v>336</v>
      </c>
      <c r="C67" s="6">
        <v>46061.68424768518</v>
      </c>
      <c r="D67" s="2">
        <v>13.0</v>
      </c>
      <c r="H67" s="2" t="s">
        <v>599</v>
      </c>
    </row>
    <row r="68" ht="15.75" customHeight="1">
      <c r="A68" s="2" t="s">
        <v>648</v>
      </c>
      <c r="B68" s="2" t="s">
        <v>342</v>
      </c>
      <c r="C68" s="6">
        <v>46061.68451388889</v>
      </c>
      <c r="D68" s="2">
        <v>48.0</v>
      </c>
      <c r="H68" s="2" t="s">
        <v>599</v>
      </c>
    </row>
    <row r="69" ht="15.75" customHeight="1">
      <c r="A69" s="2" t="s">
        <v>649</v>
      </c>
      <c r="B69" s="5" t="s">
        <v>165</v>
      </c>
      <c r="C69" s="6">
        <v>46061.68497685185</v>
      </c>
      <c r="D69" s="2">
        <v>-96.0</v>
      </c>
      <c r="H69" s="2" t="s">
        <v>599</v>
      </c>
    </row>
    <row r="70" ht="15.75" customHeight="1">
      <c r="A70" s="2" t="s">
        <v>650</v>
      </c>
      <c r="B70" s="5" t="s">
        <v>165</v>
      </c>
      <c r="C70" s="6">
        <v>46061.68510416667</v>
      </c>
      <c r="D70" s="2">
        <v>72.0</v>
      </c>
      <c r="H70" s="2" t="s">
        <v>599</v>
      </c>
    </row>
    <row r="71" ht="15.75" customHeight="1">
      <c r="A71" s="2" t="s">
        <v>651</v>
      </c>
      <c r="B71" s="2" t="s">
        <v>339</v>
      </c>
      <c r="C71" s="6">
        <v>46061.68540509259</v>
      </c>
      <c r="D71" s="2">
        <v>4.0</v>
      </c>
      <c r="H71" s="2" t="s">
        <v>599</v>
      </c>
    </row>
    <row r="72" ht="15.75" customHeight="1">
      <c r="A72" s="2" t="s">
        <v>652</v>
      </c>
      <c r="B72" s="5" t="s">
        <v>14</v>
      </c>
      <c r="C72" s="6">
        <v>46061.685844907406</v>
      </c>
      <c r="D72" s="2">
        <v>-99.0</v>
      </c>
      <c r="H72" s="2" t="s">
        <v>599</v>
      </c>
    </row>
    <row r="73" ht="15.75" customHeight="1">
      <c r="A73" s="2" t="s">
        <v>653</v>
      </c>
      <c r="B73" s="2" t="s">
        <v>654</v>
      </c>
      <c r="C73" s="6">
        <v>46061.686203703706</v>
      </c>
      <c r="D73" s="2">
        <v>10.0</v>
      </c>
      <c r="H73" s="2" t="s">
        <v>599</v>
      </c>
    </row>
    <row r="74" ht="15.75" customHeight="1">
      <c r="A74" s="2" t="s">
        <v>655</v>
      </c>
      <c r="B74" s="5" t="s">
        <v>168</v>
      </c>
      <c r="C74" s="6">
        <v>46061.686631944445</v>
      </c>
      <c r="D74" s="2">
        <v>12.0</v>
      </c>
      <c r="H74" s="2" t="s">
        <v>599</v>
      </c>
    </row>
    <row r="75" ht="15.75" customHeight="1">
      <c r="A75" s="2" t="s">
        <v>656</v>
      </c>
      <c r="B75" s="5" t="s">
        <v>154</v>
      </c>
      <c r="C75" s="6">
        <v>46061.68707175926</v>
      </c>
      <c r="D75" s="2">
        <v>2.0</v>
      </c>
      <c r="H75" s="2" t="s">
        <v>599</v>
      </c>
    </row>
    <row r="76" ht="15.75" customHeight="1">
      <c r="A76" s="2" t="s">
        <v>657</v>
      </c>
      <c r="B76" s="2" t="s">
        <v>345</v>
      </c>
      <c r="C76" s="6">
        <v>46061.68802083333</v>
      </c>
      <c r="D76" s="2">
        <v>3.0</v>
      </c>
      <c r="H76" s="2" t="s">
        <v>599</v>
      </c>
    </row>
    <row r="77" ht="15.75" customHeight="1">
      <c r="A77" s="2" t="s">
        <v>658</v>
      </c>
      <c r="B77" s="5" t="s">
        <v>195</v>
      </c>
      <c r="C77" s="6">
        <v>46061.68814814815</v>
      </c>
      <c r="D77" s="2">
        <v>1.0</v>
      </c>
      <c r="H77" s="2" t="s">
        <v>599</v>
      </c>
    </row>
    <row r="78" ht="15.75" customHeight="1">
      <c r="A78" s="2" t="s">
        <v>659</v>
      </c>
      <c r="B78" s="5" t="s">
        <v>171</v>
      </c>
      <c r="C78" s="6">
        <v>46061.68939814815</v>
      </c>
      <c r="D78" s="2">
        <v>84.0</v>
      </c>
      <c r="H78" s="2" t="s">
        <v>599</v>
      </c>
    </row>
    <row r="79" ht="15.75" customHeight="1">
      <c r="A79" s="2" t="s">
        <v>660</v>
      </c>
      <c r="B79" s="5" t="s">
        <v>186</v>
      </c>
      <c r="C79" s="6">
        <v>46061.689675925925</v>
      </c>
      <c r="D79" s="2">
        <v>15.0</v>
      </c>
      <c r="H79" s="2" t="s">
        <v>599</v>
      </c>
    </row>
    <row r="80" ht="15.75" customHeight="1">
      <c r="A80" s="2" t="s">
        <v>661</v>
      </c>
      <c r="B80" s="5" t="s">
        <v>139</v>
      </c>
      <c r="C80" s="6">
        <v>46061.68982638889</v>
      </c>
      <c r="D80" s="2">
        <v>7.0</v>
      </c>
      <c r="H80" s="2" t="s">
        <v>599</v>
      </c>
    </row>
    <row r="81" ht="15.75" customHeight="1">
      <c r="A81" s="2" t="s">
        <v>662</v>
      </c>
      <c r="B81" s="2" t="s">
        <v>663</v>
      </c>
      <c r="C81" s="6">
        <v>46061.69019675926</v>
      </c>
      <c r="D81" s="2">
        <v>4.0</v>
      </c>
      <c r="H81" s="2" t="s">
        <v>599</v>
      </c>
    </row>
    <row r="82" ht="15.75" customHeight="1">
      <c r="A82" s="2" t="s">
        <v>664</v>
      </c>
      <c r="B82" s="5" t="s">
        <v>211</v>
      </c>
      <c r="C82" s="6">
        <v>46061.69037037037</v>
      </c>
      <c r="D82" s="2">
        <v>2.0</v>
      </c>
      <c r="H82" s="2" t="s">
        <v>599</v>
      </c>
    </row>
    <row r="83" ht="15.75" customHeight="1">
      <c r="A83" s="2" t="s">
        <v>665</v>
      </c>
      <c r="B83" s="5" t="s">
        <v>145</v>
      </c>
      <c r="C83" s="6">
        <v>46061.69094907407</v>
      </c>
      <c r="D83" s="2">
        <v>14.0</v>
      </c>
      <c r="H83" s="2" t="s">
        <v>599</v>
      </c>
    </row>
    <row r="84" ht="15.75" customHeight="1">
      <c r="A84" s="2" t="s">
        <v>666</v>
      </c>
      <c r="B84" s="2" t="s">
        <v>348</v>
      </c>
      <c r="C84" s="6">
        <v>46061.692291666666</v>
      </c>
      <c r="D84" s="2">
        <v>10.0</v>
      </c>
      <c r="H84" s="2" t="s">
        <v>599</v>
      </c>
    </row>
    <row r="85" ht="15.75" customHeight="1">
      <c r="A85" s="2" t="s">
        <v>667</v>
      </c>
      <c r="B85" s="2" t="s">
        <v>351</v>
      </c>
      <c r="C85" s="6">
        <v>46061.69332175926</v>
      </c>
      <c r="D85" s="2">
        <v>16.0</v>
      </c>
      <c r="H85" s="2" t="s">
        <v>599</v>
      </c>
    </row>
    <row r="86" ht="15.75" customHeight="1">
      <c r="A86" s="2" t="s">
        <v>668</v>
      </c>
      <c r="B86" s="5" t="s">
        <v>134</v>
      </c>
      <c r="C86" s="6">
        <v>46061.69435185185</v>
      </c>
      <c r="D86" s="2">
        <v>54.0</v>
      </c>
      <c r="H86" s="2" t="s">
        <v>599</v>
      </c>
    </row>
    <row r="87" ht="15.75" customHeight="1">
      <c r="A87" s="2" t="s">
        <v>669</v>
      </c>
      <c r="B87" s="5" t="s">
        <v>134</v>
      </c>
      <c r="C87" s="6">
        <v>46061.69461805555</v>
      </c>
      <c r="D87" s="2">
        <v>3.0</v>
      </c>
      <c r="H87" s="2" t="s">
        <v>599</v>
      </c>
    </row>
    <row r="88" ht="15.75" customHeight="1">
      <c r="A88" s="2" t="s">
        <v>670</v>
      </c>
      <c r="B88" s="5" t="s">
        <v>59</v>
      </c>
      <c r="C88" s="6">
        <v>46061.694918981484</v>
      </c>
      <c r="D88" s="2">
        <v>80.0</v>
      </c>
      <c r="H88" s="2" t="s">
        <v>599</v>
      </c>
    </row>
    <row r="89" ht="15.75" customHeight="1">
      <c r="A89" s="2" t="s">
        <v>671</v>
      </c>
      <c r="B89" s="2" t="s">
        <v>354</v>
      </c>
      <c r="C89" s="6">
        <v>46061.69631944445</v>
      </c>
      <c r="D89" s="2">
        <v>13.0</v>
      </c>
      <c r="H89" s="2" t="s">
        <v>599</v>
      </c>
    </row>
    <row r="90" ht="15.75" customHeight="1">
      <c r="A90" s="2" t="s">
        <v>672</v>
      </c>
      <c r="B90" s="5" t="s">
        <v>20</v>
      </c>
      <c r="C90" s="6">
        <v>46061.69646990741</v>
      </c>
      <c r="D90" s="2">
        <v>21.0</v>
      </c>
      <c r="H90" s="2" t="s">
        <v>599</v>
      </c>
    </row>
    <row r="91" ht="15.75" customHeight="1">
      <c r="A91" s="2" t="s">
        <v>673</v>
      </c>
      <c r="B91" s="5" t="s">
        <v>189</v>
      </c>
      <c r="C91" s="6">
        <v>46061.69666666666</v>
      </c>
      <c r="D91" s="2">
        <v>21.0</v>
      </c>
      <c r="H91" s="2" t="s">
        <v>599</v>
      </c>
    </row>
    <row r="92" ht="15.75" customHeight="1">
      <c r="A92" s="2" t="s">
        <v>674</v>
      </c>
      <c r="B92" s="2" t="s">
        <v>357</v>
      </c>
      <c r="C92" s="6">
        <v>46061.714837962965</v>
      </c>
      <c r="D92" s="2">
        <v>33.0</v>
      </c>
      <c r="H92" s="2" t="s">
        <v>599</v>
      </c>
    </row>
    <row r="93" ht="15.75" customHeight="1">
      <c r="A93" s="2" t="s">
        <v>675</v>
      </c>
      <c r="B93" s="5" t="s">
        <v>214</v>
      </c>
      <c r="C93" s="6">
        <v>46061.715578703705</v>
      </c>
      <c r="D93" s="2">
        <v>600.0</v>
      </c>
      <c r="E93" s="2" t="s">
        <v>676</v>
      </c>
      <c r="H93" s="2" t="s">
        <v>571</v>
      </c>
    </row>
    <row r="94" ht="15.75" customHeight="1">
      <c r="A94" s="2" t="s">
        <v>677</v>
      </c>
      <c r="B94" s="5" t="s">
        <v>56</v>
      </c>
      <c r="C94" s="6">
        <v>46061.71523148148</v>
      </c>
      <c r="D94" s="2">
        <v>95.0</v>
      </c>
      <c r="H94" s="2" t="s">
        <v>599</v>
      </c>
    </row>
    <row r="95" ht="15.75" customHeight="1">
      <c r="A95" s="2" t="s">
        <v>678</v>
      </c>
      <c r="B95" s="2" t="s">
        <v>295</v>
      </c>
      <c r="C95" s="6">
        <v>46061.716365740744</v>
      </c>
      <c r="D95" s="2">
        <v>144.0</v>
      </c>
      <c r="H95" s="2" t="s">
        <v>599</v>
      </c>
    </row>
    <row r="96" ht="15.75" customHeight="1">
      <c r="A96" s="2" t="s">
        <v>679</v>
      </c>
      <c r="B96" s="2" t="s">
        <v>360</v>
      </c>
      <c r="C96" s="6">
        <v>46061.71840277778</v>
      </c>
      <c r="D96" s="2">
        <v>183.0</v>
      </c>
      <c r="H96" s="2" t="s">
        <v>599</v>
      </c>
    </row>
    <row r="97" ht="15.75" customHeight="1">
      <c r="A97" s="2" t="s">
        <v>680</v>
      </c>
      <c r="B97" s="2" t="s">
        <v>295</v>
      </c>
      <c r="C97" s="6">
        <v>46061.71858796296</v>
      </c>
      <c r="D97" s="2">
        <v>1.0</v>
      </c>
      <c r="H97" s="2" t="s">
        <v>599</v>
      </c>
    </row>
    <row r="98" ht="15.75" customHeight="1">
      <c r="A98" s="2" t="s">
        <v>681</v>
      </c>
      <c r="B98" s="2" t="s">
        <v>241</v>
      </c>
      <c r="C98" s="6">
        <v>46061.718831018516</v>
      </c>
      <c r="D98" s="2">
        <v>24.0</v>
      </c>
      <c r="H98" s="2" t="s">
        <v>599</v>
      </c>
    </row>
    <row r="99" ht="15.75" customHeight="1">
      <c r="A99" s="2" t="s">
        <v>682</v>
      </c>
      <c r="B99" s="2" t="s">
        <v>354</v>
      </c>
      <c r="C99" s="6">
        <v>46061.72048611111</v>
      </c>
      <c r="D99" s="2">
        <v>4.0</v>
      </c>
      <c r="H99" s="2" t="s">
        <v>599</v>
      </c>
    </row>
    <row r="100" ht="15.75" customHeight="1">
      <c r="A100" s="2" t="s">
        <v>683</v>
      </c>
      <c r="B100" s="2" t="s">
        <v>357</v>
      </c>
      <c r="C100" s="6">
        <v>46061.72127314815</v>
      </c>
      <c r="D100" s="2">
        <v>5.0</v>
      </c>
      <c r="H100" s="2" t="s">
        <v>599</v>
      </c>
    </row>
    <row r="101" ht="15.75" customHeight="1">
      <c r="A101" s="2" t="s">
        <v>684</v>
      </c>
      <c r="B101" s="2" t="s">
        <v>301</v>
      </c>
      <c r="C101" s="6">
        <v>46061.72136574074</v>
      </c>
      <c r="D101" s="2">
        <v>5.0</v>
      </c>
      <c r="H101" s="2" t="s">
        <v>599</v>
      </c>
    </row>
    <row r="102" ht="15.75" customHeight="1">
      <c r="A102" s="2" t="s">
        <v>685</v>
      </c>
      <c r="B102" s="5" t="s">
        <v>85</v>
      </c>
      <c r="C102" s="6">
        <v>46061.721979166665</v>
      </c>
      <c r="D102" s="2">
        <v>15.0</v>
      </c>
      <c r="H102" s="2" t="s">
        <v>599</v>
      </c>
    </row>
    <row r="103" ht="15.75" customHeight="1">
      <c r="A103" s="2" t="s">
        <v>686</v>
      </c>
      <c r="B103" s="2" t="s">
        <v>277</v>
      </c>
      <c r="C103" s="6">
        <v>46061.72217592593</v>
      </c>
      <c r="D103" s="2">
        <v>1.0</v>
      </c>
      <c r="H103" s="2" t="s">
        <v>599</v>
      </c>
    </row>
    <row r="104" ht="15.75" customHeight="1">
      <c r="A104" s="2" t="s">
        <v>687</v>
      </c>
      <c r="B104" s="2" t="s">
        <v>318</v>
      </c>
      <c r="C104" s="6">
        <v>46061.72251157407</v>
      </c>
      <c r="D104" s="2">
        <v>2.0</v>
      </c>
      <c r="H104" s="2" t="s">
        <v>599</v>
      </c>
    </row>
    <row r="105" ht="15.75" customHeight="1">
      <c r="A105" s="2" t="s">
        <v>688</v>
      </c>
      <c r="B105" s="5" t="s">
        <v>134</v>
      </c>
      <c r="C105" s="6">
        <v>46061.723229166666</v>
      </c>
      <c r="D105" s="2">
        <v>-7.0</v>
      </c>
      <c r="H105" s="2" t="s">
        <v>571</v>
      </c>
    </row>
    <row r="106" ht="15.75" customHeight="1">
      <c r="A106" s="2" t="s">
        <v>689</v>
      </c>
      <c r="B106" s="5" t="s">
        <v>59</v>
      </c>
      <c r="C106" s="6">
        <v>46061.72336805556</v>
      </c>
      <c r="D106" s="2">
        <v>-6.0</v>
      </c>
      <c r="H106" s="2" t="s">
        <v>571</v>
      </c>
    </row>
    <row r="107" ht="15.75" customHeight="1">
      <c r="A107" s="2" t="s">
        <v>690</v>
      </c>
      <c r="B107" s="5" t="s">
        <v>96</v>
      </c>
      <c r="C107" s="6">
        <v>46061.723495370374</v>
      </c>
      <c r="D107" s="2">
        <v>-4.0</v>
      </c>
      <c r="H107" s="2" t="s">
        <v>571</v>
      </c>
    </row>
    <row r="108" ht="15.75" customHeight="1">
      <c r="A108" s="2" t="s">
        <v>691</v>
      </c>
      <c r="B108" s="5" t="s">
        <v>192</v>
      </c>
      <c r="C108" s="6">
        <v>46061.72363425926</v>
      </c>
      <c r="D108" s="2">
        <v>-5.0</v>
      </c>
      <c r="H108" s="2" t="s">
        <v>571</v>
      </c>
    </row>
    <row r="109" ht="15.75" customHeight="1">
      <c r="A109" s="2" t="s">
        <v>692</v>
      </c>
      <c r="B109" s="2" t="s">
        <v>265</v>
      </c>
      <c r="C109" s="6">
        <v>46061.72369212963</v>
      </c>
      <c r="D109" s="2">
        <v>72.0</v>
      </c>
      <c r="H109" s="2" t="s">
        <v>599</v>
      </c>
    </row>
    <row r="110" ht="15.75" customHeight="1">
      <c r="A110" s="2" t="s">
        <v>693</v>
      </c>
      <c r="B110" s="2" t="s">
        <v>304</v>
      </c>
      <c r="C110" s="6">
        <v>46061.723761574074</v>
      </c>
      <c r="D110" s="2">
        <v>-3.0</v>
      </c>
      <c r="H110" s="2" t="s">
        <v>571</v>
      </c>
    </row>
    <row r="111" ht="15.75" customHeight="1">
      <c r="A111" s="2" t="s">
        <v>694</v>
      </c>
      <c r="B111" s="2" t="s">
        <v>342</v>
      </c>
      <c r="C111" s="6">
        <v>46061.724386574075</v>
      </c>
      <c r="D111" s="2">
        <v>-3.0</v>
      </c>
      <c r="H111" s="2" t="s">
        <v>571</v>
      </c>
    </row>
    <row r="112" ht="15.75" customHeight="1">
      <c r="A112" s="2" t="s">
        <v>695</v>
      </c>
      <c r="B112" s="2" t="s">
        <v>289</v>
      </c>
      <c r="C112" s="6">
        <v>46061.7246875</v>
      </c>
      <c r="D112" s="2">
        <v>-4.0</v>
      </c>
      <c r="H112" s="2" t="s">
        <v>571</v>
      </c>
    </row>
    <row r="113" ht="15.75" customHeight="1">
      <c r="A113" s="2" t="s">
        <v>696</v>
      </c>
      <c r="B113" s="2" t="s">
        <v>321</v>
      </c>
      <c r="C113" s="6">
        <v>46061.72518518518</v>
      </c>
      <c r="D113" s="2">
        <v>-6.0</v>
      </c>
      <c r="H113" s="2" t="s">
        <v>571</v>
      </c>
    </row>
    <row r="114" ht="15.75" customHeight="1">
      <c r="A114" s="2" t="s">
        <v>697</v>
      </c>
      <c r="B114" s="2" t="s">
        <v>313</v>
      </c>
      <c r="C114" s="6">
        <v>46061.72568287037</v>
      </c>
      <c r="D114" s="2">
        <v>-2.0</v>
      </c>
      <c r="H114" s="2" t="s">
        <v>571</v>
      </c>
    </row>
    <row r="115" ht="15.75" customHeight="1">
      <c r="A115" s="2" t="s">
        <v>698</v>
      </c>
      <c r="B115" s="2" t="s">
        <v>333</v>
      </c>
      <c r="C115" s="6">
        <v>46061.72605324074</v>
      </c>
      <c r="D115" s="2">
        <v>-2.0</v>
      </c>
      <c r="H115" s="2" t="s">
        <v>571</v>
      </c>
    </row>
    <row r="116" ht="15.75" customHeight="1">
      <c r="A116" s="2" t="s">
        <v>699</v>
      </c>
      <c r="B116" s="5" t="s">
        <v>214</v>
      </c>
      <c r="C116" s="6">
        <v>46061.72684027778</v>
      </c>
      <c r="D116" s="2">
        <v>-84.0</v>
      </c>
      <c r="H116" s="2" t="s">
        <v>571</v>
      </c>
    </row>
    <row r="117" ht="15.75" customHeight="1">
      <c r="A117" s="2" t="s">
        <v>700</v>
      </c>
      <c r="B117" s="2" t="s">
        <v>271</v>
      </c>
      <c r="C117" s="6">
        <v>46061.93728009259</v>
      </c>
      <c r="D117" s="2">
        <v>-4.0</v>
      </c>
      <c r="H117" s="2" t="s">
        <v>599</v>
      </c>
    </row>
    <row r="118" ht="15.75" customHeight="1">
      <c r="A118" s="2" t="s">
        <v>701</v>
      </c>
      <c r="B118" s="5" t="s">
        <v>217</v>
      </c>
      <c r="C118" s="6">
        <v>46061.93744212963</v>
      </c>
      <c r="D118" s="2">
        <v>-45.0</v>
      </c>
      <c r="H118" s="2" t="s">
        <v>599</v>
      </c>
    </row>
    <row r="119" ht="15.75" customHeight="1">
      <c r="A119" s="2" t="s">
        <v>702</v>
      </c>
      <c r="B119" s="5" t="s">
        <v>171</v>
      </c>
      <c r="C119" s="6">
        <v>46061.938425925924</v>
      </c>
      <c r="D119" s="2">
        <v>-12.0</v>
      </c>
      <c r="H119" s="2" t="s">
        <v>599</v>
      </c>
    </row>
    <row r="120" ht="15.75" customHeight="1">
      <c r="A120" s="2" t="s">
        <v>703</v>
      </c>
      <c r="B120" s="5" t="s">
        <v>165</v>
      </c>
      <c r="C120" s="6">
        <v>46061.939108796294</v>
      </c>
      <c r="D120" s="2">
        <v>-7.0</v>
      </c>
      <c r="H120" s="2" t="s">
        <v>599</v>
      </c>
    </row>
    <row r="121" ht="15.75" customHeight="1">
      <c r="A121" s="2" t="s">
        <v>704</v>
      </c>
      <c r="B121" s="2" t="s">
        <v>360</v>
      </c>
      <c r="C121" s="6">
        <v>46061.93966435185</v>
      </c>
      <c r="D121" s="2">
        <v>-8.0</v>
      </c>
      <c r="H121" s="2" t="s">
        <v>599</v>
      </c>
    </row>
    <row r="122" ht="15.75" customHeight="1">
      <c r="A122" s="2" t="s">
        <v>705</v>
      </c>
      <c r="B122" s="2" t="s">
        <v>357</v>
      </c>
      <c r="C122" s="6">
        <v>46061.94006944444</v>
      </c>
      <c r="D122" s="2">
        <v>-5.0</v>
      </c>
      <c r="H122" s="2" t="s">
        <v>599</v>
      </c>
    </row>
    <row r="123" ht="15.75" customHeight="1">
      <c r="A123" s="2" t="s">
        <v>706</v>
      </c>
      <c r="B123" s="5" t="s">
        <v>214</v>
      </c>
      <c r="C123" s="6">
        <v>46061.940520833334</v>
      </c>
      <c r="D123" s="2">
        <v>-36.0</v>
      </c>
      <c r="H123" s="2" t="s">
        <v>599</v>
      </c>
    </row>
    <row r="124" ht="15.75" customHeight="1">
      <c r="A124" s="2" t="s">
        <v>707</v>
      </c>
      <c r="B124" s="5" t="s">
        <v>56</v>
      </c>
      <c r="C124" s="6">
        <v>46061.94112268519</v>
      </c>
      <c r="D124" s="2">
        <v>-9.0</v>
      </c>
      <c r="H124" s="2" t="s">
        <v>599</v>
      </c>
    </row>
    <row r="125" ht="15.75" customHeight="1">
      <c r="A125" s="2" t="s">
        <v>708</v>
      </c>
      <c r="B125" s="2" t="s">
        <v>241</v>
      </c>
      <c r="C125" s="6">
        <v>46061.941724537035</v>
      </c>
      <c r="D125" s="2">
        <v>-8.0</v>
      </c>
      <c r="H125" s="2" t="s">
        <v>599</v>
      </c>
    </row>
    <row r="126" ht="15.75" customHeight="1">
      <c r="A126" s="2" t="s">
        <v>709</v>
      </c>
      <c r="B126" s="2" t="s">
        <v>354</v>
      </c>
      <c r="C126" s="6">
        <v>46061.942245370374</v>
      </c>
      <c r="D126" s="2">
        <v>-5.0</v>
      </c>
      <c r="H126" s="2" t="s">
        <v>599</v>
      </c>
    </row>
    <row r="127" ht="15.75" customHeight="1">
      <c r="A127" s="2" t="s">
        <v>710</v>
      </c>
      <c r="B127" s="2" t="s">
        <v>654</v>
      </c>
      <c r="C127" s="6">
        <v>46061.94269675926</v>
      </c>
      <c r="D127" s="2">
        <v>-6.0</v>
      </c>
      <c r="H127" s="2" t="s">
        <v>599</v>
      </c>
    </row>
    <row r="128" ht="15.75" customHeight="1">
      <c r="A128" s="2" t="s">
        <v>711</v>
      </c>
      <c r="B128" s="2" t="s">
        <v>289</v>
      </c>
      <c r="C128" s="6">
        <v>46061.94361111111</v>
      </c>
      <c r="D128" s="2">
        <v>-14.0</v>
      </c>
      <c r="H128" s="2" t="s">
        <v>599</v>
      </c>
    </row>
    <row r="129" ht="15.75" customHeight="1">
      <c r="A129" s="2" t="s">
        <v>712</v>
      </c>
      <c r="B129" s="2" t="s">
        <v>330</v>
      </c>
      <c r="C129" s="6">
        <v>46061.976273148146</v>
      </c>
      <c r="D129" s="2">
        <v>1.0</v>
      </c>
      <c r="H129" s="2" t="s">
        <v>599</v>
      </c>
    </row>
    <row r="130" ht="15.75" customHeight="1">
      <c r="A130" s="2" t="s">
        <v>713</v>
      </c>
      <c r="B130" s="5" t="s">
        <v>171</v>
      </c>
      <c r="C130" s="6">
        <v>46061.976493055554</v>
      </c>
      <c r="D130" s="2">
        <v>3.0</v>
      </c>
      <c r="H130" s="2" t="s">
        <v>599</v>
      </c>
    </row>
    <row r="131" ht="15.75" customHeight="1">
      <c r="A131" s="2" t="s">
        <v>714</v>
      </c>
      <c r="B131" s="5" t="s">
        <v>120</v>
      </c>
      <c r="C131" s="6">
        <v>46061.97667824074</v>
      </c>
      <c r="D131" s="2">
        <v>6.0</v>
      </c>
      <c r="H131" s="2" t="s">
        <v>599</v>
      </c>
    </row>
    <row r="132" ht="15.75" customHeight="1">
      <c r="A132" s="2" t="s">
        <v>715</v>
      </c>
      <c r="B132" s="2" t="s">
        <v>336</v>
      </c>
      <c r="C132" s="6">
        <v>46061.97684027778</v>
      </c>
      <c r="D132" s="2">
        <v>5.0</v>
      </c>
      <c r="H132" s="2" t="s">
        <v>599</v>
      </c>
    </row>
    <row r="133" ht="15.75" customHeight="1">
      <c r="A133" s="5" t="s">
        <v>716</v>
      </c>
      <c r="B133" s="5" t="s">
        <v>131</v>
      </c>
      <c r="C133" s="6">
        <v>46061.97702546296</v>
      </c>
      <c r="D133" s="2">
        <v>5.0</v>
      </c>
      <c r="H133" s="2" t="s">
        <v>599</v>
      </c>
    </row>
    <row r="134" ht="15.75" customHeight="1">
      <c r="A134" s="2" t="s">
        <v>717</v>
      </c>
      <c r="B134" s="2" t="s">
        <v>327</v>
      </c>
      <c r="C134" s="6">
        <v>46062.67380787037</v>
      </c>
      <c r="D134" s="2">
        <v>80.0</v>
      </c>
      <c r="E134" s="2" t="s">
        <v>718</v>
      </c>
      <c r="H134" s="2" t="s">
        <v>571</v>
      </c>
    </row>
    <row r="135" ht="15.75" customHeight="1">
      <c r="A135" s="2" t="s">
        <v>719</v>
      </c>
      <c r="B135" s="2" t="s">
        <v>363</v>
      </c>
      <c r="C135" s="6">
        <v>46062.690729166665</v>
      </c>
      <c r="D135" s="2">
        <v>12.0</v>
      </c>
      <c r="E135" s="2" t="s">
        <v>720</v>
      </c>
      <c r="H135" s="2" t="s">
        <v>571</v>
      </c>
    </row>
    <row r="136" ht="15.75" customHeight="1">
      <c r="A136" s="2" t="s">
        <v>721</v>
      </c>
      <c r="B136" s="2" t="s">
        <v>342</v>
      </c>
      <c r="C136" s="6">
        <v>46062.69084490741</v>
      </c>
      <c r="D136" s="2">
        <v>16.0</v>
      </c>
      <c r="E136" s="2" t="s">
        <v>720</v>
      </c>
      <c r="H136" s="2" t="s">
        <v>571</v>
      </c>
    </row>
    <row r="137" ht="15.75" customHeight="1">
      <c r="A137" s="2" t="s">
        <v>722</v>
      </c>
      <c r="B137" s="2" t="s">
        <v>366</v>
      </c>
      <c r="C137" s="6">
        <v>46062.691666666666</v>
      </c>
      <c r="D137" s="2">
        <v>12.0</v>
      </c>
      <c r="E137" s="2" t="s">
        <v>720</v>
      </c>
      <c r="H137" s="2" t="s">
        <v>571</v>
      </c>
    </row>
    <row r="138" ht="15.75" customHeight="1">
      <c r="A138" s="2" t="s">
        <v>723</v>
      </c>
      <c r="B138" s="2" t="s">
        <v>327</v>
      </c>
      <c r="C138" s="6">
        <v>46062.945752314816</v>
      </c>
      <c r="D138" s="2">
        <v>-7.0</v>
      </c>
      <c r="H138" s="2" t="s">
        <v>599</v>
      </c>
    </row>
    <row r="139" ht="15.75" customHeight="1">
      <c r="A139" s="2" t="s">
        <v>724</v>
      </c>
      <c r="B139" s="2" t="s">
        <v>289</v>
      </c>
      <c r="C139" s="6">
        <v>46062.94584490741</v>
      </c>
      <c r="D139" s="2">
        <v>-14.0</v>
      </c>
      <c r="H139" s="2" t="s">
        <v>599</v>
      </c>
    </row>
    <row r="140" ht="15.75" customHeight="1">
      <c r="A140" s="2" t="s">
        <v>725</v>
      </c>
      <c r="B140" s="2" t="s">
        <v>336</v>
      </c>
      <c r="C140" s="6">
        <v>46062.946076388886</v>
      </c>
      <c r="D140" s="2">
        <v>-7.0</v>
      </c>
      <c r="H140" s="2" t="s">
        <v>599</v>
      </c>
    </row>
    <row r="141" ht="15.75" customHeight="1">
      <c r="A141" s="2" t="s">
        <v>726</v>
      </c>
      <c r="B141" s="2" t="s">
        <v>339</v>
      </c>
      <c r="C141" s="6">
        <v>46062.9465625</v>
      </c>
      <c r="D141" s="2">
        <v>-4.0</v>
      </c>
      <c r="H141" s="2" t="s">
        <v>599</v>
      </c>
    </row>
    <row r="142" ht="15.75" customHeight="1">
      <c r="A142" s="2" t="s">
        <v>727</v>
      </c>
      <c r="B142" s="5" t="s">
        <v>120</v>
      </c>
      <c r="C142" s="6">
        <v>46062.94704861111</v>
      </c>
      <c r="D142" s="2">
        <v>-3.0</v>
      </c>
      <c r="H142" s="2" t="s">
        <v>599</v>
      </c>
    </row>
    <row r="143" ht="15.75" customHeight="1">
      <c r="A143" s="2" t="s">
        <v>728</v>
      </c>
      <c r="B143" s="5" t="s">
        <v>131</v>
      </c>
      <c r="C143" s="6">
        <v>46062.94736111111</v>
      </c>
      <c r="D143" s="2">
        <v>-5.0</v>
      </c>
      <c r="H143" s="2" t="s">
        <v>599</v>
      </c>
    </row>
    <row r="144" ht="15.75" customHeight="1">
      <c r="A144" s="2" t="s">
        <v>729</v>
      </c>
      <c r="B144" s="2" t="s">
        <v>663</v>
      </c>
      <c r="C144" s="6">
        <v>46062.94777777778</v>
      </c>
      <c r="D144" s="2">
        <v>-4.0</v>
      </c>
      <c r="H144" s="2" t="s">
        <v>599</v>
      </c>
    </row>
    <row r="145" ht="15.75" customHeight="1">
      <c r="A145" s="2" t="s">
        <v>730</v>
      </c>
      <c r="B145" s="5" t="s">
        <v>211</v>
      </c>
      <c r="C145" s="6">
        <v>46062.94799768519</v>
      </c>
      <c r="D145" s="2">
        <v>-2.0</v>
      </c>
      <c r="H145" s="2" t="s">
        <v>599</v>
      </c>
    </row>
    <row r="146" ht="15.75" customHeight="1">
      <c r="A146" s="2" t="s">
        <v>731</v>
      </c>
      <c r="B146" s="5" t="s">
        <v>186</v>
      </c>
      <c r="C146" s="6">
        <v>46062.94831018519</v>
      </c>
      <c r="D146" s="2">
        <v>-13.0</v>
      </c>
      <c r="H146" s="2" t="s">
        <v>599</v>
      </c>
    </row>
    <row r="147" ht="15.75" customHeight="1">
      <c r="A147" s="2" t="s">
        <v>732</v>
      </c>
      <c r="B147" s="5" t="s">
        <v>165</v>
      </c>
      <c r="C147" s="6">
        <v>46062.949016203704</v>
      </c>
      <c r="D147" s="2">
        <v>-10.0</v>
      </c>
      <c r="H147" s="2" t="s">
        <v>599</v>
      </c>
    </row>
    <row r="148" ht="15.75" customHeight="1">
      <c r="A148" s="2" t="s">
        <v>733</v>
      </c>
      <c r="B148" s="5" t="s">
        <v>171</v>
      </c>
      <c r="C148" s="6">
        <v>46062.9497337963</v>
      </c>
      <c r="D148" s="2">
        <v>-12.0</v>
      </c>
      <c r="H148" s="2" t="s">
        <v>599</v>
      </c>
    </row>
    <row r="149" ht="15.75" customHeight="1">
      <c r="A149" s="2" t="s">
        <v>734</v>
      </c>
      <c r="B149" s="2" t="s">
        <v>360</v>
      </c>
      <c r="C149" s="6">
        <v>46062.950625</v>
      </c>
      <c r="D149" s="2">
        <v>-12.0</v>
      </c>
      <c r="H149" s="2" t="s">
        <v>599</v>
      </c>
    </row>
    <row r="150" ht="15.75" customHeight="1">
      <c r="A150" s="2" t="s">
        <v>735</v>
      </c>
      <c r="B150" s="2" t="s">
        <v>354</v>
      </c>
      <c r="C150" s="6">
        <v>46062.951319444444</v>
      </c>
      <c r="D150" s="2">
        <v>-7.0</v>
      </c>
      <c r="H150" s="2" t="s">
        <v>599</v>
      </c>
    </row>
    <row r="151" ht="15.75" customHeight="1">
      <c r="A151" s="2" t="s">
        <v>736</v>
      </c>
      <c r="B151" s="5" t="s">
        <v>142</v>
      </c>
      <c r="C151" s="6">
        <v>46062.99605324074</v>
      </c>
      <c r="D151" s="2">
        <v>-11.0</v>
      </c>
      <c r="H151" s="2" t="s">
        <v>599</v>
      </c>
    </row>
    <row r="152" ht="15.75" customHeight="1">
      <c r="A152" s="2" t="s">
        <v>737</v>
      </c>
      <c r="B152" s="5" t="s">
        <v>82</v>
      </c>
      <c r="C152" s="6">
        <v>46062.99623842593</v>
      </c>
      <c r="D152" s="2">
        <v>-4.0</v>
      </c>
      <c r="H152" s="2" t="s">
        <v>599</v>
      </c>
    </row>
    <row r="153" ht="15.75" customHeight="1">
      <c r="A153" s="2" t="s">
        <v>738</v>
      </c>
      <c r="B153" s="2" t="s">
        <v>301</v>
      </c>
      <c r="C153" s="6">
        <v>46062.99637731481</v>
      </c>
      <c r="D153" s="2">
        <v>-2.0</v>
      </c>
      <c r="H153" s="2" t="s">
        <v>599</v>
      </c>
    </row>
    <row r="154" ht="15.75" customHeight="1">
      <c r="A154" s="2" t="s">
        <v>739</v>
      </c>
      <c r="B154" s="5" t="s">
        <v>192</v>
      </c>
      <c r="C154" s="6">
        <v>46062.99648148148</v>
      </c>
      <c r="D154" s="2">
        <v>-16.0</v>
      </c>
      <c r="H154" s="2" t="s">
        <v>599</v>
      </c>
    </row>
    <row r="155" ht="15.75" customHeight="1">
      <c r="A155" s="2" t="s">
        <v>740</v>
      </c>
      <c r="B155" s="2" t="s">
        <v>289</v>
      </c>
      <c r="C155" s="6">
        <v>46062.998773148145</v>
      </c>
      <c r="D155" s="2">
        <v>-28.0</v>
      </c>
      <c r="H155" s="2" t="s">
        <v>599</v>
      </c>
    </row>
    <row r="156" ht="15.75" customHeight="1">
      <c r="A156" s="2" t="s">
        <v>741</v>
      </c>
      <c r="B156" s="2" t="s">
        <v>289</v>
      </c>
      <c r="C156" s="6">
        <v>46062.99903935185</v>
      </c>
      <c r="D156" s="2">
        <v>7.0</v>
      </c>
      <c r="H156" s="2" t="s">
        <v>599</v>
      </c>
    </row>
    <row r="157" ht="15.75" customHeight="1">
      <c r="A157" s="2" t="s">
        <v>742</v>
      </c>
      <c r="B157" s="2" t="s">
        <v>327</v>
      </c>
      <c r="C157" s="6">
        <v>46062.99964120371</v>
      </c>
      <c r="D157" s="2">
        <v>-7.0</v>
      </c>
      <c r="H157" s="2" t="s">
        <v>599</v>
      </c>
    </row>
    <row r="158" ht="15.75" customHeight="1">
      <c r="A158" s="2" t="s">
        <v>743</v>
      </c>
      <c r="B158" s="2" t="s">
        <v>360</v>
      </c>
      <c r="C158" s="6">
        <v>46063.000439814816</v>
      </c>
      <c r="D158" s="2">
        <v>-12.0</v>
      </c>
      <c r="H158" s="2" t="s">
        <v>599</v>
      </c>
    </row>
    <row r="159" ht="15.75" customHeight="1">
      <c r="A159" s="2" t="s">
        <v>744</v>
      </c>
      <c r="B159" s="5" t="s">
        <v>214</v>
      </c>
      <c r="C159" s="6">
        <v>46063.000706018516</v>
      </c>
      <c r="D159" s="2">
        <v>-12.0</v>
      </c>
      <c r="H159" s="2" t="s">
        <v>599</v>
      </c>
    </row>
    <row r="160" ht="15.75" customHeight="1">
      <c r="A160" s="2" t="s">
        <v>745</v>
      </c>
      <c r="B160" s="2" t="s">
        <v>241</v>
      </c>
      <c r="C160" s="6">
        <v>46063.00109953704</v>
      </c>
      <c r="D160" s="2">
        <v>-8.0</v>
      </c>
      <c r="H160" s="2" t="s">
        <v>599</v>
      </c>
    </row>
    <row r="161" ht="15.75" customHeight="1">
      <c r="A161" s="2" t="s">
        <v>746</v>
      </c>
      <c r="B161" s="5" t="s">
        <v>59</v>
      </c>
      <c r="C161" s="6">
        <v>46063.003969907404</v>
      </c>
      <c r="D161" s="2">
        <v>-3.0</v>
      </c>
      <c r="H161" s="2" t="s">
        <v>599</v>
      </c>
    </row>
    <row r="162" ht="15.75" customHeight="1">
      <c r="A162" s="2" t="s">
        <v>747</v>
      </c>
      <c r="B162" s="5" t="s">
        <v>134</v>
      </c>
      <c r="C162" s="6">
        <v>46063.00407407407</v>
      </c>
      <c r="D162" s="2">
        <v>-5.0</v>
      </c>
      <c r="H162" s="2" t="s">
        <v>599</v>
      </c>
    </row>
    <row r="163" ht="15.75" customHeight="1">
      <c r="A163" s="2" t="s">
        <v>748</v>
      </c>
      <c r="B163" s="2" t="s">
        <v>360</v>
      </c>
      <c r="C163" s="6">
        <v>46063.004212962966</v>
      </c>
      <c r="D163" s="2">
        <v>-18.0</v>
      </c>
      <c r="H163" s="2" t="s">
        <v>599</v>
      </c>
    </row>
    <row r="164" ht="15.75" customHeight="1">
      <c r="A164" s="2" t="s">
        <v>749</v>
      </c>
      <c r="B164" s="5" t="s">
        <v>142</v>
      </c>
      <c r="C164" s="6">
        <v>46063.00434027778</v>
      </c>
      <c r="D164" s="2">
        <v>-14.0</v>
      </c>
      <c r="H164" s="2" t="s">
        <v>599</v>
      </c>
    </row>
    <row r="165" ht="15.75" customHeight="1">
      <c r="A165" s="2" t="s">
        <v>750</v>
      </c>
      <c r="B165" s="2" t="s">
        <v>301</v>
      </c>
      <c r="C165" s="6">
        <v>46063.00444444444</v>
      </c>
      <c r="D165" s="2">
        <v>-5.0</v>
      </c>
      <c r="H165" s="2" t="s">
        <v>599</v>
      </c>
    </row>
    <row r="166" ht="15.75" customHeight="1">
      <c r="A166" s="2" t="s">
        <v>751</v>
      </c>
      <c r="B166" s="5" t="s">
        <v>200</v>
      </c>
      <c r="C166" s="6">
        <v>46063.04075231482</v>
      </c>
      <c r="D166" s="2">
        <v>3.0</v>
      </c>
      <c r="H166" s="2" t="s">
        <v>599</v>
      </c>
    </row>
    <row r="167" ht="15.75" customHeight="1">
      <c r="A167" s="2" t="s">
        <v>752</v>
      </c>
      <c r="B167" s="5" t="s">
        <v>192</v>
      </c>
      <c r="C167" s="6">
        <v>46063.040868055556</v>
      </c>
      <c r="D167" s="2">
        <v>2.0</v>
      </c>
      <c r="H167" s="2" t="s">
        <v>599</v>
      </c>
    </row>
    <row r="168" ht="15.75" customHeight="1">
      <c r="A168" s="2" t="s">
        <v>753</v>
      </c>
      <c r="B168" s="2" t="s">
        <v>289</v>
      </c>
      <c r="C168" s="6">
        <v>46063.07686342593</v>
      </c>
      <c r="D168" s="2">
        <v>1.0</v>
      </c>
      <c r="H168" s="2" t="s">
        <v>599</v>
      </c>
    </row>
    <row r="169" ht="15.75" customHeight="1">
      <c r="A169" s="2" t="s">
        <v>754</v>
      </c>
      <c r="B169" s="2" t="s">
        <v>360</v>
      </c>
      <c r="C169" s="6">
        <v>46063.4540625</v>
      </c>
      <c r="D169" s="2">
        <v>6.0</v>
      </c>
      <c r="H169" s="2" t="s">
        <v>599</v>
      </c>
    </row>
    <row r="170" ht="15.75" customHeight="1">
      <c r="A170" s="2" t="s">
        <v>755</v>
      </c>
      <c r="B170" s="2" t="s">
        <v>313</v>
      </c>
      <c r="C170" s="6">
        <v>46063.45421296296</v>
      </c>
      <c r="D170" s="2">
        <v>1.0</v>
      </c>
      <c r="H170" s="2" t="s">
        <v>599</v>
      </c>
    </row>
    <row r="171" ht="15.75" customHeight="1">
      <c r="A171" s="2" t="s">
        <v>756</v>
      </c>
      <c r="B171" s="5" t="s">
        <v>59</v>
      </c>
      <c r="C171" s="6">
        <v>46063.45434027778</v>
      </c>
      <c r="D171" s="2">
        <v>3.0</v>
      </c>
      <c r="H171" s="2" t="s">
        <v>599</v>
      </c>
    </row>
    <row r="172" ht="15.75" customHeight="1">
      <c r="A172" s="2" t="s">
        <v>757</v>
      </c>
      <c r="B172" s="5" t="s">
        <v>189</v>
      </c>
      <c r="C172" s="6">
        <v>46063.45450231482</v>
      </c>
      <c r="D172" s="2">
        <v>1.0</v>
      </c>
      <c r="H172" s="2" t="s">
        <v>599</v>
      </c>
    </row>
    <row r="173" ht="15.75" customHeight="1">
      <c r="A173" s="2" t="s">
        <v>758</v>
      </c>
      <c r="B173" s="5" t="s">
        <v>134</v>
      </c>
      <c r="C173" s="6">
        <v>46063.55636574074</v>
      </c>
      <c r="D173" s="2">
        <v>-6.0</v>
      </c>
      <c r="H173" s="2" t="s">
        <v>571</v>
      </c>
    </row>
    <row r="174" ht="15.75" customHeight="1">
      <c r="A174" s="2" t="s">
        <v>759</v>
      </c>
      <c r="B174" s="5" t="s">
        <v>59</v>
      </c>
      <c r="C174" s="6">
        <v>46063.55681712963</v>
      </c>
      <c r="D174" s="2">
        <v>-5.0</v>
      </c>
      <c r="H174" s="2" t="s">
        <v>571</v>
      </c>
    </row>
    <row r="175" ht="15.75" customHeight="1">
      <c r="A175" s="2" t="s">
        <v>760</v>
      </c>
      <c r="B175" s="2" t="s">
        <v>366</v>
      </c>
      <c r="C175" s="6">
        <v>46063.55693287037</v>
      </c>
      <c r="D175" s="2">
        <v>-6.0</v>
      </c>
      <c r="H175" s="2" t="s">
        <v>571</v>
      </c>
    </row>
    <row r="176" ht="15.75" customHeight="1">
      <c r="A176" s="2" t="s">
        <v>761</v>
      </c>
      <c r="B176" s="2" t="s">
        <v>363</v>
      </c>
      <c r="C176" s="6">
        <v>46063.55704861111</v>
      </c>
      <c r="D176" s="2">
        <v>-6.0</v>
      </c>
      <c r="H176" s="2" t="s">
        <v>571</v>
      </c>
    </row>
    <row r="177" ht="15.75" customHeight="1">
      <c r="A177" s="2" t="s">
        <v>762</v>
      </c>
      <c r="B177" s="2" t="s">
        <v>289</v>
      </c>
      <c r="C177" s="6">
        <v>46063.55721064815</v>
      </c>
      <c r="D177" s="2">
        <v>-16.0</v>
      </c>
      <c r="H177" s="2" t="s">
        <v>571</v>
      </c>
    </row>
    <row r="178" ht="15.75" customHeight="1">
      <c r="A178" s="2" t="s">
        <v>763</v>
      </c>
      <c r="B178" s="2" t="s">
        <v>289</v>
      </c>
      <c r="C178" s="6">
        <v>46063.557974537034</v>
      </c>
      <c r="D178" s="2">
        <v>-11.0</v>
      </c>
      <c r="H178" s="2" t="s">
        <v>599</v>
      </c>
    </row>
    <row r="179" ht="15.75" customHeight="1">
      <c r="A179" s="2" t="s">
        <v>764</v>
      </c>
      <c r="B179" s="2" t="s">
        <v>327</v>
      </c>
      <c r="C179" s="6">
        <v>46063.55836805556</v>
      </c>
      <c r="D179" s="2">
        <v>-14.0</v>
      </c>
      <c r="H179" s="2" t="s">
        <v>599</v>
      </c>
    </row>
    <row r="180" ht="15.75" customHeight="1">
      <c r="A180" s="2" t="s">
        <v>765</v>
      </c>
      <c r="B180" s="2" t="s">
        <v>229</v>
      </c>
      <c r="C180" s="6">
        <v>46063.55850694444</v>
      </c>
      <c r="D180" s="2">
        <v>-7.0</v>
      </c>
      <c r="H180" s="2" t="s">
        <v>599</v>
      </c>
    </row>
    <row r="181" ht="15.75" customHeight="1">
      <c r="A181" s="2" t="s">
        <v>766</v>
      </c>
      <c r="B181" s="2" t="s">
        <v>333</v>
      </c>
      <c r="C181" s="6">
        <v>46063.55868055556</v>
      </c>
      <c r="D181" s="2">
        <v>-7.0</v>
      </c>
      <c r="H181" s="2" t="s">
        <v>599</v>
      </c>
    </row>
    <row r="182" ht="15.75" customHeight="1">
      <c r="A182" s="2" t="s">
        <v>767</v>
      </c>
      <c r="B182" s="2" t="s">
        <v>342</v>
      </c>
      <c r="C182" s="6">
        <v>46063.55881944444</v>
      </c>
      <c r="D182" s="2">
        <v>-24.0</v>
      </c>
      <c r="H182" s="2" t="s">
        <v>599</v>
      </c>
    </row>
    <row r="183" ht="15.75" customHeight="1">
      <c r="A183" s="2" t="s">
        <v>768</v>
      </c>
      <c r="B183" s="5" t="s">
        <v>96</v>
      </c>
      <c r="C183" s="6">
        <v>46063.55898148148</v>
      </c>
      <c r="D183" s="2">
        <v>-15.0</v>
      </c>
      <c r="H183" s="2" t="s">
        <v>599</v>
      </c>
    </row>
    <row r="184" ht="15.75" customHeight="1">
      <c r="A184" s="2" t="s">
        <v>769</v>
      </c>
      <c r="B184" s="5" t="s">
        <v>14</v>
      </c>
      <c r="C184" s="6">
        <v>46063.55923611111</v>
      </c>
      <c r="D184" s="2">
        <v>-24.0</v>
      </c>
      <c r="H184" s="2" t="s">
        <v>599</v>
      </c>
    </row>
    <row r="185" ht="15.75" customHeight="1">
      <c r="A185" s="2" t="s">
        <v>770</v>
      </c>
      <c r="B185" s="5" t="s">
        <v>192</v>
      </c>
      <c r="C185" s="6">
        <v>46063.559375</v>
      </c>
      <c r="D185" s="2">
        <v>-7.0</v>
      </c>
      <c r="H185" s="2" t="s">
        <v>599</v>
      </c>
    </row>
    <row r="186" ht="15.75" customHeight="1">
      <c r="A186" s="2" t="s">
        <v>771</v>
      </c>
      <c r="B186" s="2" t="s">
        <v>307</v>
      </c>
      <c r="C186" s="6">
        <v>46063.55954861111</v>
      </c>
      <c r="D186" s="2">
        <v>-6.0</v>
      </c>
      <c r="H186" s="2" t="s">
        <v>599</v>
      </c>
    </row>
    <row r="187" ht="15.75" customHeight="1">
      <c r="A187" s="2" t="s">
        <v>772</v>
      </c>
      <c r="B187" s="5" t="s">
        <v>134</v>
      </c>
      <c r="C187" s="6">
        <v>46063.559699074074</v>
      </c>
      <c r="D187" s="2">
        <v>-11.0</v>
      </c>
      <c r="H187" s="2" t="s">
        <v>599</v>
      </c>
    </row>
    <row r="188" ht="15.75" customHeight="1">
      <c r="A188" s="2" t="s">
        <v>773</v>
      </c>
      <c r="B188" s="5" t="s">
        <v>59</v>
      </c>
      <c r="C188" s="6">
        <v>46063.55982638889</v>
      </c>
      <c r="D188" s="2">
        <v>-4.0</v>
      </c>
      <c r="H188" s="2" t="s">
        <v>599</v>
      </c>
    </row>
    <row r="189" ht="15.75" customHeight="1">
      <c r="A189" s="2" t="s">
        <v>774</v>
      </c>
      <c r="B189" s="5" t="s">
        <v>165</v>
      </c>
      <c r="C189" s="6">
        <v>46063.559965277775</v>
      </c>
      <c r="D189" s="2">
        <v>-8.0</v>
      </c>
      <c r="H189" s="2" t="s">
        <v>599</v>
      </c>
    </row>
    <row r="190" ht="15.75" customHeight="1">
      <c r="A190" s="2" t="s">
        <v>775</v>
      </c>
      <c r="B190" s="5" t="s">
        <v>183</v>
      </c>
      <c r="C190" s="6">
        <v>46063.56018518518</v>
      </c>
      <c r="D190" s="2">
        <v>-14.0</v>
      </c>
      <c r="H190" s="2" t="s">
        <v>599</v>
      </c>
    </row>
    <row r="191" ht="15.75" customHeight="1">
      <c r="A191" s="2" t="s">
        <v>776</v>
      </c>
      <c r="B191" s="5" t="s">
        <v>142</v>
      </c>
      <c r="C191" s="6">
        <v>46063.56033564815</v>
      </c>
      <c r="D191" s="2">
        <v>-12.0</v>
      </c>
      <c r="H191" s="2" t="s">
        <v>599</v>
      </c>
    </row>
    <row r="192" ht="15.75" customHeight="1">
      <c r="A192" s="2" t="s">
        <v>777</v>
      </c>
      <c r="B192" s="5" t="s">
        <v>82</v>
      </c>
      <c r="C192" s="6">
        <v>46063.560520833336</v>
      </c>
      <c r="D192" s="2">
        <v>-2.0</v>
      </c>
      <c r="H192" s="2" t="s">
        <v>599</v>
      </c>
    </row>
    <row r="193" ht="15.75" customHeight="1">
      <c r="A193" s="2" t="s">
        <v>778</v>
      </c>
      <c r="B193" s="2" t="s">
        <v>301</v>
      </c>
      <c r="C193" s="6">
        <v>46063.5606712963</v>
      </c>
      <c r="D193" s="2">
        <v>-4.0</v>
      </c>
      <c r="H193" s="2" t="s">
        <v>599</v>
      </c>
    </row>
    <row r="194" ht="15.75" customHeight="1">
      <c r="A194" s="2" t="s">
        <v>779</v>
      </c>
      <c r="B194" s="5" t="s">
        <v>214</v>
      </c>
      <c r="C194" s="6">
        <v>46063.56466435185</v>
      </c>
      <c r="D194" s="2">
        <v>-36.0</v>
      </c>
      <c r="H194" s="2" t="s">
        <v>599</v>
      </c>
    </row>
    <row r="195" ht="15.75" customHeight="1">
      <c r="A195" s="2" t="s">
        <v>780</v>
      </c>
      <c r="B195" s="2" t="s">
        <v>295</v>
      </c>
      <c r="C195" s="6">
        <v>46063.56765046297</v>
      </c>
      <c r="D195" s="2">
        <v>-16.0</v>
      </c>
      <c r="H195" s="2" t="s">
        <v>599</v>
      </c>
    </row>
    <row r="196" ht="15.75" customHeight="1">
      <c r="A196" s="2" t="s">
        <v>781</v>
      </c>
      <c r="B196" s="5" t="s">
        <v>171</v>
      </c>
      <c r="C196" s="6">
        <v>46063.56893518518</v>
      </c>
      <c r="D196" s="2">
        <v>-29.0</v>
      </c>
      <c r="H196" s="2" t="s">
        <v>599</v>
      </c>
    </row>
    <row r="197" ht="15.75" customHeight="1">
      <c r="A197" s="2" t="s">
        <v>782</v>
      </c>
      <c r="B197" s="2" t="s">
        <v>342</v>
      </c>
      <c r="C197" s="6">
        <v>46063.6271875</v>
      </c>
      <c r="D197" s="2">
        <v>2.0</v>
      </c>
      <c r="H197" s="2" t="s">
        <v>599</v>
      </c>
    </row>
    <row r="198" ht="15.75" customHeight="1">
      <c r="A198" s="2" t="s">
        <v>783</v>
      </c>
      <c r="B198" s="2" t="s">
        <v>235</v>
      </c>
      <c r="C198" s="6">
        <v>46063.64766203704</v>
      </c>
      <c r="D198" s="2">
        <v>2.0</v>
      </c>
      <c r="H198" s="2" t="s">
        <v>599</v>
      </c>
    </row>
    <row r="199" ht="15.75" customHeight="1">
      <c r="A199" s="2" t="s">
        <v>784</v>
      </c>
      <c r="B199" s="2" t="s">
        <v>333</v>
      </c>
      <c r="C199" s="6">
        <v>46063.64784722222</v>
      </c>
      <c r="D199" s="2">
        <v>7.0</v>
      </c>
      <c r="H199" s="2" t="s">
        <v>599</v>
      </c>
    </row>
    <row r="200" ht="15.75" customHeight="1">
      <c r="A200" s="2" t="s">
        <v>785</v>
      </c>
      <c r="B200" s="5" t="s">
        <v>200</v>
      </c>
      <c r="C200" s="6">
        <v>46063.77501157407</v>
      </c>
      <c r="D200" s="2">
        <v>-3.0</v>
      </c>
      <c r="H200" s="2" t="s">
        <v>571</v>
      </c>
    </row>
    <row r="201" ht="15.75" customHeight="1">
      <c r="A201" s="2" t="s">
        <v>786</v>
      </c>
      <c r="B201" s="2" t="s">
        <v>307</v>
      </c>
      <c r="C201" s="6">
        <v>46063.77527777778</v>
      </c>
      <c r="D201" s="2">
        <v>-4.0</v>
      </c>
      <c r="H201" s="2" t="s">
        <v>571</v>
      </c>
    </row>
    <row r="202" ht="15.75" customHeight="1">
      <c r="A202" s="2" t="s">
        <v>787</v>
      </c>
      <c r="B202" s="2" t="s">
        <v>327</v>
      </c>
      <c r="C202" s="6">
        <v>46063.90204861111</v>
      </c>
      <c r="D202" s="2">
        <v>-14.0</v>
      </c>
      <c r="H202" s="2" t="s">
        <v>599</v>
      </c>
    </row>
    <row r="203" ht="15.75" customHeight="1">
      <c r="A203" s="2" t="s">
        <v>788</v>
      </c>
      <c r="B203" s="2" t="s">
        <v>226</v>
      </c>
      <c r="C203" s="6">
        <v>46063.90212962963</v>
      </c>
      <c r="D203" s="2">
        <v>-5.0</v>
      </c>
      <c r="H203" s="2" t="s">
        <v>599</v>
      </c>
    </row>
    <row r="204" ht="15.75" customHeight="1">
      <c r="A204" s="2" t="s">
        <v>789</v>
      </c>
      <c r="B204" s="2" t="s">
        <v>229</v>
      </c>
      <c r="C204" s="6">
        <v>46063.90217592593</v>
      </c>
      <c r="D204" s="2">
        <v>-5.0</v>
      </c>
      <c r="H204" s="2" t="s">
        <v>599</v>
      </c>
    </row>
    <row r="205" ht="15.75" customHeight="1">
      <c r="A205" s="2" t="s">
        <v>790</v>
      </c>
      <c r="B205" s="5" t="s">
        <v>202</v>
      </c>
      <c r="C205" s="6">
        <v>46063.90225694444</v>
      </c>
      <c r="D205" s="2">
        <v>-7.0</v>
      </c>
      <c r="H205" s="2" t="s">
        <v>599</v>
      </c>
    </row>
    <row r="206" ht="15.75" customHeight="1">
      <c r="A206" s="2" t="s">
        <v>791</v>
      </c>
      <c r="B206" s="5" t="s">
        <v>14</v>
      </c>
      <c r="C206" s="6">
        <v>46063.902453703704</v>
      </c>
      <c r="D206" s="2">
        <v>-20.0</v>
      </c>
      <c r="H206" s="2" t="s">
        <v>599</v>
      </c>
    </row>
    <row r="207" ht="15.75" customHeight="1">
      <c r="A207" s="2" t="s">
        <v>792</v>
      </c>
      <c r="B207" s="5" t="s">
        <v>171</v>
      </c>
      <c r="C207" s="6">
        <v>46063.902719907404</v>
      </c>
      <c r="D207" s="2">
        <v>-24.0</v>
      </c>
      <c r="H207" s="2" t="s">
        <v>599</v>
      </c>
    </row>
    <row r="208" ht="15.75" customHeight="1">
      <c r="A208" s="2" t="s">
        <v>793</v>
      </c>
      <c r="B208" s="5" t="s">
        <v>145</v>
      </c>
      <c r="C208" s="6">
        <v>46063.90282407407</v>
      </c>
      <c r="D208" s="2">
        <v>-8.0</v>
      </c>
      <c r="H208" s="2" t="s">
        <v>599</v>
      </c>
    </row>
    <row r="209" ht="15.75" customHeight="1">
      <c r="A209" s="2" t="s">
        <v>794</v>
      </c>
      <c r="B209" s="5" t="s">
        <v>165</v>
      </c>
      <c r="C209" s="6">
        <v>46063.90309027778</v>
      </c>
      <c r="D209" s="2">
        <v>-12.0</v>
      </c>
      <c r="H209" s="2" t="s">
        <v>599</v>
      </c>
    </row>
    <row r="210" ht="15.75" customHeight="1">
      <c r="A210" s="5" t="s">
        <v>795</v>
      </c>
      <c r="B210" s="5" t="s">
        <v>139</v>
      </c>
      <c r="C210" s="6">
        <v>46063.903287037036</v>
      </c>
      <c r="D210" s="2">
        <v>-7.0</v>
      </c>
      <c r="H210" s="2" t="s">
        <v>599</v>
      </c>
    </row>
    <row r="211" ht="15.75" customHeight="1">
      <c r="A211" s="2" t="s">
        <v>796</v>
      </c>
      <c r="B211" s="2" t="s">
        <v>289</v>
      </c>
      <c r="C211" s="6">
        <v>46063.9034375</v>
      </c>
      <c r="D211" s="2">
        <v>-29.0</v>
      </c>
      <c r="H211" s="2" t="s">
        <v>599</v>
      </c>
    </row>
    <row r="212" ht="15.75" customHeight="1">
      <c r="A212" s="2" t="s">
        <v>797</v>
      </c>
      <c r="B212" s="2" t="s">
        <v>238</v>
      </c>
      <c r="C212" s="6">
        <v>46063.903645833336</v>
      </c>
      <c r="D212" s="2">
        <v>-18.0</v>
      </c>
      <c r="H212" s="2" t="s">
        <v>599</v>
      </c>
    </row>
    <row r="213" ht="15.75" customHeight="1">
      <c r="A213" s="2" t="s">
        <v>798</v>
      </c>
      <c r="B213" s="2" t="s">
        <v>342</v>
      </c>
      <c r="C213" s="6">
        <v>46063.903819444444</v>
      </c>
      <c r="D213" s="2">
        <v>-20.0</v>
      </c>
      <c r="H213" s="2" t="s">
        <v>599</v>
      </c>
    </row>
    <row r="214" ht="15.75" customHeight="1">
      <c r="A214" s="2" t="s">
        <v>799</v>
      </c>
      <c r="B214" s="5" t="s">
        <v>96</v>
      </c>
      <c r="C214" s="6">
        <v>46063.9047337963</v>
      </c>
      <c r="D214" s="2">
        <v>-14.0</v>
      </c>
      <c r="H214" s="2" t="s">
        <v>599</v>
      </c>
    </row>
    <row r="215" ht="15.75" customHeight="1">
      <c r="A215" s="2" t="s">
        <v>800</v>
      </c>
      <c r="B215" s="2" t="s">
        <v>348</v>
      </c>
      <c r="C215" s="6">
        <v>46063.90509259259</v>
      </c>
      <c r="D215" s="2">
        <v>-10.0</v>
      </c>
      <c r="H215" s="2" t="s">
        <v>599</v>
      </c>
    </row>
    <row r="216" ht="15.75" customHeight="1">
      <c r="A216" s="2" t="s">
        <v>801</v>
      </c>
      <c r="B216" s="5" t="s">
        <v>134</v>
      </c>
      <c r="C216" s="6">
        <v>46063.90592592592</v>
      </c>
      <c r="D216" s="2">
        <v>-14.0</v>
      </c>
      <c r="H216" s="2" t="s">
        <v>599</v>
      </c>
    </row>
    <row r="217" ht="15.75" customHeight="1">
      <c r="A217" s="2" t="s">
        <v>802</v>
      </c>
      <c r="B217" s="5" t="s">
        <v>134</v>
      </c>
      <c r="C217" s="6">
        <v>46063.906319444446</v>
      </c>
      <c r="D217" s="2">
        <v>-6.0</v>
      </c>
      <c r="H217" s="2" t="s">
        <v>599</v>
      </c>
    </row>
    <row r="218" ht="15.75" customHeight="1">
      <c r="A218" s="2" t="s">
        <v>803</v>
      </c>
      <c r="B218" s="5" t="s">
        <v>59</v>
      </c>
      <c r="C218" s="6">
        <v>46063.9065625</v>
      </c>
      <c r="D218" s="2">
        <v>-7.0</v>
      </c>
      <c r="H218" s="2" t="s">
        <v>599</v>
      </c>
    </row>
    <row r="219" ht="15.75" customHeight="1">
      <c r="A219" s="2" t="s">
        <v>804</v>
      </c>
      <c r="B219" s="2" t="s">
        <v>357</v>
      </c>
      <c r="C219" s="6">
        <v>46063.90726851852</v>
      </c>
      <c r="D219" s="2">
        <v>-6.0</v>
      </c>
      <c r="H219" s="2" t="s">
        <v>599</v>
      </c>
    </row>
    <row r="220" ht="15.75" customHeight="1">
      <c r="A220" s="2" t="s">
        <v>805</v>
      </c>
      <c r="B220" s="5" t="s">
        <v>56</v>
      </c>
      <c r="C220" s="6">
        <v>46063.907638888886</v>
      </c>
      <c r="D220" s="2">
        <v>-14.0</v>
      </c>
      <c r="H220" s="2" t="s">
        <v>599</v>
      </c>
    </row>
    <row r="221" ht="15.75" customHeight="1">
      <c r="A221" s="2" t="s">
        <v>806</v>
      </c>
      <c r="B221" s="2" t="s">
        <v>360</v>
      </c>
      <c r="C221" s="6">
        <v>46063.90837962963</v>
      </c>
      <c r="D221" s="2">
        <v>-24.0</v>
      </c>
      <c r="H221" s="2" t="s">
        <v>599</v>
      </c>
    </row>
    <row r="222" ht="15.75" customHeight="1">
      <c r="A222" s="2" t="s">
        <v>807</v>
      </c>
      <c r="B222" s="2" t="s">
        <v>241</v>
      </c>
      <c r="C222" s="6">
        <v>46063.90866898148</v>
      </c>
      <c r="D222" s="2">
        <v>-8.0</v>
      </c>
      <c r="H222" s="2" t="s">
        <v>599</v>
      </c>
    </row>
    <row r="223" ht="15.75" customHeight="1">
      <c r="A223" s="2" t="s">
        <v>808</v>
      </c>
      <c r="B223" s="2" t="s">
        <v>654</v>
      </c>
      <c r="C223" s="6">
        <v>46063.90895833333</v>
      </c>
      <c r="D223" s="2">
        <v>-4.0</v>
      </c>
      <c r="H223" s="2" t="s">
        <v>599</v>
      </c>
    </row>
    <row r="224" ht="15.75" customHeight="1">
      <c r="A224" s="2" t="s">
        <v>809</v>
      </c>
      <c r="B224" s="5" t="s">
        <v>168</v>
      </c>
      <c r="C224" s="6">
        <v>46063.90912037037</v>
      </c>
      <c r="D224" s="2">
        <v>-12.0</v>
      </c>
      <c r="H224" s="2" t="s">
        <v>599</v>
      </c>
    </row>
    <row r="225" ht="15.75" customHeight="1">
      <c r="A225" s="2" t="s">
        <v>810</v>
      </c>
      <c r="B225" s="5" t="s">
        <v>165</v>
      </c>
      <c r="C225" s="6">
        <v>46063.9096412037</v>
      </c>
      <c r="D225" s="2">
        <v>-11.0</v>
      </c>
      <c r="H225" s="2" t="s">
        <v>599</v>
      </c>
    </row>
    <row r="226" ht="15.75" customHeight="1">
      <c r="A226" s="2" t="s">
        <v>811</v>
      </c>
      <c r="B226" s="5" t="s">
        <v>120</v>
      </c>
      <c r="C226" s="6">
        <v>46063.91003472222</v>
      </c>
      <c r="D226" s="2">
        <v>-6.0</v>
      </c>
      <c r="H226" s="2" t="s">
        <v>599</v>
      </c>
    </row>
    <row r="227" ht="15.75" customHeight="1">
      <c r="A227" s="2" t="s">
        <v>812</v>
      </c>
      <c r="B227" s="2" t="s">
        <v>247</v>
      </c>
      <c r="C227" s="6">
        <v>46063.91111111111</v>
      </c>
      <c r="D227" s="2">
        <v>-6.0</v>
      </c>
      <c r="H227" s="2" t="s">
        <v>599</v>
      </c>
    </row>
    <row r="228" ht="15.75" customHeight="1">
      <c r="A228" s="2" t="s">
        <v>813</v>
      </c>
      <c r="B228" s="2" t="s">
        <v>310</v>
      </c>
      <c r="C228" s="6">
        <v>46063.91118055556</v>
      </c>
      <c r="D228" s="2">
        <v>-6.0</v>
      </c>
      <c r="H228" s="2" t="s">
        <v>599</v>
      </c>
    </row>
    <row r="229" ht="15.75" customHeight="1">
      <c r="A229" s="2" t="s">
        <v>814</v>
      </c>
      <c r="B229" s="5" t="s">
        <v>206</v>
      </c>
      <c r="C229" s="6">
        <v>46063.911307870374</v>
      </c>
      <c r="D229" s="2">
        <v>-6.0</v>
      </c>
      <c r="H229" s="2" t="s">
        <v>599</v>
      </c>
    </row>
    <row r="230" ht="15.75" customHeight="1">
      <c r="A230" s="2" t="s">
        <v>815</v>
      </c>
      <c r="B230" s="2" t="s">
        <v>313</v>
      </c>
      <c r="C230" s="6">
        <v>46063.911412037036</v>
      </c>
      <c r="D230" s="2">
        <v>-6.0</v>
      </c>
      <c r="H230" s="2" t="s">
        <v>599</v>
      </c>
    </row>
    <row r="231" ht="15.75" customHeight="1">
      <c r="A231" s="2" t="s">
        <v>816</v>
      </c>
      <c r="B231" s="5" t="s">
        <v>171</v>
      </c>
      <c r="C231" s="6">
        <v>46063.91300925926</v>
      </c>
      <c r="D231" s="2">
        <v>29.0</v>
      </c>
      <c r="H231" s="2" t="s">
        <v>599</v>
      </c>
    </row>
    <row r="232" ht="15.75" customHeight="1">
      <c r="A232" s="2" t="s">
        <v>817</v>
      </c>
      <c r="B232" s="2" t="s">
        <v>289</v>
      </c>
      <c r="C232" s="6">
        <v>46063.918287037035</v>
      </c>
      <c r="D232" s="2">
        <v>19.0</v>
      </c>
      <c r="H232" s="2" t="s">
        <v>599</v>
      </c>
    </row>
    <row r="233" ht="15.75" customHeight="1">
      <c r="A233" s="2" t="s">
        <v>818</v>
      </c>
      <c r="B233" s="2" t="s">
        <v>327</v>
      </c>
      <c r="C233" s="6">
        <v>46063.91842592593</v>
      </c>
      <c r="D233" s="2">
        <v>-11.0</v>
      </c>
      <c r="H233" s="2" t="s">
        <v>599</v>
      </c>
    </row>
    <row r="234" ht="15.75" customHeight="1">
      <c r="A234" s="2" t="s">
        <v>819</v>
      </c>
      <c r="B234" s="2" t="s">
        <v>238</v>
      </c>
      <c r="C234" s="6">
        <v>46063.91875</v>
      </c>
      <c r="D234" s="2">
        <v>-14.0</v>
      </c>
      <c r="H234" s="2" t="s">
        <v>599</v>
      </c>
    </row>
    <row r="235" ht="15.75" customHeight="1">
      <c r="A235" s="2" t="s">
        <v>820</v>
      </c>
      <c r="B235" s="2" t="s">
        <v>238</v>
      </c>
      <c r="C235" s="6">
        <v>46063.91966435185</v>
      </c>
      <c r="D235" s="2">
        <v>14.0</v>
      </c>
      <c r="H235" s="2" t="s">
        <v>599</v>
      </c>
    </row>
    <row r="236" ht="15.75" customHeight="1">
      <c r="A236" s="2" t="s">
        <v>821</v>
      </c>
      <c r="B236" s="2" t="s">
        <v>238</v>
      </c>
      <c r="C236" s="6">
        <v>46063.919907407406</v>
      </c>
      <c r="D236" s="2">
        <v>-7.0</v>
      </c>
      <c r="H236" s="2" t="s">
        <v>599</v>
      </c>
    </row>
    <row r="237" ht="15.75" customHeight="1">
      <c r="A237" s="2" t="s">
        <v>822</v>
      </c>
      <c r="B237" s="2" t="s">
        <v>271</v>
      </c>
      <c r="C237" s="6">
        <v>46064.87358796296</v>
      </c>
      <c r="D237" s="2">
        <v>-15.0</v>
      </c>
      <c r="H237" s="2" t="s">
        <v>599</v>
      </c>
    </row>
    <row r="238" ht="15.75" customHeight="1">
      <c r="A238" s="2" t="s">
        <v>823</v>
      </c>
      <c r="B238" s="5" t="s">
        <v>217</v>
      </c>
      <c r="C238" s="6">
        <v>46064.873715277776</v>
      </c>
      <c r="D238" s="2">
        <v>-15.0</v>
      </c>
      <c r="H238" s="2" t="s">
        <v>599</v>
      </c>
    </row>
    <row r="239" ht="15.75" customHeight="1">
      <c r="A239" s="2" t="s">
        <v>824</v>
      </c>
      <c r="B239" s="2" t="s">
        <v>286</v>
      </c>
      <c r="C239" s="6">
        <v>46064.87386574074</v>
      </c>
      <c r="D239" s="2">
        <v>-15.0</v>
      </c>
      <c r="H239" s="2" t="s">
        <v>599</v>
      </c>
    </row>
    <row r="240" ht="15.75" customHeight="1">
      <c r="A240" s="2" t="s">
        <v>825</v>
      </c>
      <c r="B240" s="2" t="s">
        <v>289</v>
      </c>
      <c r="C240" s="6">
        <v>46064.87400462963</v>
      </c>
      <c r="D240" s="2">
        <v>-7.0</v>
      </c>
      <c r="H240" s="2" t="s">
        <v>599</v>
      </c>
    </row>
    <row r="241" ht="15.75" customHeight="1">
      <c r="A241" s="2" t="s">
        <v>826</v>
      </c>
      <c r="B241" s="2" t="s">
        <v>286</v>
      </c>
      <c r="C241" s="6">
        <v>46064.874247685184</v>
      </c>
      <c r="D241" s="2">
        <v>-15.0</v>
      </c>
      <c r="H241" s="2" t="s">
        <v>599</v>
      </c>
    </row>
    <row r="242" ht="15.75" customHeight="1">
      <c r="A242" s="2" t="s">
        <v>827</v>
      </c>
      <c r="B242" s="5" t="s">
        <v>217</v>
      </c>
      <c r="C242" s="6">
        <v>46064.874340277776</v>
      </c>
      <c r="D242" s="2">
        <v>-15.0</v>
      </c>
      <c r="H242" s="2" t="s">
        <v>599</v>
      </c>
    </row>
    <row r="243" ht="15.75" customHeight="1">
      <c r="A243" s="2" t="s">
        <v>828</v>
      </c>
      <c r="B243" s="2" t="s">
        <v>271</v>
      </c>
      <c r="C243" s="6">
        <v>46064.87451388889</v>
      </c>
      <c r="D243" s="2">
        <v>-7.0</v>
      </c>
      <c r="H243" s="2" t="s">
        <v>599</v>
      </c>
    </row>
    <row r="244" ht="15.75" customHeight="1">
      <c r="A244" s="2" t="s">
        <v>829</v>
      </c>
      <c r="B244" s="2" t="s">
        <v>238</v>
      </c>
      <c r="C244" s="6">
        <v>46064.87467592592</v>
      </c>
      <c r="D244" s="2">
        <v>-7.0</v>
      </c>
      <c r="H244" s="2" t="s">
        <v>599</v>
      </c>
    </row>
    <row r="245" ht="15.75" customHeight="1">
      <c r="A245" s="2" t="s">
        <v>830</v>
      </c>
      <c r="B245" s="2" t="s">
        <v>235</v>
      </c>
      <c r="C245" s="6">
        <v>46064.874872685185</v>
      </c>
      <c r="D245" s="2">
        <v>-2.0</v>
      </c>
      <c r="H245" s="2" t="s">
        <v>599</v>
      </c>
    </row>
    <row r="246" ht="15.75" customHeight="1">
      <c r="A246" s="2" t="s">
        <v>831</v>
      </c>
      <c r="B246" s="5" t="s">
        <v>96</v>
      </c>
      <c r="C246" s="6">
        <v>46064.875</v>
      </c>
      <c r="D246" s="2">
        <v>-16.0</v>
      </c>
      <c r="H246" s="2" t="s">
        <v>599</v>
      </c>
    </row>
    <row r="247" ht="15.75" customHeight="1">
      <c r="A247" s="2" t="s">
        <v>832</v>
      </c>
      <c r="B247" s="2" t="s">
        <v>289</v>
      </c>
      <c r="C247" s="6">
        <v>46064.87511574074</v>
      </c>
      <c r="D247" s="2">
        <v>-14.0</v>
      </c>
      <c r="H247" s="2" t="s">
        <v>599</v>
      </c>
    </row>
    <row r="248" ht="15.75" customHeight="1">
      <c r="A248" s="2" t="s">
        <v>833</v>
      </c>
      <c r="B248" s="2" t="s">
        <v>321</v>
      </c>
      <c r="C248" s="6">
        <v>46064.875289351854</v>
      </c>
      <c r="D248" s="2">
        <v>-6.0</v>
      </c>
      <c r="H248" s="2" t="s">
        <v>599</v>
      </c>
    </row>
    <row r="249" ht="15.75" customHeight="1">
      <c r="A249" s="2" t="s">
        <v>834</v>
      </c>
      <c r="B249" s="5" t="s">
        <v>145</v>
      </c>
      <c r="C249" s="6">
        <v>46064.87615740741</v>
      </c>
      <c r="D249" s="2">
        <v>-6.0</v>
      </c>
      <c r="H249" s="2" t="s">
        <v>599</v>
      </c>
    </row>
    <row r="250" ht="15.75" customHeight="1">
      <c r="A250" s="2" t="s">
        <v>835</v>
      </c>
      <c r="B250" s="5" t="s">
        <v>154</v>
      </c>
      <c r="C250" s="6">
        <v>46064.87625</v>
      </c>
      <c r="D250" s="2">
        <v>-2.0</v>
      </c>
      <c r="H250" s="2" t="s">
        <v>599</v>
      </c>
    </row>
    <row r="251" ht="15.75" customHeight="1">
      <c r="A251" s="2" t="s">
        <v>836</v>
      </c>
      <c r="B251" s="2" t="s">
        <v>342</v>
      </c>
      <c r="C251" s="6">
        <v>46064.87746527778</v>
      </c>
      <c r="D251" s="2">
        <v>-5.0</v>
      </c>
      <c r="H251" s="2" t="s">
        <v>599</v>
      </c>
    </row>
    <row r="252" ht="15.75" customHeight="1">
      <c r="A252" s="2" t="s">
        <v>837</v>
      </c>
      <c r="B252" s="5" t="s">
        <v>171</v>
      </c>
      <c r="C252" s="6">
        <v>46064.87814814815</v>
      </c>
      <c r="D252" s="2">
        <v>-24.0</v>
      </c>
      <c r="H252" s="2" t="s">
        <v>599</v>
      </c>
    </row>
    <row r="253" ht="15.75" customHeight="1">
      <c r="A253" s="2" t="s">
        <v>838</v>
      </c>
      <c r="B253" s="2" t="s">
        <v>247</v>
      </c>
      <c r="C253" s="6">
        <v>46064.8790625</v>
      </c>
      <c r="D253" s="2">
        <v>-6.0</v>
      </c>
      <c r="H253" s="2" t="s">
        <v>599</v>
      </c>
    </row>
    <row r="254" ht="15.75" customHeight="1">
      <c r="A254" s="2" t="s">
        <v>839</v>
      </c>
      <c r="B254" s="2" t="s">
        <v>310</v>
      </c>
      <c r="C254" s="6">
        <v>46064.87967592593</v>
      </c>
      <c r="D254" s="2">
        <v>-6.0</v>
      </c>
      <c r="H254" s="2" t="s">
        <v>599</v>
      </c>
    </row>
    <row r="255" ht="15.75" customHeight="1">
      <c r="A255" s="2" t="s">
        <v>840</v>
      </c>
      <c r="B255" s="5" t="s">
        <v>59</v>
      </c>
      <c r="C255" s="6">
        <v>46064.88041666667</v>
      </c>
      <c r="D255" s="2">
        <v>-18.0</v>
      </c>
      <c r="H255" s="2" t="s">
        <v>599</v>
      </c>
    </row>
    <row r="256" ht="15.75" customHeight="1">
      <c r="A256" s="2" t="s">
        <v>841</v>
      </c>
      <c r="B256" s="5" t="s">
        <v>134</v>
      </c>
      <c r="C256" s="6">
        <v>46064.88054398148</v>
      </c>
      <c r="D256" s="2">
        <v>-3.0</v>
      </c>
      <c r="H256" s="2" t="s">
        <v>599</v>
      </c>
    </row>
    <row r="257" ht="15.75" customHeight="1">
      <c r="A257" s="2" t="s">
        <v>842</v>
      </c>
      <c r="B257" s="2" t="s">
        <v>354</v>
      </c>
      <c r="C257" s="6">
        <v>46064.88078703704</v>
      </c>
      <c r="D257" s="2">
        <v>-5.0</v>
      </c>
      <c r="H257" s="2" t="s">
        <v>599</v>
      </c>
    </row>
    <row r="258" ht="15.75" customHeight="1">
      <c r="A258" s="2" t="s">
        <v>843</v>
      </c>
      <c r="B258" s="2" t="s">
        <v>357</v>
      </c>
      <c r="C258" s="6">
        <v>46064.881886574076</v>
      </c>
      <c r="D258" s="2">
        <v>-7.0</v>
      </c>
      <c r="H258" s="2" t="s">
        <v>599</v>
      </c>
    </row>
    <row r="259" ht="15.75" customHeight="1">
      <c r="A259" s="2" t="s">
        <v>844</v>
      </c>
      <c r="B259" s="2" t="s">
        <v>295</v>
      </c>
      <c r="C259" s="6">
        <v>46064.88203703704</v>
      </c>
      <c r="D259" s="2">
        <v>-24.0</v>
      </c>
      <c r="H259" s="2" t="s">
        <v>599</v>
      </c>
    </row>
    <row r="260" ht="15.75" customHeight="1">
      <c r="A260" s="2" t="s">
        <v>845</v>
      </c>
      <c r="B260" s="5" t="s">
        <v>56</v>
      </c>
      <c r="C260" s="6">
        <v>46064.882256944446</v>
      </c>
      <c r="D260" s="2">
        <v>-12.0</v>
      </c>
      <c r="H260" s="2" t="s">
        <v>599</v>
      </c>
    </row>
    <row r="261" ht="15.75" customHeight="1">
      <c r="A261" s="2" t="s">
        <v>846</v>
      </c>
      <c r="B261" s="5" t="s">
        <v>14</v>
      </c>
      <c r="C261" s="6">
        <v>46064.882418981484</v>
      </c>
      <c r="D261" s="2">
        <v>-27.0</v>
      </c>
      <c r="H261" s="2" t="s">
        <v>599</v>
      </c>
    </row>
    <row r="262" ht="15.75" customHeight="1">
      <c r="A262" s="2" t="s">
        <v>847</v>
      </c>
      <c r="B262" s="5" t="s">
        <v>206</v>
      </c>
      <c r="C262" s="6">
        <v>46064.88365740741</v>
      </c>
      <c r="D262" s="2">
        <v>-7.0</v>
      </c>
      <c r="H262" s="2" t="s">
        <v>599</v>
      </c>
    </row>
    <row r="263" ht="15.75" customHeight="1">
      <c r="A263" s="2" t="s">
        <v>848</v>
      </c>
      <c r="B263" s="5" t="s">
        <v>183</v>
      </c>
      <c r="C263" s="6">
        <v>46064.884884259256</v>
      </c>
      <c r="D263" s="2">
        <v>-7.0</v>
      </c>
      <c r="H263" s="2" t="s">
        <v>599</v>
      </c>
    </row>
    <row r="264" ht="15.75" customHeight="1">
      <c r="A264" s="2" t="s">
        <v>849</v>
      </c>
      <c r="B264" s="2" t="s">
        <v>318</v>
      </c>
      <c r="C264" s="6">
        <v>46064.88508101852</v>
      </c>
      <c r="D264" s="2">
        <v>-2.0</v>
      </c>
      <c r="H264" s="2" t="s">
        <v>599</v>
      </c>
    </row>
    <row r="265" ht="15.75" customHeight="1">
      <c r="A265" s="2" t="s">
        <v>850</v>
      </c>
      <c r="B265" s="2" t="s">
        <v>318</v>
      </c>
      <c r="C265" s="6">
        <v>46064.885196759256</v>
      </c>
      <c r="D265" s="2">
        <v>-2.0</v>
      </c>
      <c r="H265" s="2" t="s">
        <v>599</v>
      </c>
    </row>
    <row r="266" ht="15.75" customHeight="1">
      <c r="A266" s="2" t="s">
        <v>851</v>
      </c>
      <c r="B266" s="5" t="s">
        <v>120</v>
      </c>
      <c r="C266" s="6">
        <v>46064.885347222225</v>
      </c>
      <c r="D266" s="2">
        <v>-6.0</v>
      </c>
      <c r="H266" s="2" t="s">
        <v>599</v>
      </c>
    </row>
    <row r="267" ht="15.75" customHeight="1">
      <c r="A267" s="2" t="s">
        <v>852</v>
      </c>
      <c r="B267" s="5" t="s">
        <v>214</v>
      </c>
      <c r="C267" s="6">
        <v>46064.88586805556</v>
      </c>
      <c r="D267" s="2">
        <v>-60.0</v>
      </c>
      <c r="H267" s="2" t="s">
        <v>599</v>
      </c>
    </row>
    <row r="268" ht="15.75" customHeight="1">
      <c r="A268" s="2" t="s">
        <v>853</v>
      </c>
      <c r="B268" s="5" t="s">
        <v>214</v>
      </c>
      <c r="C268" s="6">
        <v>46064.88597222222</v>
      </c>
      <c r="D268" s="2">
        <v>-60.0</v>
      </c>
      <c r="H268" s="2" t="s">
        <v>599</v>
      </c>
    </row>
    <row r="269" ht="15.75" customHeight="1">
      <c r="A269" s="2" t="s">
        <v>854</v>
      </c>
      <c r="B269" s="2" t="s">
        <v>271</v>
      </c>
      <c r="C269" s="6">
        <v>46065.02621527778</v>
      </c>
      <c r="D269" s="2">
        <v>1.0</v>
      </c>
      <c r="H269" s="2" t="s">
        <v>599</v>
      </c>
    </row>
    <row r="270" ht="15.75" customHeight="1">
      <c r="A270" s="2" t="s">
        <v>855</v>
      </c>
      <c r="B270" s="2" t="s">
        <v>286</v>
      </c>
      <c r="C270" s="6">
        <v>46065.02627314815</v>
      </c>
      <c r="D270" s="2">
        <v>2.0</v>
      </c>
      <c r="H270" s="2" t="s">
        <v>599</v>
      </c>
    </row>
    <row r="271" ht="15.75" customHeight="1">
      <c r="A271" s="2" t="s">
        <v>856</v>
      </c>
      <c r="B271" s="5" t="s">
        <v>217</v>
      </c>
      <c r="C271" s="6">
        <v>46065.02633101852</v>
      </c>
      <c r="D271" s="2">
        <v>2.0</v>
      </c>
      <c r="H271" s="2" t="s">
        <v>599</v>
      </c>
    </row>
    <row r="272" ht="15.75" customHeight="1">
      <c r="A272" s="2" t="s">
        <v>857</v>
      </c>
      <c r="B272" s="2" t="s">
        <v>238</v>
      </c>
      <c r="C272" s="6">
        <v>46065.02695601852</v>
      </c>
      <c r="D272" s="2">
        <v>4.0</v>
      </c>
      <c r="H272" s="2" t="s">
        <v>599</v>
      </c>
    </row>
    <row r="273" ht="15.75" customHeight="1">
      <c r="A273" s="2" t="s">
        <v>858</v>
      </c>
      <c r="B273" s="2" t="s">
        <v>327</v>
      </c>
      <c r="C273" s="6">
        <v>46065.027037037034</v>
      </c>
      <c r="D273" s="2">
        <v>2.0</v>
      </c>
      <c r="H273" s="2" t="s">
        <v>599</v>
      </c>
    </row>
    <row r="274" ht="15.75" customHeight="1">
      <c r="A274" s="2" t="s">
        <v>859</v>
      </c>
      <c r="B274" s="2" t="s">
        <v>235</v>
      </c>
      <c r="C274" s="6">
        <v>46065.02826388889</v>
      </c>
      <c r="D274" s="2">
        <v>1.0</v>
      </c>
      <c r="H274" s="2" t="s">
        <v>599</v>
      </c>
    </row>
    <row r="275" ht="15.75" customHeight="1">
      <c r="A275" s="2" t="s">
        <v>860</v>
      </c>
      <c r="B275" s="2" t="s">
        <v>271</v>
      </c>
      <c r="C275" s="6">
        <v>46065.040127314816</v>
      </c>
      <c r="D275" s="2">
        <v>30.0</v>
      </c>
      <c r="E275" s="2" t="s">
        <v>861</v>
      </c>
      <c r="H275" s="2" t="s">
        <v>571</v>
      </c>
    </row>
    <row r="276" ht="15.75" customHeight="1">
      <c r="A276" s="2" t="s">
        <v>862</v>
      </c>
      <c r="B276" s="5" t="s">
        <v>217</v>
      </c>
      <c r="C276" s="6">
        <v>46065.04017361111</v>
      </c>
      <c r="D276" s="2">
        <v>75.0</v>
      </c>
      <c r="E276" s="2" t="s">
        <v>861</v>
      </c>
      <c r="H276" s="2" t="s">
        <v>571</v>
      </c>
    </row>
    <row r="277" ht="15.75" customHeight="1">
      <c r="A277" s="2" t="s">
        <v>863</v>
      </c>
      <c r="B277" s="2" t="s">
        <v>286</v>
      </c>
      <c r="C277" s="6">
        <v>46065.04025462963</v>
      </c>
      <c r="D277" s="2">
        <v>195.0</v>
      </c>
      <c r="E277" s="2" t="s">
        <v>861</v>
      </c>
      <c r="H277" s="2" t="s">
        <v>571</v>
      </c>
    </row>
    <row r="278" ht="15.75" customHeight="1">
      <c r="A278" s="2" t="s">
        <v>864</v>
      </c>
      <c r="B278" s="2" t="s">
        <v>289</v>
      </c>
      <c r="C278" s="6">
        <v>46065.49480324074</v>
      </c>
      <c r="D278" s="2">
        <v>-11.0</v>
      </c>
      <c r="H278" s="2" t="s">
        <v>599</v>
      </c>
    </row>
    <row r="279" ht="15.75" customHeight="1">
      <c r="A279" s="2" t="s">
        <v>865</v>
      </c>
      <c r="B279" s="5" t="s">
        <v>96</v>
      </c>
      <c r="C279" s="6">
        <v>46065.49493055556</v>
      </c>
      <c r="D279" s="2">
        <v>-7.0</v>
      </c>
      <c r="H279" s="2" t="s">
        <v>599</v>
      </c>
    </row>
    <row r="280" ht="15.75" customHeight="1">
      <c r="A280" s="2" t="s">
        <v>866</v>
      </c>
      <c r="B280" s="5" t="s">
        <v>192</v>
      </c>
      <c r="C280" s="6">
        <v>46065.49512731482</v>
      </c>
      <c r="D280" s="2">
        <v>-24.0</v>
      </c>
      <c r="H280" s="2" t="s">
        <v>599</v>
      </c>
    </row>
    <row r="281" ht="15.75" customHeight="1">
      <c r="A281" s="2" t="s">
        <v>867</v>
      </c>
      <c r="B281" s="2" t="s">
        <v>286</v>
      </c>
      <c r="C281" s="6">
        <v>46065.495254629626</v>
      </c>
      <c r="D281" s="2">
        <v>-30.0</v>
      </c>
      <c r="H281" s="2" t="s">
        <v>599</v>
      </c>
    </row>
    <row r="282" ht="15.75" customHeight="1">
      <c r="A282" s="2" t="s">
        <v>868</v>
      </c>
      <c r="B282" s="5" t="s">
        <v>217</v>
      </c>
      <c r="C282" s="6">
        <v>46065.49538194444</v>
      </c>
      <c r="D282" s="2">
        <v>-15.0</v>
      </c>
      <c r="H282" s="2" t="s">
        <v>599</v>
      </c>
    </row>
    <row r="283" ht="15.75" customHeight="1">
      <c r="A283" s="2" t="s">
        <v>869</v>
      </c>
      <c r="B283" s="2" t="s">
        <v>342</v>
      </c>
      <c r="C283" s="6">
        <v>46065.49569444444</v>
      </c>
      <c r="D283" s="2">
        <v>-14.0</v>
      </c>
      <c r="H283" s="2" t="s">
        <v>599</v>
      </c>
    </row>
    <row r="284" ht="15.75" customHeight="1">
      <c r="A284" s="2" t="s">
        <v>870</v>
      </c>
      <c r="B284" s="2" t="s">
        <v>289</v>
      </c>
      <c r="C284" s="6">
        <v>46065.49586805556</v>
      </c>
      <c r="D284" s="2">
        <v>-2.0</v>
      </c>
      <c r="H284" s="2" t="s">
        <v>599</v>
      </c>
    </row>
    <row r="285" ht="15.75" customHeight="1">
      <c r="A285" s="2" t="s">
        <v>871</v>
      </c>
      <c r="B285" s="2" t="s">
        <v>295</v>
      </c>
      <c r="C285" s="6">
        <v>46065.49627314815</v>
      </c>
      <c r="D285" s="2">
        <v>-24.0</v>
      </c>
      <c r="H285" s="2" t="s">
        <v>599</v>
      </c>
    </row>
    <row r="286" ht="15.75" customHeight="1">
      <c r="A286" s="2" t="s">
        <v>872</v>
      </c>
      <c r="B286" s="5" t="s">
        <v>214</v>
      </c>
      <c r="C286" s="6">
        <v>46065.49659722222</v>
      </c>
      <c r="D286" s="2">
        <v>-60.0</v>
      </c>
      <c r="H286" s="2" t="s">
        <v>599</v>
      </c>
    </row>
    <row r="287" ht="15.75" customHeight="1">
      <c r="A287" s="2" t="s">
        <v>873</v>
      </c>
      <c r="B287" s="5" t="s">
        <v>171</v>
      </c>
      <c r="C287" s="6">
        <v>46065.66913194444</v>
      </c>
      <c r="D287" s="2">
        <v>-15.0</v>
      </c>
      <c r="H287" s="2" t="s">
        <v>599</v>
      </c>
    </row>
    <row r="288" ht="15.75" customHeight="1">
      <c r="A288" s="2" t="s">
        <v>874</v>
      </c>
      <c r="B288" s="5" t="s">
        <v>154</v>
      </c>
      <c r="C288" s="6">
        <v>46066.06625</v>
      </c>
      <c r="D288" s="2">
        <v>10.0</v>
      </c>
      <c r="E288" s="2" t="s">
        <v>875</v>
      </c>
      <c r="H288" s="2" t="s">
        <v>571</v>
      </c>
    </row>
    <row r="289" ht="15.75" customHeight="1">
      <c r="A289" s="2" t="s">
        <v>876</v>
      </c>
      <c r="B289" s="5" t="s">
        <v>186</v>
      </c>
      <c r="C289" s="6">
        <v>46066.066342592596</v>
      </c>
      <c r="D289" s="2">
        <v>20.0</v>
      </c>
      <c r="E289" s="2" t="s">
        <v>875</v>
      </c>
      <c r="H289" s="2" t="s">
        <v>571</v>
      </c>
    </row>
    <row r="290" ht="15.75" customHeight="1">
      <c r="A290" s="2" t="s">
        <v>877</v>
      </c>
      <c r="B290" s="2" t="s">
        <v>342</v>
      </c>
      <c r="C290" s="6">
        <v>46066.06637731481</v>
      </c>
      <c r="D290" s="2">
        <v>80.0</v>
      </c>
      <c r="E290" s="2" t="s">
        <v>875</v>
      </c>
      <c r="H290" s="2" t="s">
        <v>571</v>
      </c>
    </row>
    <row r="291" ht="15.75" customHeight="1">
      <c r="A291" s="2" t="s">
        <v>878</v>
      </c>
      <c r="B291" s="2" t="s">
        <v>271</v>
      </c>
      <c r="C291" s="6">
        <v>46066.068877314814</v>
      </c>
      <c r="D291" s="2">
        <v>15.0</v>
      </c>
      <c r="E291" s="2" t="s">
        <v>879</v>
      </c>
      <c r="H291" s="2" t="s">
        <v>571</v>
      </c>
    </row>
    <row r="292" ht="15.75" customHeight="1">
      <c r="A292" s="2" t="s">
        <v>880</v>
      </c>
      <c r="B292" s="5" t="s">
        <v>217</v>
      </c>
      <c r="C292" s="6">
        <v>46066.068923611114</v>
      </c>
      <c r="D292" s="2">
        <v>165.0</v>
      </c>
      <c r="E292" s="2" t="s">
        <v>879</v>
      </c>
      <c r="H292" s="2" t="s">
        <v>571</v>
      </c>
    </row>
    <row r="293" ht="15.75" customHeight="1">
      <c r="A293" s="2" t="s">
        <v>881</v>
      </c>
      <c r="B293" s="2" t="s">
        <v>286</v>
      </c>
      <c r="C293" s="6">
        <v>46066.06896990741</v>
      </c>
      <c r="D293" s="2">
        <v>120.0</v>
      </c>
      <c r="E293" s="2" t="s">
        <v>879</v>
      </c>
      <c r="H293" s="2" t="s">
        <v>571</v>
      </c>
    </row>
    <row r="294" ht="15.75" customHeight="1">
      <c r="A294" s="2" t="s">
        <v>882</v>
      </c>
      <c r="B294" s="5" t="s">
        <v>134</v>
      </c>
      <c r="C294" s="6">
        <v>46067.97618055555</v>
      </c>
      <c r="D294" s="2">
        <v>81.0</v>
      </c>
      <c r="E294" s="2" t="s">
        <v>883</v>
      </c>
      <c r="H294" s="2" t="s">
        <v>571</v>
      </c>
    </row>
    <row r="295" ht="15.75" customHeight="1">
      <c r="A295" s="2" t="s">
        <v>884</v>
      </c>
      <c r="B295" s="5" t="s">
        <v>120</v>
      </c>
      <c r="C295" s="6">
        <v>46067.97622685185</v>
      </c>
      <c r="D295" s="2">
        <v>18.0</v>
      </c>
      <c r="E295" s="2" t="s">
        <v>883</v>
      </c>
      <c r="H295" s="2" t="s">
        <v>571</v>
      </c>
    </row>
    <row r="296" ht="15.75" customHeight="1">
      <c r="A296" s="5" t="s">
        <v>885</v>
      </c>
      <c r="B296" s="5" t="s">
        <v>142</v>
      </c>
      <c r="C296" s="6">
        <v>46067.97628472222</v>
      </c>
      <c r="D296" s="2">
        <v>72.0</v>
      </c>
      <c r="E296" s="2" t="s">
        <v>883</v>
      </c>
      <c r="H296" s="2" t="s">
        <v>571</v>
      </c>
    </row>
    <row r="297" ht="15.75" customHeight="1">
      <c r="A297" s="2" t="s">
        <v>886</v>
      </c>
      <c r="B297" s="5" t="s">
        <v>96</v>
      </c>
      <c r="C297" s="6">
        <v>46069.85089120371</v>
      </c>
      <c r="D297" s="2">
        <v>48.0</v>
      </c>
      <c r="E297" s="2" t="s">
        <v>887</v>
      </c>
      <c r="H297" s="2" t="s">
        <v>571</v>
      </c>
    </row>
    <row r="298" ht="15.75" customHeight="1">
      <c r="A298" s="2" t="s">
        <v>888</v>
      </c>
      <c r="B298" s="5" t="s">
        <v>154</v>
      </c>
      <c r="C298" s="6">
        <v>46069.8509375</v>
      </c>
      <c r="D298" s="2">
        <v>10.0</v>
      </c>
      <c r="E298" s="2" t="s">
        <v>887</v>
      </c>
      <c r="H298" s="2" t="s">
        <v>571</v>
      </c>
    </row>
    <row r="299" ht="15.75" customHeight="1">
      <c r="A299" s="2" t="s">
        <v>889</v>
      </c>
      <c r="B299" s="5" t="s">
        <v>186</v>
      </c>
      <c r="C299" s="6">
        <v>46069.8509837963</v>
      </c>
      <c r="D299" s="2">
        <v>10.0</v>
      </c>
      <c r="E299" s="2" t="s">
        <v>887</v>
      </c>
      <c r="H299" s="2" t="s">
        <v>571</v>
      </c>
    </row>
    <row r="300" ht="15.75" customHeight="1">
      <c r="A300" s="2" t="s">
        <v>890</v>
      </c>
      <c r="B300" s="5" t="s">
        <v>192</v>
      </c>
      <c r="C300" s="6">
        <v>46069.85167824074</v>
      </c>
      <c r="D300" s="2">
        <v>96.0</v>
      </c>
      <c r="E300" s="2" t="s">
        <v>891</v>
      </c>
      <c r="H300" s="2" t="s">
        <v>571</v>
      </c>
    </row>
    <row r="301" ht="15.75" customHeight="1">
      <c r="A301" s="2" t="s">
        <v>892</v>
      </c>
      <c r="B301" s="2" t="s">
        <v>295</v>
      </c>
      <c r="C301" s="6">
        <v>46069.85172453704</v>
      </c>
      <c r="D301" s="2">
        <v>96.0</v>
      </c>
      <c r="E301" s="2" t="s">
        <v>891</v>
      </c>
      <c r="H301" s="2" t="s">
        <v>571</v>
      </c>
    </row>
    <row r="302" ht="15.75" customHeight="1">
      <c r="A302" s="2" t="s">
        <v>893</v>
      </c>
      <c r="B302" s="5" t="s">
        <v>211</v>
      </c>
      <c r="C302" s="6">
        <v>46069.85239583333</v>
      </c>
      <c r="D302" s="2">
        <v>24.0</v>
      </c>
      <c r="E302" s="2" t="s">
        <v>894</v>
      </c>
      <c r="H302" s="2" t="s">
        <v>571</v>
      </c>
    </row>
    <row r="303" ht="15.75" customHeight="1">
      <c r="A303" s="2" t="s">
        <v>895</v>
      </c>
      <c r="B303" s="5" t="s">
        <v>171</v>
      </c>
      <c r="C303" s="6">
        <v>46069.85364583333</v>
      </c>
      <c r="D303" s="2">
        <v>120.0</v>
      </c>
      <c r="E303" s="2" t="s">
        <v>894</v>
      </c>
      <c r="H303" s="2" t="s">
        <v>571</v>
      </c>
    </row>
    <row r="304" ht="15.75" customHeight="1">
      <c r="A304" s="2" t="s">
        <v>896</v>
      </c>
      <c r="B304" s="5" t="s">
        <v>82</v>
      </c>
      <c r="C304" s="6">
        <v>46069.85391203704</v>
      </c>
      <c r="D304" s="2">
        <v>48.0</v>
      </c>
      <c r="E304" s="2" t="s">
        <v>894</v>
      </c>
      <c r="H304" s="2" t="s">
        <v>571</v>
      </c>
    </row>
    <row r="305" ht="15.75" customHeight="1">
      <c r="A305" s="2" t="s">
        <v>897</v>
      </c>
      <c r="B305" s="2" t="s">
        <v>295</v>
      </c>
      <c r="C305" s="6">
        <v>46069.85422453703</v>
      </c>
      <c r="D305" s="2">
        <v>72.0</v>
      </c>
      <c r="E305" s="2" t="s">
        <v>894</v>
      </c>
      <c r="H305" s="2" t="s">
        <v>571</v>
      </c>
    </row>
    <row r="306" ht="15.75" customHeight="1">
      <c r="A306" s="2" t="s">
        <v>898</v>
      </c>
      <c r="B306" s="2" t="s">
        <v>363</v>
      </c>
      <c r="C306" s="6">
        <v>46069.856157407405</v>
      </c>
      <c r="D306" s="2">
        <v>12.0</v>
      </c>
      <c r="E306" s="2" t="s">
        <v>899</v>
      </c>
      <c r="H306" s="2" t="s">
        <v>571</v>
      </c>
    </row>
    <row r="307" ht="15.75" customHeight="1">
      <c r="A307" s="2" t="s">
        <v>900</v>
      </c>
      <c r="B307" s="5" t="s">
        <v>186</v>
      </c>
      <c r="C307" s="6">
        <v>46069.856203703705</v>
      </c>
      <c r="D307" s="2">
        <v>10.0</v>
      </c>
      <c r="E307" s="2" t="s">
        <v>899</v>
      </c>
      <c r="H307" s="2" t="s">
        <v>571</v>
      </c>
    </row>
    <row r="308" ht="15.75" customHeight="1">
      <c r="A308" s="2" t="s">
        <v>901</v>
      </c>
      <c r="B308" s="5" t="s">
        <v>148</v>
      </c>
      <c r="C308" s="6">
        <v>46069.85623842593</v>
      </c>
      <c r="D308" s="2">
        <v>50.0</v>
      </c>
      <c r="E308" s="2" t="s">
        <v>899</v>
      </c>
      <c r="H308" s="2" t="s">
        <v>571</v>
      </c>
    </row>
    <row r="309" ht="15.75" customHeight="1">
      <c r="A309" s="2" t="s">
        <v>902</v>
      </c>
      <c r="B309" s="5" t="s">
        <v>154</v>
      </c>
      <c r="C309" s="6">
        <v>46069.85628472222</v>
      </c>
      <c r="D309" s="2">
        <v>20.0</v>
      </c>
      <c r="E309" s="2" t="s">
        <v>899</v>
      </c>
      <c r="H309" s="2" t="s">
        <v>571</v>
      </c>
    </row>
    <row r="310" ht="15.75" customHeight="1">
      <c r="A310" s="2" t="s">
        <v>903</v>
      </c>
      <c r="B310" s="5" t="s">
        <v>96</v>
      </c>
      <c r="C310" s="6">
        <v>46069.85633101852</v>
      </c>
      <c r="D310" s="2">
        <v>24.0</v>
      </c>
      <c r="E310" s="2" t="s">
        <v>899</v>
      </c>
      <c r="H310" s="2" t="s">
        <v>571</v>
      </c>
    </row>
    <row r="311" ht="15.75" customHeight="1">
      <c r="A311" s="2" t="s">
        <v>904</v>
      </c>
      <c r="B311" s="5" t="s">
        <v>139</v>
      </c>
      <c r="C311" s="6">
        <v>46069.85637731481</v>
      </c>
      <c r="D311" s="2">
        <v>10.0</v>
      </c>
      <c r="E311" s="2" t="s">
        <v>899</v>
      </c>
      <c r="H311" s="2" t="s">
        <v>571</v>
      </c>
    </row>
    <row r="312" ht="15.75" customHeight="1">
      <c r="A312" s="2" t="s">
        <v>905</v>
      </c>
      <c r="B312" s="5" t="s">
        <v>14</v>
      </c>
      <c r="C312" s="6">
        <v>46069.85642361111</v>
      </c>
      <c r="D312" s="2">
        <v>10.0</v>
      </c>
      <c r="E312" s="2" t="s">
        <v>899</v>
      </c>
      <c r="H312" s="2" t="s">
        <v>571</v>
      </c>
    </row>
    <row r="313" ht="15.75" customHeight="1">
      <c r="A313" s="2" t="s">
        <v>906</v>
      </c>
      <c r="B313" s="5" t="s">
        <v>217</v>
      </c>
      <c r="C313" s="6">
        <v>46069.85665509259</v>
      </c>
      <c r="D313" s="2">
        <v>105.0</v>
      </c>
      <c r="E313" s="2" t="s">
        <v>907</v>
      </c>
      <c r="H313" s="2" t="s">
        <v>571</v>
      </c>
    </row>
    <row r="314" ht="15.75" customHeight="1">
      <c r="A314" s="2" t="s">
        <v>908</v>
      </c>
      <c r="B314" s="2" t="s">
        <v>286</v>
      </c>
      <c r="C314" s="6">
        <v>46069.85670138889</v>
      </c>
      <c r="D314" s="2">
        <v>105.0</v>
      </c>
      <c r="E314" s="2" t="s">
        <v>907</v>
      </c>
      <c r="H314" s="2" t="s">
        <v>571</v>
      </c>
    </row>
    <row r="315" ht="15.75" customHeight="1">
      <c r="A315" s="2" t="s">
        <v>909</v>
      </c>
      <c r="B315" s="2" t="s">
        <v>327</v>
      </c>
      <c r="C315" s="6">
        <v>46069.857037037036</v>
      </c>
      <c r="D315" s="2">
        <v>40.0</v>
      </c>
      <c r="E315" s="2" t="s">
        <v>907</v>
      </c>
      <c r="H315" s="2" t="s">
        <v>571</v>
      </c>
    </row>
    <row r="316" ht="15.75" customHeight="1">
      <c r="A316" s="2" t="s">
        <v>910</v>
      </c>
      <c r="B316" s="5" t="s">
        <v>148</v>
      </c>
      <c r="C316" s="6">
        <v>46069.857986111114</v>
      </c>
      <c r="D316" s="2">
        <v>25.0</v>
      </c>
      <c r="E316" s="2" t="s">
        <v>911</v>
      </c>
      <c r="H316" s="2" t="s">
        <v>571</v>
      </c>
    </row>
    <row r="317" ht="15.75" customHeight="1">
      <c r="A317" s="2" t="s">
        <v>912</v>
      </c>
      <c r="B317" s="5" t="s">
        <v>186</v>
      </c>
      <c r="C317" s="6">
        <v>46069.85803240741</v>
      </c>
      <c r="D317" s="2">
        <v>10.0</v>
      </c>
      <c r="E317" s="2" t="s">
        <v>911</v>
      </c>
      <c r="H317" s="2" t="s">
        <v>571</v>
      </c>
    </row>
    <row r="318" ht="15.75" customHeight="1">
      <c r="A318" s="5" t="s">
        <v>913</v>
      </c>
      <c r="B318" s="2" t="s">
        <v>330</v>
      </c>
      <c r="C318" s="6">
        <v>46069.858078703706</v>
      </c>
      <c r="D318" s="2">
        <v>48.0</v>
      </c>
      <c r="E318" s="2" t="s">
        <v>911</v>
      </c>
      <c r="H318" s="2" t="s">
        <v>571</v>
      </c>
    </row>
    <row r="319" ht="15.75" customHeight="1">
      <c r="A319" s="2" t="s">
        <v>914</v>
      </c>
      <c r="B319" s="2" t="s">
        <v>289</v>
      </c>
      <c r="C319" s="6">
        <v>46069.85946759259</v>
      </c>
      <c r="D319" s="2">
        <v>126.0</v>
      </c>
      <c r="E319" s="2" t="s">
        <v>915</v>
      </c>
      <c r="H319" s="2" t="s">
        <v>571</v>
      </c>
    </row>
    <row r="320" ht="15.75" customHeight="1">
      <c r="A320" s="2" t="s">
        <v>916</v>
      </c>
      <c r="B320" s="5" t="s">
        <v>165</v>
      </c>
      <c r="C320" s="6">
        <v>46069.859502314815</v>
      </c>
      <c r="D320" s="2">
        <v>72.0</v>
      </c>
      <c r="E320" s="2" t="s">
        <v>915</v>
      </c>
      <c r="H320" s="2" t="s">
        <v>571</v>
      </c>
    </row>
    <row r="321" ht="15.75" customHeight="1">
      <c r="A321" s="2" t="s">
        <v>917</v>
      </c>
      <c r="B321" s="5" t="s">
        <v>59</v>
      </c>
      <c r="C321" s="6">
        <v>46069.85959490741</v>
      </c>
      <c r="D321" s="2">
        <v>27.0</v>
      </c>
      <c r="E321" s="2" t="s">
        <v>915</v>
      </c>
      <c r="H321" s="2" t="s">
        <v>571</v>
      </c>
    </row>
    <row r="322" ht="15.75" customHeight="1">
      <c r="A322" s="2" t="s">
        <v>918</v>
      </c>
      <c r="B322" s="5" t="s">
        <v>171</v>
      </c>
      <c r="C322" s="6">
        <v>46069.8596412037</v>
      </c>
      <c r="D322" s="2">
        <v>96.0</v>
      </c>
      <c r="E322" s="2" t="s">
        <v>915</v>
      </c>
      <c r="H322" s="2" t="s">
        <v>571</v>
      </c>
    </row>
    <row r="323" ht="15.75" customHeight="1">
      <c r="A323" s="2" t="s">
        <v>919</v>
      </c>
      <c r="B323" s="5" t="s">
        <v>214</v>
      </c>
      <c r="C323" s="6">
        <v>46073.919594907406</v>
      </c>
      <c r="D323" s="2">
        <v>600.0</v>
      </c>
      <c r="E323" s="2" t="s">
        <v>920</v>
      </c>
      <c r="H323" s="2" t="s">
        <v>571</v>
      </c>
    </row>
    <row r="324" ht="15.75" customHeight="1">
      <c r="A324" s="2" t="s">
        <v>921</v>
      </c>
      <c r="B324" s="5" t="s">
        <v>217</v>
      </c>
      <c r="C324" s="6">
        <v>46073.92429398148</v>
      </c>
      <c r="D324" s="2">
        <v>21.0</v>
      </c>
      <c r="E324" s="2" t="s">
        <v>922</v>
      </c>
      <c r="H324" s="2" t="s">
        <v>571</v>
      </c>
    </row>
    <row r="325" ht="15.75" customHeight="1">
      <c r="A325" s="2" t="s">
        <v>923</v>
      </c>
      <c r="B325" s="5" t="s">
        <v>192</v>
      </c>
      <c r="C325" s="6">
        <v>46073.9459375</v>
      </c>
      <c r="D325" s="2">
        <v>120.0</v>
      </c>
      <c r="E325" s="2" t="s">
        <v>924</v>
      </c>
      <c r="H325" s="2" t="s">
        <v>571</v>
      </c>
    </row>
    <row r="326" ht="15.75" customHeight="1">
      <c r="A326" s="2" t="s">
        <v>925</v>
      </c>
      <c r="B326" s="5" t="s">
        <v>142</v>
      </c>
      <c r="C326" s="6">
        <v>46082.61892361111</v>
      </c>
      <c r="D326" s="2">
        <v>72.0</v>
      </c>
      <c r="E326" s="2" t="s">
        <v>926</v>
      </c>
      <c r="H326" s="2" t="s">
        <v>571</v>
      </c>
    </row>
    <row r="327" ht="15.75" customHeight="1">
      <c r="A327" s="2" t="s">
        <v>927</v>
      </c>
      <c r="B327" s="2" t="s">
        <v>295</v>
      </c>
      <c r="C327" s="6">
        <v>46082.61935185185</v>
      </c>
      <c r="D327" s="2">
        <v>120.0</v>
      </c>
      <c r="E327" s="2" t="s">
        <v>926</v>
      </c>
      <c r="H327" s="2" t="s">
        <v>571</v>
      </c>
    </row>
    <row r="328" ht="15.75" customHeight="1">
      <c r="A328" s="2" t="s">
        <v>928</v>
      </c>
      <c r="B328" s="2" t="s">
        <v>360</v>
      </c>
      <c r="C328" s="6">
        <v>46082.61945601852</v>
      </c>
      <c r="D328" s="2">
        <v>120.0</v>
      </c>
      <c r="E328" s="2" t="s">
        <v>926</v>
      </c>
      <c r="H328" s="2" t="s">
        <v>571</v>
      </c>
    </row>
    <row r="329" ht="15.75" customHeight="1">
      <c r="A329" s="2" t="s">
        <v>929</v>
      </c>
      <c r="B329" s="5" t="s">
        <v>139</v>
      </c>
      <c r="C329" s="6">
        <v>46082.61990740741</v>
      </c>
      <c r="D329" s="2">
        <v>10.0</v>
      </c>
      <c r="E329" s="2" t="s">
        <v>930</v>
      </c>
      <c r="H329" s="2" t="s">
        <v>571</v>
      </c>
    </row>
    <row r="330" ht="15.75" customHeight="1">
      <c r="A330" s="2" t="s">
        <v>931</v>
      </c>
      <c r="B330" s="5" t="s">
        <v>217</v>
      </c>
      <c r="C330" s="6">
        <v>46082.622453703705</v>
      </c>
      <c r="D330" s="2">
        <v>705.0</v>
      </c>
      <c r="E330" s="2" t="s">
        <v>932</v>
      </c>
      <c r="H330" s="2" t="s">
        <v>571</v>
      </c>
    </row>
    <row r="331" ht="15.75" customHeight="1">
      <c r="A331" s="2" t="s">
        <v>933</v>
      </c>
      <c r="B331" s="2" t="s">
        <v>289</v>
      </c>
      <c r="C331" s="6">
        <v>46082.62253472222</v>
      </c>
      <c r="D331" s="2">
        <v>90.0</v>
      </c>
      <c r="E331" s="2" t="s">
        <v>932</v>
      </c>
      <c r="H331" s="2" t="s">
        <v>571</v>
      </c>
    </row>
    <row r="332" ht="15.75" customHeight="1">
      <c r="A332" s="2" t="s">
        <v>934</v>
      </c>
      <c r="B332" s="5" t="s">
        <v>192</v>
      </c>
      <c r="C332" s="6">
        <v>46082.62259259259</v>
      </c>
      <c r="D332" s="2">
        <v>120.0</v>
      </c>
      <c r="E332" s="2" t="s">
        <v>932</v>
      </c>
      <c r="H332" s="2" t="s">
        <v>571</v>
      </c>
    </row>
    <row r="333" ht="15.75" customHeight="1">
      <c r="A333" s="2" t="s">
        <v>935</v>
      </c>
      <c r="B333" s="5" t="s">
        <v>134</v>
      </c>
      <c r="C333" s="6">
        <v>46082.62278935185</v>
      </c>
      <c r="D333" s="2">
        <v>108.0</v>
      </c>
      <c r="E333" s="2" t="s">
        <v>936</v>
      </c>
      <c r="H333" s="2" t="s">
        <v>571</v>
      </c>
    </row>
    <row r="334" ht="15.75" customHeight="1">
      <c r="A334" s="2" t="s">
        <v>937</v>
      </c>
      <c r="B334" s="5" t="s">
        <v>165</v>
      </c>
      <c r="C334" s="6">
        <v>46082.624756944446</v>
      </c>
      <c r="D334" s="2">
        <v>72.0</v>
      </c>
      <c r="E334" s="2" t="s">
        <v>938</v>
      </c>
      <c r="H334" s="2" t="s">
        <v>571</v>
      </c>
    </row>
    <row r="335" ht="15.75" customHeight="1">
      <c r="A335" s="2" t="s">
        <v>939</v>
      </c>
      <c r="B335" s="5" t="s">
        <v>142</v>
      </c>
      <c r="C335" s="6">
        <v>46082.62482638889</v>
      </c>
      <c r="D335" s="2">
        <v>168.0</v>
      </c>
      <c r="E335" s="2" t="s">
        <v>938</v>
      </c>
      <c r="H335" s="2" t="s">
        <v>571</v>
      </c>
    </row>
    <row r="336" ht="15.75" customHeight="1">
      <c r="A336" s="2" t="s">
        <v>940</v>
      </c>
      <c r="B336" s="2" t="s">
        <v>295</v>
      </c>
      <c r="C336" s="6">
        <v>46082.62489583333</v>
      </c>
      <c r="D336" s="2">
        <v>144.0</v>
      </c>
      <c r="E336" s="2" t="s">
        <v>938</v>
      </c>
      <c r="H336" s="2" t="s">
        <v>571</v>
      </c>
    </row>
    <row r="337" ht="15.75" customHeight="1">
      <c r="A337" s="2" t="s">
        <v>941</v>
      </c>
      <c r="B337" s="5" t="s">
        <v>192</v>
      </c>
      <c r="C337" s="6">
        <v>46084.292708333334</v>
      </c>
      <c r="D337" s="2">
        <v>120.0</v>
      </c>
      <c r="E337" s="2" t="s">
        <v>942</v>
      </c>
      <c r="H337" s="2" t="s">
        <v>571</v>
      </c>
    </row>
    <row r="338" ht="15.75" customHeight="1">
      <c r="A338" s="2" t="s">
        <v>943</v>
      </c>
      <c r="B338" s="5" t="s">
        <v>134</v>
      </c>
      <c r="C338" s="6">
        <v>46084.29275462963</v>
      </c>
      <c r="D338" s="2">
        <v>162.0</v>
      </c>
      <c r="E338" s="2" t="s">
        <v>942</v>
      </c>
      <c r="H338" s="2" t="s">
        <v>571</v>
      </c>
    </row>
    <row r="339" ht="15.75" customHeight="1">
      <c r="A339" s="2" t="s">
        <v>944</v>
      </c>
      <c r="B339" s="5" t="s">
        <v>214</v>
      </c>
      <c r="C339" s="6">
        <v>46084.29474537037</v>
      </c>
      <c r="D339" s="2">
        <v>480.0</v>
      </c>
      <c r="E339" s="2" t="s">
        <v>945</v>
      </c>
      <c r="H339" s="2" t="s">
        <v>571</v>
      </c>
    </row>
    <row r="340" ht="15.75" customHeight="1">
      <c r="A340" s="2" t="s">
        <v>946</v>
      </c>
      <c r="B340" s="5" t="s">
        <v>165</v>
      </c>
      <c r="C340" s="6">
        <v>46084.85298611111</v>
      </c>
      <c r="D340" s="2">
        <v>96.0</v>
      </c>
      <c r="E340" s="2" t="s">
        <v>947</v>
      </c>
      <c r="H340" s="2" t="s">
        <v>571</v>
      </c>
    </row>
    <row r="341" ht="15.75" customHeight="1">
      <c r="A341" s="2" t="s">
        <v>948</v>
      </c>
      <c r="B341" s="5" t="s">
        <v>180</v>
      </c>
      <c r="C341" s="6">
        <v>46084.85303240741</v>
      </c>
      <c r="D341" s="2">
        <v>24.0</v>
      </c>
      <c r="E341" s="2" t="s">
        <v>947</v>
      </c>
      <c r="H341" s="2" t="s">
        <v>571</v>
      </c>
    </row>
    <row r="342" ht="15.75" customHeight="1">
      <c r="A342" s="2" t="s">
        <v>949</v>
      </c>
      <c r="B342" s="5" t="s">
        <v>96</v>
      </c>
      <c r="C342" s="6">
        <v>46084.85356481482</v>
      </c>
      <c r="D342" s="2">
        <v>60.0</v>
      </c>
      <c r="E342" s="2" t="s">
        <v>950</v>
      </c>
      <c r="H342" s="2" t="s">
        <v>571</v>
      </c>
    </row>
    <row r="343" ht="15.75" customHeight="1">
      <c r="A343" s="2" t="s">
        <v>951</v>
      </c>
      <c r="B343" s="2" t="s">
        <v>271</v>
      </c>
      <c r="C343" s="6">
        <v>46084.85430555556</v>
      </c>
      <c r="D343" s="2">
        <v>105.0</v>
      </c>
      <c r="E343" s="2" t="s">
        <v>952</v>
      </c>
      <c r="H343" s="2" t="s">
        <v>571</v>
      </c>
    </row>
    <row r="344" ht="15.75" customHeight="1">
      <c r="A344" s="2" t="s">
        <v>953</v>
      </c>
      <c r="B344" s="2" t="s">
        <v>333</v>
      </c>
      <c r="C344" s="6">
        <v>46084.85435185185</v>
      </c>
      <c r="D344" s="2">
        <v>100.0</v>
      </c>
      <c r="E344" s="2" t="s">
        <v>952</v>
      </c>
      <c r="H344" s="2" t="s">
        <v>571</v>
      </c>
    </row>
    <row r="345" ht="15.75" customHeight="1">
      <c r="A345" s="2" t="s">
        <v>954</v>
      </c>
      <c r="B345" s="5" t="s">
        <v>96</v>
      </c>
      <c r="C345" s="6">
        <v>46091.77622685185</v>
      </c>
      <c r="D345" s="2">
        <v>42.0</v>
      </c>
      <c r="E345" s="2" t="s">
        <v>955</v>
      </c>
      <c r="H345" s="2" t="s">
        <v>571</v>
      </c>
    </row>
    <row r="346" ht="15.75" customHeight="1">
      <c r="A346" s="2" t="s">
        <v>956</v>
      </c>
      <c r="B346" s="2" t="s">
        <v>342</v>
      </c>
      <c r="C346" s="6">
        <v>46091.77627314815</v>
      </c>
      <c r="D346" s="2">
        <v>48.0</v>
      </c>
      <c r="E346" s="2" t="s">
        <v>955</v>
      </c>
      <c r="H346" s="2" t="s">
        <v>571</v>
      </c>
    </row>
    <row r="347" ht="15.75" customHeight="1">
      <c r="A347" s="2" t="s">
        <v>957</v>
      </c>
      <c r="B347" s="5" t="s">
        <v>14</v>
      </c>
      <c r="C347" s="6">
        <v>46091.77631944444</v>
      </c>
      <c r="D347" s="2">
        <v>50.0</v>
      </c>
      <c r="E347" s="2" t="s">
        <v>955</v>
      </c>
      <c r="H347" s="2" t="s">
        <v>571</v>
      </c>
    </row>
    <row r="348" ht="15.75" customHeight="1">
      <c r="A348" s="2" t="s">
        <v>958</v>
      </c>
      <c r="B348" s="2" t="s">
        <v>372</v>
      </c>
      <c r="C348" s="6">
        <v>46091.77726851852</v>
      </c>
      <c r="D348" s="2">
        <v>24.0</v>
      </c>
      <c r="E348" s="2" t="s">
        <v>959</v>
      </c>
      <c r="H348" s="2" t="s">
        <v>571</v>
      </c>
    </row>
    <row r="349" ht="15.75" customHeight="1">
      <c r="A349" s="2" t="s">
        <v>960</v>
      </c>
      <c r="B349" s="2" t="s">
        <v>375</v>
      </c>
      <c r="C349" s="6">
        <v>46091.777719907404</v>
      </c>
      <c r="D349" s="2">
        <v>24.0</v>
      </c>
      <c r="E349" s="2" t="s">
        <v>959</v>
      </c>
      <c r="H349" s="2" t="s">
        <v>571</v>
      </c>
    </row>
    <row r="350" ht="15.75" customHeight="1">
      <c r="A350" s="2" t="s">
        <v>961</v>
      </c>
      <c r="B350" s="2" t="s">
        <v>378</v>
      </c>
      <c r="C350" s="6">
        <v>46091.77790509259</v>
      </c>
      <c r="D350" s="2">
        <v>24.0</v>
      </c>
      <c r="E350" s="2" t="s">
        <v>959</v>
      </c>
      <c r="H350" s="2" t="s">
        <v>571</v>
      </c>
    </row>
    <row r="351" ht="15.75" customHeight="1">
      <c r="A351" s="2" t="s">
        <v>962</v>
      </c>
      <c r="B351" s="5" t="s">
        <v>217</v>
      </c>
      <c r="C351" s="6">
        <v>46091.779027777775</v>
      </c>
      <c r="D351" s="2">
        <v>60.0</v>
      </c>
      <c r="E351" s="2" t="s">
        <v>963</v>
      </c>
      <c r="H351" s="2" t="s">
        <v>571</v>
      </c>
    </row>
    <row r="352" ht="15.75" customHeight="1">
      <c r="A352" s="2" t="s">
        <v>964</v>
      </c>
      <c r="B352" s="2" t="s">
        <v>289</v>
      </c>
      <c r="C352" s="6">
        <v>46091.7791087963</v>
      </c>
      <c r="D352" s="2">
        <v>72.0</v>
      </c>
      <c r="E352" s="2" t="s">
        <v>963</v>
      </c>
      <c r="H352" s="2" t="s">
        <v>571</v>
      </c>
    </row>
    <row r="353" ht="15.75" customHeight="1">
      <c r="A353" s="2" t="s">
        <v>965</v>
      </c>
      <c r="B353" s="2" t="s">
        <v>327</v>
      </c>
      <c r="C353" s="6">
        <v>46091.77915509259</v>
      </c>
      <c r="D353" s="2">
        <v>40.0</v>
      </c>
      <c r="E353" s="2" t="s">
        <v>963</v>
      </c>
      <c r="H353" s="2" t="s">
        <v>571</v>
      </c>
    </row>
    <row r="354" ht="15.75" customHeight="1">
      <c r="A354" s="2" t="s">
        <v>966</v>
      </c>
      <c r="B354" s="2" t="s">
        <v>295</v>
      </c>
      <c r="C354" s="6">
        <v>46091.77925925926</v>
      </c>
      <c r="D354" s="2">
        <v>240.0</v>
      </c>
      <c r="E354" s="2" t="s">
        <v>963</v>
      </c>
      <c r="H354" s="2" t="s">
        <v>571</v>
      </c>
    </row>
    <row r="355" ht="15.75" customHeight="1">
      <c r="A355" s="2" t="s">
        <v>967</v>
      </c>
      <c r="B355" s="5" t="s">
        <v>142</v>
      </c>
      <c r="C355" s="6">
        <v>46091.780798611115</v>
      </c>
      <c r="D355" s="2">
        <v>96.0</v>
      </c>
      <c r="E355" s="2" t="s">
        <v>968</v>
      </c>
      <c r="H355" s="2" t="s">
        <v>571</v>
      </c>
    </row>
    <row r="356" ht="15.75" customHeight="1">
      <c r="A356" s="2" t="s">
        <v>969</v>
      </c>
      <c r="B356" s="5" t="s">
        <v>82</v>
      </c>
      <c r="C356" s="6">
        <v>46091.78084490741</v>
      </c>
      <c r="D356" s="2">
        <v>42.0</v>
      </c>
      <c r="E356" s="2" t="s">
        <v>968</v>
      </c>
      <c r="H356" s="2" t="s">
        <v>571</v>
      </c>
    </row>
    <row r="357" ht="15.75" customHeight="1">
      <c r="A357" s="2" t="s">
        <v>970</v>
      </c>
      <c r="B357" s="2" t="s">
        <v>301</v>
      </c>
      <c r="C357" s="6">
        <v>46091.78089120371</v>
      </c>
      <c r="D357" s="2">
        <v>24.0</v>
      </c>
      <c r="E357" s="2" t="s">
        <v>968</v>
      </c>
      <c r="H357" s="2" t="s">
        <v>571</v>
      </c>
    </row>
    <row r="358" ht="15.75" customHeight="1">
      <c r="A358" s="2" t="s">
        <v>971</v>
      </c>
      <c r="B358" s="2" t="s">
        <v>972</v>
      </c>
      <c r="C358" s="6">
        <v>46091.7809375</v>
      </c>
      <c r="D358" s="2">
        <v>24.0</v>
      </c>
      <c r="E358" s="2" t="s">
        <v>968</v>
      </c>
      <c r="H358" s="2" t="s">
        <v>571</v>
      </c>
    </row>
    <row r="359" ht="15.75" customHeight="1">
      <c r="A359" s="2" t="s">
        <v>973</v>
      </c>
      <c r="B359" s="2" t="s">
        <v>280</v>
      </c>
      <c r="C359" s="6">
        <v>46091.78119212963</v>
      </c>
      <c r="D359" s="2">
        <v>30.0</v>
      </c>
      <c r="E359" s="2" t="s">
        <v>974</v>
      </c>
      <c r="H359" s="2" t="s">
        <v>571</v>
      </c>
    </row>
    <row r="360" ht="15.75" customHeight="1">
      <c r="A360" s="2" t="s">
        <v>975</v>
      </c>
      <c r="B360" s="2" t="s">
        <v>369</v>
      </c>
      <c r="C360" s="6">
        <v>46091.78711805555</v>
      </c>
      <c r="D360" s="2">
        <v>60.0</v>
      </c>
      <c r="E360" s="2" t="s">
        <v>976</v>
      </c>
      <c r="H360" s="2" t="s">
        <v>571</v>
      </c>
    </row>
    <row r="361" ht="15.75" customHeight="1">
      <c r="A361" s="2" t="s">
        <v>977</v>
      </c>
      <c r="B361" s="2" t="s">
        <v>372</v>
      </c>
      <c r="C361" s="6">
        <v>46091.78717592593</v>
      </c>
      <c r="D361" s="2">
        <v>42.0</v>
      </c>
      <c r="E361" s="2" t="s">
        <v>976</v>
      </c>
      <c r="H361" s="2" t="s">
        <v>571</v>
      </c>
    </row>
    <row r="362" ht="15.75" customHeight="1">
      <c r="A362" s="2" t="s">
        <v>978</v>
      </c>
      <c r="B362" s="2" t="s">
        <v>378</v>
      </c>
      <c r="C362" s="6">
        <v>46091.78726851852</v>
      </c>
      <c r="D362" s="2">
        <v>24.0</v>
      </c>
      <c r="E362" s="2" t="s">
        <v>976</v>
      </c>
      <c r="H362" s="2" t="s">
        <v>571</v>
      </c>
    </row>
    <row r="363" ht="15.75" customHeight="1">
      <c r="A363" s="2" t="s">
        <v>979</v>
      </c>
      <c r="B363" s="2" t="s">
        <v>375</v>
      </c>
      <c r="C363" s="6">
        <v>46091.787314814814</v>
      </c>
      <c r="D363" s="2">
        <v>24.0</v>
      </c>
      <c r="E363" s="2" t="s">
        <v>976</v>
      </c>
      <c r="H363" s="2" t="s">
        <v>571</v>
      </c>
    </row>
    <row r="364" ht="15.75" customHeight="1">
      <c r="A364" s="2" t="s">
        <v>980</v>
      </c>
      <c r="B364" s="2" t="s">
        <v>384</v>
      </c>
      <c r="C364" s="6">
        <v>46091.78736111111</v>
      </c>
      <c r="D364" s="2">
        <v>24.0</v>
      </c>
      <c r="E364" s="2" t="s">
        <v>976</v>
      </c>
      <c r="H364" s="2" t="s">
        <v>571</v>
      </c>
    </row>
    <row r="365" ht="15.75" customHeight="1">
      <c r="A365" s="2" t="s">
        <v>981</v>
      </c>
      <c r="B365" s="5" t="s">
        <v>165</v>
      </c>
      <c r="C365" s="6">
        <v>46091.787407407406</v>
      </c>
      <c r="D365" s="2">
        <v>42.0</v>
      </c>
      <c r="E365" s="2" t="s">
        <v>976</v>
      </c>
      <c r="H365" s="2" t="s">
        <v>571</v>
      </c>
    </row>
    <row r="366" ht="15.75" customHeight="1">
      <c r="A366" s="2" t="s">
        <v>982</v>
      </c>
      <c r="B366" s="2" t="s">
        <v>381</v>
      </c>
      <c r="C366" s="6">
        <v>46091.787453703706</v>
      </c>
      <c r="D366" s="2">
        <v>42.0</v>
      </c>
      <c r="E366" s="2" t="s">
        <v>976</v>
      </c>
      <c r="H366" s="2" t="s">
        <v>571</v>
      </c>
    </row>
    <row r="367" ht="15.75" customHeight="1">
      <c r="A367" s="2" t="s">
        <v>983</v>
      </c>
      <c r="B367" s="5" t="s">
        <v>217</v>
      </c>
      <c r="C367" s="6">
        <v>46091.788449074076</v>
      </c>
      <c r="D367" s="2">
        <v>135.0</v>
      </c>
      <c r="E367" s="2" t="s">
        <v>976</v>
      </c>
      <c r="H367" s="2" t="s">
        <v>571</v>
      </c>
    </row>
    <row r="368" ht="15.75" customHeight="1">
      <c r="A368" s="2" t="s">
        <v>984</v>
      </c>
      <c r="B368" s="2" t="s">
        <v>286</v>
      </c>
      <c r="C368" s="6">
        <v>46091.78849537037</v>
      </c>
      <c r="D368" s="2">
        <v>45.0</v>
      </c>
      <c r="E368" s="2" t="s">
        <v>976</v>
      </c>
      <c r="H368" s="2" t="s">
        <v>571</v>
      </c>
    </row>
    <row r="369" ht="15.75" customHeight="1">
      <c r="A369" s="2" t="s">
        <v>985</v>
      </c>
      <c r="B369" s="2" t="s">
        <v>271</v>
      </c>
      <c r="C369" s="6">
        <v>46091.78894675926</v>
      </c>
      <c r="D369" s="2">
        <v>30.0</v>
      </c>
      <c r="E369" s="2" t="s">
        <v>976</v>
      </c>
      <c r="H369" s="2" t="s">
        <v>571</v>
      </c>
    </row>
    <row r="370" ht="15.75" customHeight="1">
      <c r="A370" s="2" t="s">
        <v>986</v>
      </c>
      <c r="B370" s="2" t="s">
        <v>280</v>
      </c>
      <c r="C370" s="6">
        <v>46091.788993055554</v>
      </c>
      <c r="D370" s="2">
        <v>90.0</v>
      </c>
      <c r="E370" s="2" t="s">
        <v>976</v>
      </c>
      <c r="H370" s="2" t="s">
        <v>571</v>
      </c>
    </row>
    <row r="371" ht="15.75" customHeight="1">
      <c r="A371" s="2" t="s">
        <v>987</v>
      </c>
      <c r="B371" s="2" t="s">
        <v>342</v>
      </c>
      <c r="C371" s="6">
        <v>46091.78928240741</v>
      </c>
      <c r="D371" s="2">
        <v>96.0</v>
      </c>
      <c r="E371" s="2" t="s">
        <v>988</v>
      </c>
      <c r="H371" s="2" t="s">
        <v>571</v>
      </c>
    </row>
    <row r="372" ht="15.75" customHeight="1">
      <c r="A372" s="2" t="s">
        <v>989</v>
      </c>
      <c r="B372" s="2" t="s">
        <v>289</v>
      </c>
      <c r="C372" s="6">
        <v>46091.78978009259</v>
      </c>
      <c r="D372" s="2">
        <v>126.0</v>
      </c>
      <c r="E372" s="2" t="s">
        <v>990</v>
      </c>
      <c r="H372" s="2" t="s">
        <v>571</v>
      </c>
    </row>
    <row r="373" ht="15.75" customHeight="1">
      <c r="A373" s="2" t="s">
        <v>991</v>
      </c>
      <c r="B373" s="2" t="s">
        <v>327</v>
      </c>
      <c r="C373" s="6">
        <v>46091.789826388886</v>
      </c>
      <c r="D373" s="2">
        <v>60.0</v>
      </c>
      <c r="E373" s="2" t="s">
        <v>990</v>
      </c>
      <c r="H373" s="2" t="s">
        <v>571</v>
      </c>
    </row>
    <row r="374" ht="15.75" customHeight="1">
      <c r="A374" s="2" t="s">
        <v>992</v>
      </c>
      <c r="B374" s="5" t="s">
        <v>192</v>
      </c>
      <c r="C374" s="6">
        <v>46091.790127314816</v>
      </c>
      <c r="D374" s="2">
        <v>120.0</v>
      </c>
      <c r="E374" s="2" t="s">
        <v>993</v>
      </c>
      <c r="H374" s="2" t="s">
        <v>571</v>
      </c>
    </row>
    <row r="375" ht="15.75" customHeight="1">
      <c r="A375" s="2" t="s">
        <v>994</v>
      </c>
      <c r="B375" s="2" t="s">
        <v>289</v>
      </c>
      <c r="C375" s="6">
        <v>46091.79125</v>
      </c>
      <c r="D375" s="2">
        <v>-273.0</v>
      </c>
      <c r="H375" s="2" t="s">
        <v>571</v>
      </c>
    </row>
    <row r="376" ht="15.75" customHeight="1">
      <c r="A376" s="2" t="s">
        <v>995</v>
      </c>
      <c r="B376" s="2" t="s">
        <v>327</v>
      </c>
      <c r="C376" s="6">
        <v>46091.79152777778</v>
      </c>
      <c r="D376" s="2">
        <v>-107.0</v>
      </c>
      <c r="H376" s="2" t="s">
        <v>571</v>
      </c>
    </row>
    <row r="377" ht="15.75" customHeight="1">
      <c r="A377" s="2" t="s">
        <v>996</v>
      </c>
      <c r="B377" s="2" t="s">
        <v>333</v>
      </c>
      <c r="C377" s="6">
        <v>46091.792604166665</v>
      </c>
      <c r="D377" s="2">
        <v>-51.0</v>
      </c>
      <c r="H377" s="2" t="s">
        <v>571</v>
      </c>
    </row>
    <row r="378" ht="15.75" customHeight="1">
      <c r="A378" s="2" t="s">
        <v>997</v>
      </c>
      <c r="B378" s="2" t="s">
        <v>330</v>
      </c>
      <c r="C378" s="6">
        <v>46091.79293981481</v>
      </c>
      <c r="D378" s="2">
        <v>-33.0</v>
      </c>
      <c r="H378" s="2" t="s">
        <v>571</v>
      </c>
    </row>
    <row r="379" ht="15.75" customHeight="1">
      <c r="A379" s="2" t="s">
        <v>998</v>
      </c>
      <c r="B379" s="2" t="s">
        <v>330</v>
      </c>
      <c r="C379" s="6">
        <v>46091.793171296296</v>
      </c>
      <c r="D379" s="2">
        <v>2.0</v>
      </c>
      <c r="H379" s="2" t="s">
        <v>571</v>
      </c>
    </row>
    <row r="380" ht="15.75" customHeight="1">
      <c r="A380" s="2" t="s">
        <v>999</v>
      </c>
      <c r="B380" s="5" t="s">
        <v>202</v>
      </c>
      <c r="C380" s="6">
        <v>46091.79351851852</v>
      </c>
      <c r="D380" s="2">
        <v>-5.0</v>
      </c>
      <c r="H380" s="2" t="s">
        <v>571</v>
      </c>
    </row>
    <row r="381" ht="15.75" customHeight="1">
      <c r="A381" s="5" t="s">
        <v>1000</v>
      </c>
      <c r="B381" s="2" t="s">
        <v>238</v>
      </c>
      <c r="C381" s="6">
        <v>46091.79456018518</v>
      </c>
      <c r="D381" s="2">
        <v>-22.0</v>
      </c>
      <c r="H381" s="2" t="s">
        <v>571</v>
      </c>
    </row>
    <row r="382" ht="15.75" customHeight="1">
      <c r="A382" s="2" t="s">
        <v>1001</v>
      </c>
      <c r="B382" s="5" t="s">
        <v>217</v>
      </c>
      <c r="C382" s="6">
        <v>46091.79493055555</v>
      </c>
      <c r="D382" s="2">
        <v>-1088.0</v>
      </c>
      <c r="H382" s="2" t="s">
        <v>571</v>
      </c>
    </row>
    <row r="383" ht="15.75" customHeight="1">
      <c r="A383" s="2" t="s">
        <v>1002</v>
      </c>
      <c r="B383" s="2" t="s">
        <v>286</v>
      </c>
      <c r="C383" s="6">
        <v>46091.79517361111</v>
      </c>
      <c r="D383" s="2">
        <v>-362.0</v>
      </c>
      <c r="H383" s="2" t="s">
        <v>571</v>
      </c>
    </row>
    <row r="384" ht="15.75" customHeight="1">
      <c r="A384" s="2" t="s">
        <v>1003</v>
      </c>
      <c r="B384" s="2" t="s">
        <v>280</v>
      </c>
      <c r="C384" s="6">
        <v>46091.79541666667</v>
      </c>
      <c r="D384" s="2">
        <v>-30.0</v>
      </c>
      <c r="H384" s="2" t="s">
        <v>571</v>
      </c>
    </row>
    <row r="385" ht="15.75" customHeight="1">
      <c r="A385" s="2" t="s">
        <v>1004</v>
      </c>
      <c r="B385" s="2" t="s">
        <v>271</v>
      </c>
      <c r="C385" s="6">
        <v>46091.79550925926</v>
      </c>
      <c r="D385" s="2">
        <v>-129.0</v>
      </c>
      <c r="H385" s="2" t="s">
        <v>571</v>
      </c>
    </row>
    <row r="386" ht="15.75" customHeight="1">
      <c r="A386" s="2" t="s">
        <v>1005</v>
      </c>
      <c r="B386" s="5" t="s">
        <v>171</v>
      </c>
      <c r="C386" s="6">
        <v>46091.79622685185</v>
      </c>
      <c r="D386" s="2">
        <v>-200.0</v>
      </c>
      <c r="H386" s="2" t="s">
        <v>571</v>
      </c>
    </row>
    <row r="387" ht="15.75" customHeight="1">
      <c r="A387" s="2" t="s">
        <v>1006</v>
      </c>
      <c r="B387" s="5" t="s">
        <v>171</v>
      </c>
      <c r="C387" s="6">
        <v>46091.79671296296</v>
      </c>
      <c r="D387" s="2">
        <v>23.0</v>
      </c>
      <c r="H387" s="2" t="s">
        <v>571</v>
      </c>
    </row>
    <row r="388" ht="15.75" customHeight="1">
      <c r="A388" s="2" t="s">
        <v>1007</v>
      </c>
      <c r="B388" s="5" t="s">
        <v>154</v>
      </c>
      <c r="C388" s="6">
        <v>46091.79684027778</v>
      </c>
      <c r="D388" s="2">
        <v>-36.0</v>
      </c>
      <c r="H388" s="2" t="s">
        <v>571</v>
      </c>
    </row>
    <row r="389" ht="15.75" customHeight="1">
      <c r="A389" s="2" t="s">
        <v>1008</v>
      </c>
      <c r="B389" s="5" t="s">
        <v>211</v>
      </c>
      <c r="C389" s="6">
        <v>46091.797118055554</v>
      </c>
      <c r="D389" s="2">
        <v>-24.0</v>
      </c>
      <c r="H389" s="2" t="s">
        <v>571</v>
      </c>
    </row>
    <row r="390" ht="15.75" customHeight="1">
      <c r="A390" s="2" t="s">
        <v>1009</v>
      </c>
      <c r="B390" s="2" t="s">
        <v>295</v>
      </c>
      <c r="C390" s="6">
        <v>46091.79761574074</v>
      </c>
      <c r="D390" s="2">
        <v>-513.0</v>
      </c>
      <c r="H390" s="2" t="s">
        <v>571</v>
      </c>
    </row>
    <row r="391" ht="15.75" customHeight="1">
      <c r="A391" s="2" t="s">
        <v>1010</v>
      </c>
      <c r="B391" s="5" t="s">
        <v>214</v>
      </c>
      <c r="C391" s="6">
        <v>46091.798472222225</v>
      </c>
      <c r="D391" s="2">
        <v>948.0</v>
      </c>
      <c r="H391" s="2" t="s">
        <v>571</v>
      </c>
    </row>
    <row r="392" ht="15.75" customHeight="1">
      <c r="A392" s="2" t="s">
        <v>1011</v>
      </c>
      <c r="B392" s="5" t="s">
        <v>142</v>
      </c>
      <c r="C392" s="6">
        <v>46091.79893518519</v>
      </c>
      <c r="D392" s="2">
        <v>-333.0</v>
      </c>
      <c r="H392" s="2" t="s">
        <v>571</v>
      </c>
    </row>
    <row r="393" ht="15.75" customHeight="1">
      <c r="A393" s="2" t="s">
        <v>1012</v>
      </c>
      <c r="B393" s="2" t="s">
        <v>387</v>
      </c>
      <c r="C393" s="6">
        <v>46091.80061342593</v>
      </c>
      <c r="D393" s="2">
        <v>31.0</v>
      </c>
      <c r="H393" s="2" t="s">
        <v>571</v>
      </c>
    </row>
    <row r="394" ht="15.75" customHeight="1">
      <c r="A394" s="2" t="s">
        <v>1013</v>
      </c>
      <c r="B394" s="2" t="s">
        <v>381</v>
      </c>
      <c r="C394" s="6">
        <v>46091.80086805556</v>
      </c>
      <c r="D394" s="2">
        <v>6.0</v>
      </c>
      <c r="H394" s="2" t="s">
        <v>571</v>
      </c>
    </row>
    <row r="395" ht="15.75" customHeight="1">
      <c r="A395" s="2" t="s">
        <v>1014</v>
      </c>
      <c r="B395" s="5" t="s">
        <v>82</v>
      </c>
      <c r="C395" s="6">
        <v>46091.80116898148</v>
      </c>
      <c r="D395" s="2">
        <v>-88.0</v>
      </c>
      <c r="H395" s="2" t="s">
        <v>571</v>
      </c>
    </row>
    <row r="396" ht="15.75" customHeight="1">
      <c r="A396" s="2" t="s">
        <v>1015</v>
      </c>
      <c r="B396" s="2" t="s">
        <v>301</v>
      </c>
      <c r="C396" s="6">
        <v>46091.801712962966</v>
      </c>
      <c r="D396" s="2">
        <v>-17.0</v>
      </c>
      <c r="H396" s="2" t="s">
        <v>571</v>
      </c>
    </row>
    <row r="397" ht="15.75" customHeight="1">
      <c r="A397" s="2" t="s">
        <v>1016</v>
      </c>
      <c r="B397" s="5" t="s">
        <v>192</v>
      </c>
      <c r="C397" s="6">
        <v>46091.80196759259</v>
      </c>
      <c r="D397" s="2">
        <v>-515.0</v>
      </c>
      <c r="H397" s="2" t="s">
        <v>571</v>
      </c>
    </row>
    <row r="398" ht="15.75" customHeight="1">
      <c r="A398" s="2" t="s">
        <v>1017</v>
      </c>
      <c r="B398" s="5" t="s">
        <v>206</v>
      </c>
      <c r="C398" s="6">
        <v>46091.80248842593</v>
      </c>
      <c r="D398" s="2">
        <v>10.0</v>
      </c>
      <c r="H398" s="2" t="s">
        <v>571</v>
      </c>
    </row>
    <row r="399" ht="15.75" customHeight="1">
      <c r="A399" s="2" t="s">
        <v>1018</v>
      </c>
      <c r="B399" s="2" t="s">
        <v>313</v>
      </c>
      <c r="C399" s="6">
        <v>46091.802615740744</v>
      </c>
      <c r="D399" s="2">
        <v>-20.0</v>
      </c>
      <c r="H399" s="2" t="s">
        <v>571</v>
      </c>
    </row>
    <row r="400" ht="15.75" customHeight="1">
      <c r="A400" s="2" t="s">
        <v>1019</v>
      </c>
      <c r="B400" s="2" t="s">
        <v>316</v>
      </c>
      <c r="C400" s="6">
        <v>46091.80290509259</v>
      </c>
      <c r="D400" s="2">
        <v>-12.0</v>
      </c>
      <c r="H400" s="2" t="s">
        <v>571</v>
      </c>
    </row>
    <row r="401" ht="15.75" customHeight="1">
      <c r="A401" s="2" t="s">
        <v>1020</v>
      </c>
      <c r="B401" s="2" t="s">
        <v>313</v>
      </c>
      <c r="C401" s="6">
        <v>46091.80302083334</v>
      </c>
      <c r="D401" s="2">
        <v>1.0</v>
      </c>
      <c r="H401" s="2" t="s">
        <v>571</v>
      </c>
    </row>
    <row r="402" ht="15.75" customHeight="1">
      <c r="A402" s="2" t="s">
        <v>1021</v>
      </c>
      <c r="B402" s="5" t="s">
        <v>49</v>
      </c>
      <c r="C402" s="6">
        <v>46091.80332175926</v>
      </c>
      <c r="D402" s="2">
        <v>3.0</v>
      </c>
      <c r="H402" s="2" t="s">
        <v>571</v>
      </c>
    </row>
    <row r="403" ht="15.75" customHeight="1">
      <c r="A403" s="2" t="s">
        <v>1022</v>
      </c>
      <c r="B403" s="5" t="s">
        <v>131</v>
      </c>
      <c r="C403" s="6">
        <v>46091.80386574074</v>
      </c>
      <c r="D403" s="2">
        <v>-44.0</v>
      </c>
      <c r="H403" s="2" t="s">
        <v>571</v>
      </c>
    </row>
    <row r="404" ht="15.75" customHeight="1">
      <c r="A404" s="2" t="s">
        <v>1023</v>
      </c>
      <c r="B404" s="2" t="s">
        <v>366</v>
      </c>
      <c r="C404" s="6">
        <v>46091.8040625</v>
      </c>
      <c r="D404" s="2">
        <v>-4.0</v>
      </c>
      <c r="H404" s="2" t="s">
        <v>571</v>
      </c>
    </row>
    <row r="405" ht="15.75" customHeight="1">
      <c r="A405" s="2" t="s">
        <v>1024</v>
      </c>
      <c r="B405" s="2" t="s">
        <v>277</v>
      </c>
      <c r="C405" s="6">
        <v>46091.80421296296</v>
      </c>
      <c r="D405" s="2">
        <v>1.0</v>
      </c>
      <c r="H405" s="2" t="s">
        <v>571</v>
      </c>
    </row>
    <row r="406" ht="15.75" customHeight="1">
      <c r="A406" s="2" t="s">
        <v>1025</v>
      </c>
      <c r="B406" s="5" t="s">
        <v>186</v>
      </c>
      <c r="C406" s="6">
        <v>46091.80484953704</v>
      </c>
      <c r="D406" s="2">
        <v>-42.0</v>
      </c>
      <c r="H406" s="2" t="s">
        <v>571</v>
      </c>
    </row>
    <row r="407" ht="15.75" customHeight="1">
      <c r="A407" s="2" t="s">
        <v>1026</v>
      </c>
      <c r="B407" s="5" t="s">
        <v>165</v>
      </c>
      <c r="C407" s="6">
        <v>46091.805601851855</v>
      </c>
      <c r="D407" s="2">
        <v>-234.0</v>
      </c>
      <c r="H407" s="2" t="s">
        <v>571</v>
      </c>
    </row>
    <row r="408" ht="15.75" customHeight="1">
      <c r="A408" s="2" t="s">
        <v>1027</v>
      </c>
      <c r="B408" s="2" t="s">
        <v>342</v>
      </c>
      <c r="C408" s="6">
        <v>46091.80600694445</v>
      </c>
      <c r="D408" s="2">
        <v>-128.0</v>
      </c>
      <c r="H408" s="2" t="s">
        <v>571</v>
      </c>
    </row>
    <row r="409" ht="15.75" customHeight="1">
      <c r="A409" s="2" t="s">
        <v>1028</v>
      </c>
      <c r="B409" s="5" t="s">
        <v>96</v>
      </c>
      <c r="C409" s="6">
        <v>46091.806967592594</v>
      </c>
      <c r="D409" s="2">
        <v>-170.0</v>
      </c>
      <c r="H409" s="2" t="s">
        <v>571</v>
      </c>
    </row>
    <row r="410" ht="15.75" customHeight="1">
      <c r="A410" s="2" t="s">
        <v>1029</v>
      </c>
      <c r="B410" s="5" t="s">
        <v>250</v>
      </c>
      <c r="C410" s="6">
        <v>46091.80731481482</v>
      </c>
      <c r="D410" s="2">
        <v>-1.0</v>
      </c>
      <c r="H410" s="2" t="s">
        <v>571</v>
      </c>
    </row>
    <row r="411" ht="15.75" customHeight="1">
      <c r="A411" s="2" t="s">
        <v>1030</v>
      </c>
      <c r="B411" s="5" t="s">
        <v>180</v>
      </c>
      <c r="C411" s="6">
        <v>46091.8075</v>
      </c>
      <c r="D411" s="2">
        <v>5.0</v>
      </c>
      <c r="H411" s="2" t="s">
        <v>571</v>
      </c>
    </row>
    <row r="412" ht="15.75" customHeight="1">
      <c r="A412" s="2" t="s">
        <v>1031</v>
      </c>
      <c r="B412" s="5" t="s">
        <v>14</v>
      </c>
      <c r="C412" s="6">
        <v>46091.816655092596</v>
      </c>
      <c r="D412" s="2">
        <v>-40.0</v>
      </c>
      <c r="H412" s="2" t="s">
        <v>571</v>
      </c>
    </row>
    <row r="413" ht="15.75" customHeight="1">
      <c r="A413" s="2" t="s">
        <v>1032</v>
      </c>
      <c r="B413" s="2" t="s">
        <v>363</v>
      </c>
      <c r="C413" s="6">
        <v>46091.81774305556</v>
      </c>
      <c r="D413" s="2">
        <v>-18.0</v>
      </c>
      <c r="H413" s="2" t="s">
        <v>571</v>
      </c>
    </row>
    <row r="414" ht="15.75" customHeight="1">
      <c r="A414" s="2" t="s">
        <v>1033</v>
      </c>
      <c r="B414" s="2" t="s">
        <v>390</v>
      </c>
      <c r="C414" s="6">
        <v>46091.8178587963</v>
      </c>
      <c r="D414" s="2">
        <v>48.0</v>
      </c>
      <c r="H414" s="2" t="s">
        <v>571</v>
      </c>
    </row>
    <row r="415" ht="15.75" customHeight="1">
      <c r="A415" s="2" t="s">
        <v>1034</v>
      </c>
      <c r="B415" s="5" t="s">
        <v>148</v>
      </c>
      <c r="C415" s="6">
        <v>46091.81903935185</v>
      </c>
      <c r="D415" s="2">
        <v>-75.0</v>
      </c>
      <c r="H415" s="2" t="s">
        <v>571</v>
      </c>
    </row>
    <row r="416" ht="15.75" customHeight="1">
      <c r="A416" s="2" t="s">
        <v>1035</v>
      </c>
      <c r="B416" s="5" t="s">
        <v>134</v>
      </c>
      <c r="C416" s="6">
        <v>46091.819606481484</v>
      </c>
      <c r="D416" s="2">
        <v>-344.0</v>
      </c>
      <c r="H416" s="2" t="s">
        <v>571</v>
      </c>
    </row>
    <row r="417" ht="15.75" customHeight="1">
      <c r="A417" s="2" t="s">
        <v>1036</v>
      </c>
      <c r="B417" s="5" t="s">
        <v>59</v>
      </c>
      <c r="C417" s="6">
        <v>46091.81984953704</v>
      </c>
      <c r="D417" s="2">
        <v>-27.0</v>
      </c>
      <c r="H417" s="2" t="s">
        <v>571</v>
      </c>
    </row>
    <row r="418" ht="15.75" customHeight="1">
      <c r="A418" s="2" t="s">
        <v>1037</v>
      </c>
      <c r="B418" s="2" t="s">
        <v>360</v>
      </c>
      <c r="C418" s="6">
        <v>46091.821076388886</v>
      </c>
      <c r="D418" s="2">
        <v>-97.0</v>
      </c>
      <c r="H418" s="2" t="s">
        <v>571</v>
      </c>
    </row>
    <row r="419" ht="15.75" customHeight="1">
      <c r="A419" s="2" t="s">
        <v>1038</v>
      </c>
      <c r="B419" s="5" t="s">
        <v>56</v>
      </c>
      <c r="C419" s="6">
        <v>46091.821388888886</v>
      </c>
      <c r="D419" s="2">
        <v>-22.0</v>
      </c>
      <c r="H419" s="2" t="s">
        <v>571</v>
      </c>
    </row>
    <row r="420" ht="15.75" customHeight="1">
      <c r="A420" s="2" t="s">
        <v>1039</v>
      </c>
      <c r="B420" s="2" t="s">
        <v>357</v>
      </c>
      <c r="C420" s="6">
        <v>46091.8218287037</v>
      </c>
      <c r="D420" s="2">
        <v>-20.0</v>
      </c>
      <c r="H420" s="2" t="s">
        <v>571</v>
      </c>
    </row>
    <row r="421" ht="15.75" customHeight="1">
      <c r="A421" s="2" t="s">
        <v>1040</v>
      </c>
      <c r="B421" s="5" t="s">
        <v>183</v>
      </c>
      <c r="C421" s="6">
        <v>46091.822546296295</v>
      </c>
      <c r="D421" s="2">
        <v>-32.0</v>
      </c>
      <c r="H421" s="2" t="s">
        <v>571</v>
      </c>
    </row>
    <row r="422" ht="15.75" customHeight="1">
      <c r="A422" s="2" t="s">
        <v>1041</v>
      </c>
      <c r="B422" s="2" t="s">
        <v>336</v>
      </c>
      <c r="C422" s="6">
        <v>46091.82271990741</v>
      </c>
      <c r="D422" s="2">
        <v>-11.0</v>
      </c>
      <c r="H422" s="2" t="s">
        <v>571</v>
      </c>
    </row>
    <row r="423" ht="15.75" customHeight="1">
      <c r="A423" s="2" t="s">
        <v>1042</v>
      </c>
      <c r="B423" s="5" t="s">
        <v>120</v>
      </c>
      <c r="C423" s="6">
        <v>46091.82289351852</v>
      </c>
      <c r="D423" s="2">
        <v>-25.0</v>
      </c>
      <c r="H423" s="2" t="s">
        <v>571</v>
      </c>
    </row>
    <row r="424" ht="15.75" customHeight="1">
      <c r="A424" s="2" t="s">
        <v>1043</v>
      </c>
      <c r="B424" s="5" t="s">
        <v>139</v>
      </c>
      <c r="C424" s="6">
        <v>46091.82305555556</v>
      </c>
      <c r="D424" s="2">
        <v>-20.0</v>
      </c>
      <c r="H424" s="2" t="s">
        <v>571</v>
      </c>
    </row>
    <row r="425" ht="15.75" customHeight="1">
      <c r="A425" s="2" t="s">
        <v>1044</v>
      </c>
      <c r="B425" s="2" t="s">
        <v>304</v>
      </c>
      <c r="C425" s="6">
        <v>46091.823159722226</v>
      </c>
      <c r="D425" s="2">
        <v>-11.0</v>
      </c>
      <c r="H425" s="2" t="s">
        <v>571</v>
      </c>
    </row>
    <row r="426" ht="15.75" customHeight="1">
      <c r="A426" s="2" t="s">
        <v>1045</v>
      </c>
      <c r="B426" s="2" t="s">
        <v>247</v>
      </c>
      <c r="C426" s="6">
        <v>46091.82326388889</v>
      </c>
      <c r="D426" s="2">
        <v>-12.0</v>
      </c>
      <c r="H426" s="2" t="s">
        <v>571</v>
      </c>
    </row>
    <row r="427" ht="15.75" customHeight="1">
      <c r="A427" s="2" t="s">
        <v>1046</v>
      </c>
      <c r="B427" s="2" t="s">
        <v>310</v>
      </c>
      <c r="C427" s="6">
        <v>46091.823483796295</v>
      </c>
      <c r="D427" s="2">
        <v>-4.0</v>
      </c>
      <c r="H427" s="2" t="s">
        <v>571</v>
      </c>
    </row>
    <row r="428" ht="15.75" customHeight="1">
      <c r="A428" s="2" t="s">
        <v>1047</v>
      </c>
      <c r="B428" s="2" t="s">
        <v>283</v>
      </c>
      <c r="C428" s="6">
        <v>46091.823912037034</v>
      </c>
      <c r="D428" s="2">
        <v>-23.0</v>
      </c>
      <c r="H428" s="2" t="s">
        <v>571</v>
      </c>
    </row>
    <row r="429" ht="15.75" customHeight="1">
      <c r="A429" s="2" t="s">
        <v>1048</v>
      </c>
      <c r="B429" s="2" t="s">
        <v>283</v>
      </c>
      <c r="C429" s="6">
        <v>46091.82403935185</v>
      </c>
      <c r="D429" s="2">
        <v>10.0</v>
      </c>
      <c r="H429" s="2" t="s">
        <v>571</v>
      </c>
    </row>
    <row r="430" ht="15.75" customHeight="1">
      <c r="A430" s="2" t="s">
        <v>1049</v>
      </c>
      <c r="B430" s="5" t="s">
        <v>59</v>
      </c>
      <c r="C430" s="6">
        <v>46091.82431712963</v>
      </c>
      <c r="D430" s="2">
        <v>1.0</v>
      </c>
      <c r="H430" s="2" t="s">
        <v>571</v>
      </c>
    </row>
    <row r="431" ht="15.75" customHeight="1">
      <c r="A431" s="2" t="s">
        <v>1050</v>
      </c>
      <c r="B431" s="2" t="s">
        <v>330</v>
      </c>
      <c r="C431" s="6">
        <v>46091.824467592596</v>
      </c>
      <c r="D431" s="2">
        <v>7.0</v>
      </c>
      <c r="H431" s="2" t="s">
        <v>571</v>
      </c>
    </row>
    <row r="432" ht="15.75" customHeight="1">
      <c r="A432" s="2" t="s">
        <v>1051</v>
      </c>
      <c r="B432" s="5" t="s">
        <v>85</v>
      </c>
      <c r="C432" s="6">
        <v>46091.82482638889</v>
      </c>
      <c r="D432" s="2">
        <v>-15.0</v>
      </c>
      <c r="H432" s="2" t="s">
        <v>571</v>
      </c>
    </row>
    <row r="433" ht="15.75" customHeight="1">
      <c r="A433" s="2" t="s">
        <v>1052</v>
      </c>
      <c r="B433" s="2" t="s">
        <v>318</v>
      </c>
      <c r="C433" s="6">
        <v>46091.8250462963</v>
      </c>
      <c r="D433" s="2">
        <v>-5.0</v>
      </c>
      <c r="H433" s="2" t="s">
        <v>571</v>
      </c>
    </row>
    <row r="434" ht="15.75" customHeight="1">
      <c r="A434" s="2" t="s">
        <v>1053</v>
      </c>
      <c r="B434" s="2" t="s">
        <v>307</v>
      </c>
      <c r="C434" s="6">
        <v>46091.82517361111</v>
      </c>
      <c r="D434" s="2">
        <v>-8.0</v>
      </c>
      <c r="H434" s="2" t="s">
        <v>571</v>
      </c>
    </row>
    <row r="435" ht="15.75" customHeight="1">
      <c r="A435" s="2" t="s">
        <v>1054</v>
      </c>
      <c r="B435" s="5" t="s">
        <v>159</v>
      </c>
      <c r="C435" s="6">
        <v>46091.8253125</v>
      </c>
      <c r="D435" s="2">
        <v>-12.0</v>
      </c>
      <c r="H435" s="2" t="s">
        <v>571</v>
      </c>
    </row>
    <row r="436" ht="15.75" customHeight="1">
      <c r="A436" s="2" t="s">
        <v>1055</v>
      </c>
      <c r="B436" s="2" t="s">
        <v>289</v>
      </c>
      <c r="C436" s="6">
        <v>46093.10628472222</v>
      </c>
      <c r="D436" s="2">
        <v>-14.0</v>
      </c>
      <c r="H436" s="2" t="s">
        <v>599</v>
      </c>
    </row>
    <row r="437" ht="15.75" customHeight="1">
      <c r="A437" s="2" t="s">
        <v>1056</v>
      </c>
      <c r="B437" s="2" t="s">
        <v>327</v>
      </c>
      <c r="C437" s="6">
        <v>46093.10637731481</v>
      </c>
      <c r="D437" s="2">
        <v>-7.0</v>
      </c>
      <c r="H437" s="2" t="s">
        <v>599</v>
      </c>
    </row>
    <row r="438" ht="15.75" customHeight="1">
      <c r="A438" s="2" t="s">
        <v>1057</v>
      </c>
      <c r="B438" s="5" t="s">
        <v>217</v>
      </c>
      <c r="C438" s="6">
        <v>46093.10648148148</v>
      </c>
      <c r="D438" s="2">
        <v>-7.0</v>
      </c>
      <c r="H438" s="2" t="s">
        <v>599</v>
      </c>
    </row>
    <row r="439" ht="15.75" customHeight="1">
      <c r="A439" s="2" t="s">
        <v>1058</v>
      </c>
      <c r="B439" s="2" t="s">
        <v>280</v>
      </c>
      <c r="C439" s="6">
        <v>46093.10659722222</v>
      </c>
      <c r="D439" s="2">
        <v>-7.0</v>
      </c>
      <c r="H439" s="2" t="s">
        <v>599</v>
      </c>
    </row>
    <row r="440" ht="15.75" customHeight="1">
      <c r="A440" s="2" t="s">
        <v>1059</v>
      </c>
      <c r="B440" s="2" t="s">
        <v>286</v>
      </c>
      <c r="C440" s="6">
        <v>46093.10667824074</v>
      </c>
      <c r="D440" s="2">
        <v>-7.0</v>
      </c>
      <c r="H440" s="2" t="s">
        <v>599</v>
      </c>
    </row>
    <row r="441" ht="15.75" customHeight="1">
      <c r="A441" s="2" t="s">
        <v>1060</v>
      </c>
      <c r="B441" s="2" t="s">
        <v>271</v>
      </c>
      <c r="C441" s="6">
        <v>46093.106770833336</v>
      </c>
      <c r="D441" s="2">
        <v>-7.0</v>
      </c>
      <c r="H441" s="2" t="s">
        <v>599</v>
      </c>
    </row>
    <row r="442" ht="15.75" customHeight="1">
      <c r="A442" s="2" t="s">
        <v>1061</v>
      </c>
      <c r="B442" s="5" t="s">
        <v>171</v>
      </c>
      <c r="C442" s="6">
        <v>46093.10707175926</v>
      </c>
      <c r="D442" s="2">
        <v>-11.0</v>
      </c>
      <c r="H442" s="2" t="s">
        <v>599</v>
      </c>
    </row>
    <row r="443" ht="15.75" customHeight="1">
      <c r="A443" s="2" t="s">
        <v>1062</v>
      </c>
      <c r="B443" s="5" t="s">
        <v>186</v>
      </c>
      <c r="C443" s="6">
        <v>46093.10732638889</v>
      </c>
      <c r="D443" s="2">
        <v>-10.0</v>
      </c>
      <c r="H443" s="2" t="s">
        <v>599</v>
      </c>
    </row>
    <row r="444" ht="15.75" customHeight="1">
      <c r="A444" s="2" t="s">
        <v>1063</v>
      </c>
      <c r="B444" s="2" t="s">
        <v>372</v>
      </c>
      <c r="C444" s="6">
        <v>46093.10774305555</v>
      </c>
      <c r="D444" s="2">
        <v>-12.0</v>
      </c>
      <c r="H444" s="2" t="s">
        <v>599</v>
      </c>
    </row>
    <row r="445" ht="15.75" customHeight="1">
      <c r="A445" s="2" t="s">
        <v>1064</v>
      </c>
      <c r="B445" s="2" t="s">
        <v>378</v>
      </c>
      <c r="C445" s="6">
        <v>46093.10818287037</v>
      </c>
      <c r="D445" s="2">
        <v>-12.0</v>
      </c>
      <c r="H445" s="2" t="s">
        <v>599</v>
      </c>
    </row>
    <row r="446" ht="15.75" customHeight="1">
      <c r="A446" s="2" t="s">
        <v>1065</v>
      </c>
      <c r="B446" s="2" t="s">
        <v>384</v>
      </c>
      <c r="C446" s="6">
        <v>46093.108402777776</v>
      </c>
      <c r="D446" s="2">
        <v>-12.0</v>
      </c>
      <c r="H446" s="2" t="s">
        <v>599</v>
      </c>
    </row>
    <row r="447" ht="15.75" customHeight="1">
      <c r="A447" s="2" t="s">
        <v>1066</v>
      </c>
      <c r="B447" s="2" t="s">
        <v>360</v>
      </c>
      <c r="C447" s="6">
        <v>46093.10903935185</v>
      </c>
      <c r="D447" s="2">
        <v>-13.0</v>
      </c>
      <c r="H447" s="2" t="s">
        <v>599</v>
      </c>
    </row>
    <row r="448" ht="15.75" customHeight="1">
      <c r="A448" s="2" t="s">
        <v>1067</v>
      </c>
      <c r="B448" s="5" t="s">
        <v>59</v>
      </c>
      <c r="C448" s="6">
        <v>46093.10952546296</v>
      </c>
      <c r="D448" s="2">
        <v>-5.0</v>
      </c>
      <c r="H448" s="2" t="s">
        <v>599</v>
      </c>
    </row>
    <row r="449" ht="15.75" customHeight="1">
      <c r="A449" s="2" t="s">
        <v>1068</v>
      </c>
      <c r="B449" s="5" t="s">
        <v>192</v>
      </c>
      <c r="C449" s="6">
        <v>46093.11035879629</v>
      </c>
      <c r="D449" s="2">
        <v>-21.0</v>
      </c>
      <c r="H449" s="2" t="s">
        <v>599</v>
      </c>
    </row>
    <row r="450" ht="15.75" customHeight="1">
      <c r="A450" s="2" t="s">
        <v>1069</v>
      </c>
      <c r="B450" s="2" t="s">
        <v>313</v>
      </c>
      <c r="C450" s="6">
        <v>46093.11059027778</v>
      </c>
      <c r="D450" s="2">
        <v>-6.0</v>
      </c>
      <c r="H450" s="2" t="s">
        <v>599</v>
      </c>
    </row>
    <row r="451" ht="15.75" customHeight="1">
      <c r="A451" s="2" t="s">
        <v>1070</v>
      </c>
      <c r="B451" s="5" t="s">
        <v>214</v>
      </c>
      <c r="C451" s="6">
        <v>46093.111296296294</v>
      </c>
      <c r="D451" s="2">
        <v>-36.0</v>
      </c>
      <c r="H451" s="2" t="s">
        <v>599</v>
      </c>
    </row>
    <row r="452" ht="15.75" customHeight="1">
      <c r="A452" s="5" t="s">
        <v>1071</v>
      </c>
      <c r="B452" s="5" t="s">
        <v>142</v>
      </c>
      <c r="C452" s="6">
        <v>46093.11311342593</v>
      </c>
      <c r="D452" s="2">
        <v>-14.0</v>
      </c>
      <c r="H452" s="2" t="s">
        <v>599</v>
      </c>
    </row>
    <row r="453" ht="15.75" customHeight="1">
      <c r="A453" s="2" t="s">
        <v>1072</v>
      </c>
      <c r="B453" s="5" t="s">
        <v>82</v>
      </c>
      <c r="C453" s="6">
        <v>46093.113217592596</v>
      </c>
      <c r="D453" s="2">
        <v>-7.0</v>
      </c>
      <c r="H453" s="2" t="s">
        <v>599</v>
      </c>
    </row>
    <row r="454" ht="15.75" customHeight="1">
      <c r="A454" s="2" t="s">
        <v>1073</v>
      </c>
      <c r="B454" s="2" t="s">
        <v>381</v>
      </c>
      <c r="C454" s="6">
        <v>46093.11342592593</v>
      </c>
      <c r="D454" s="2">
        <v>-5.0</v>
      </c>
      <c r="H454" s="2" t="s">
        <v>599</v>
      </c>
    </row>
    <row r="455" ht="15.75" customHeight="1">
      <c r="A455" s="2" t="s">
        <v>1074</v>
      </c>
      <c r="B455" s="2" t="s">
        <v>286</v>
      </c>
      <c r="C455" s="6">
        <v>46093.50119212963</v>
      </c>
      <c r="D455" s="2">
        <v>-7.0</v>
      </c>
      <c r="H455" s="2" t="s">
        <v>599</v>
      </c>
    </row>
    <row r="456" ht="15.75" customHeight="1">
      <c r="A456" s="2" t="s">
        <v>1075</v>
      </c>
      <c r="B456" s="2" t="s">
        <v>271</v>
      </c>
      <c r="C456" s="6">
        <v>46093.501550925925</v>
      </c>
      <c r="D456" s="2">
        <v>-7.0</v>
      </c>
      <c r="H456" s="2" t="s">
        <v>599</v>
      </c>
    </row>
    <row r="457" ht="15.75" customHeight="1">
      <c r="A457" s="2" t="s">
        <v>1076</v>
      </c>
      <c r="B457" s="2" t="s">
        <v>280</v>
      </c>
      <c r="C457" s="6">
        <v>46093.50173611111</v>
      </c>
      <c r="D457" s="2">
        <v>-7.0</v>
      </c>
      <c r="H457" s="2" t="s">
        <v>599</v>
      </c>
    </row>
    <row r="458" ht="15.75" customHeight="1">
      <c r="A458" s="2" t="s">
        <v>1077</v>
      </c>
      <c r="B458" s="5" t="s">
        <v>217</v>
      </c>
      <c r="C458" s="6">
        <v>46093.50377314815</v>
      </c>
      <c r="D458" s="2">
        <v>5.0</v>
      </c>
      <c r="H458" s="2" t="s">
        <v>599</v>
      </c>
    </row>
    <row r="459" ht="15.75" customHeight="1">
      <c r="A459" s="2" t="s">
        <v>1078</v>
      </c>
      <c r="B459" s="2" t="s">
        <v>330</v>
      </c>
      <c r="C459" s="6">
        <v>46093.50403935185</v>
      </c>
      <c r="D459" s="2">
        <v>7.0</v>
      </c>
      <c r="H459" s="2" t="s">
        <v>599</v>
      </c>
    </row>
    <row r="460" ht="15.75" customHeight="1">
      <c r="A460" s="2" t="s">
        <v>1079</v>
      </c>
      <c r="B460" s="2" t="s">
        <v>289</v>
      </c>
      <c r="C460" s="6">
        <v>46093.506203703706</v>
      </c>
      <c r="D460" s="2">
        <v>-14.0</v>
      </c>
      <c r="H460" s="2" t="s">
        <v>599</v>
      </c>
    </row>
    <row r="461" ht="15.75" customHeight="1">
      <c r="A461" s="2" t="s">
        <v>1080</v>
      </c>
      <c r="B461" s="2" t="s">
        <v>327</v>
      </c>
      <c r="C461" s="6">
        <v>46093.506273148145</v>
      </c>
      <c r="D461" s="2">
        <v>-7.0</v>
      </c>
      <c r="H461" s="2" t="s">
        <v>599</v>
      </c>
    </row>
    <row r="462" ht="15.75" customHeight="1">
      <c r="A462" s="2" t="s">
        <v>1081</v>
      </c>
      <c r="B462" s="2" t="s">
        <v>327</v>
      </c>
      <c r="C462" s="6">
        <v>46093.50638888889</v>
      </c>
      <c r="D462" s="2">
        <v>-3.0</v>
      </c>
      <c r="H462" s="2" t="s">
        <v>599</v>
      </c>
    </row>
    <row r="463" ht="15.75" customHeight="1">
      <c r="A463" s="2" t="s">
        <v>1082</v>
      </c>
      <c r="B463" s="2" t="s">
        <v>333</v>
      </c>
      <c r="C463" s="6">
        <v>46093.5069212963</v>
      </c>
      <c r="D463" s="2">
        <v>-12.0</v>
      </c>
      <c r="H463" s="2" t="s">
        <v>599</v>
      </c>
    </row>
    <row r="464" ht="15.75" customHeight="1">
      <c r="A464" s="2" t="s">
        <v>1083</v>
      </c>
      <c r="B464" s="2" t="s">
        <v>372</v>
      </c>
      <c r="C464" s="6">
        <v>46093.50894675926</v>
      </c>
      <c r="D464" s="2">
        <v>-12.0</v>
      </c>
      <c r="H464" s="2" t="s">
        <v>599</v>
      </c>
    </row>
    <row r="465" ht="15.75" customHeight="1">
      <c r="A465" s="2" t="s">
        <v>1084</v>
      </c>
      <c r="B465" s="2" t="s">
        <v>375</v>
      </c>
      <c r="C465" s="6">
        <v>46093.50915509259</v>
      </c>
      <c r="D465" s="2">
        <v>-12.0</v>
      </c>
      <c r="H465" s="2" t="s">
        <v>599</v>
      </c>
    </row>
    <row r="466" ht="15.75" customHeight="1">
      <c r="A466" s="2" t="s">
        <v>1085</v>
      </c>
      <c r="B466" s="2" t="s">
        <v>378</v>
      </c>
      <c r="C466" s="6">
        <v>46093.509305555555</v>
      </c>
      <c r="D466" s="2">
        <v>-12.0</v>
      </c>
      <c r="H466" s="2" t="s">
        <v>599</v>
      </c>
    </row>
    <row r="467" ht="15.75" customHeight="1">
      <c r="A467" s="2" t="s">
        <v>1086</v>
      </c>
      <c r="B467" s="2" t="s">
        <v>384</v>
      </c>
      <c r="C467" s="6">
        <v>46093.509409722225</v>
      </c>
      <c r="D467" s="2">
        <v>-12.0</v>
      </c>
      <c r="H467" s="2" t="s">
        <v>599</v>
      </c>
    </row>
    <row r="468" ht="15.75" customHeight="1">
      <c r="A468" s="2" t="s">
        <v>1087</v>
      </c>
      <c r="B468" s="5" t="s">
        <v>165</v>
      </c>
      <c r="C468" s="6">
        <v>46093.511655092596</v>
      </c>
      <c r="D468" s="2">
        <v>-8.0</v>
      </c>
      <c r="H468" s="2" t="s">
        <v>599</v>
      </c>
    </row>
    <row r="469" ht="15.75" customHeight="1">
      <c r="A469" s="2" t="s">
        <v>1088</v>
      </c>
      <c r="B469" s="2" t="s">
        <v>369</v>
      </c>
      <c r="C469" s="6">
        <v>46093.512719907405</v>
      </c>
      <c r="D469" s="2">
        <v>-2.0</v>
      </c>
      <c r="H469" s="2" t="s">
        <v>599</v>
      </c>
    </row>
    <row r="470" ht="15.75" customHeight="1">
      <c r="A470" s="2" t="s">
        <v>1089</v>
      </c>
      <c r="B470" s="2" t="s">
        <v>369</v>
      </c>
      <c r="C470" s="6">
        <v>46093.513344907406</v>
      </c>
      <c r="D470" s="2">
        <v>-5.0</v>
      </c>
      <c r="H470" s="2" t="s">
        <v>599</v>
      </c>
    </row>
    <row r="471" ht="15.75" customHeight="1">
      <c r="A471" s="2" t="s">
        <v>1090</v>
      </c>
      <c r="B471" s="2" t="s">
        <v>369</v>
      </c>
      <c r="C471" s="6">
        <v>46093.51369212963</v>
      </c>
      <c r="D471" s="2">
        <v>-2.0</v>
      </c>
      <c r="H471" s="2" t="s">
        <v>599</v>
      </c>
    </row>
    <row r="472" ht="15.75" customHeight="1">
      <c r="A472" s="5" t="s">
        <v>1091</v>
      </c>
      <c r="B472" s="2" t="s">
        <v>342</v>
      </c>
      <c r="C472" s="6">
        <v>46093.51403935185</v>
      </c>
      <c r="D472" s="2">
        <v>-12.0</v>
      </c>
      <c r="H472" s="2" t="s">
        <v>599</v>
      </c>
    </row>
    <row r="473" ht="15.75" customHeight="1">
      <c r="A473" s="2" t="s">
        <v>1092</v>
      </c>
      <c r="B473" s="2" t="s">
        <v>301</v>
      </c>
      <c r="C473" s="6">
        <v>46093.51489583333</v>
      </c>
      <c r="D473" s="2">
        <v>-3.0</v>
      </c>
      <c r="H473" s="2" t="s">
        <v>599</v>
      </c>
    </row>
    <row r="474" ht="15.75" customHeight="1">
      <c r="A474" s="2" t="s">
        <v>1093</v>
      </c>
      <c r="B474" s="5" t="s">
        <v>82</v>
      </c>
      <c r="C474" s="6">
        <v>46093.51498842592</v>
      </c>
      <c r="D474" s="2">
        <v>-5.0</v>
      </c>
      <c r="H474" s="2" t="s">
        <v>599</v>
      </c>
    </row>
    <row r="475" ht="15.75" customHeight="1">
      <c r="A475" s="2" t="s">
        <v>1094</v>
      </c>
      <c r="B475" s="5" t="s">
        <v>206</v>
      </c>
      <c r="C475" s="6">
        <v>46093.515752314815</v>
      </c>
      <c r="D475" s="2">
        <v>-6.0</v>
      </c>
      <c r="H475" s="2" t="s">
        <v>599</v>
      </c>
    </row>
    <row r="476" ht="15.75" customHeight="1">
      <c r="A476" s="2" t="s">
        <v>1095</v>
      </c>
      <c r="B476" s="5" t="s">
        <v>192</v>
      </c>
      <c r="C476" s="6">
        <v>46093.516435185185</v>
      </c>
      <c r="D476" s="2">
        <v>-18.0</v>
      </c>
      <c r="H476" s="2" t="s">
        <v>599</v>
      </c>
    </row>
    <row r="477" ht="15.75" customHeight="1">
      <c r="A477" s="2" t="s">
        <v>1096</v>
      </c>
      <c r="B477" s="5" t="s">
        <v>214</v>
      </c>
      <c r="C477" s="6">
        <v>46093.51662037037</v>
      </c>
      <c r="D477" s="2">
        <v>-60.0</v>
      </c>
      <c r="H477" s="2" t="s">
        <v>599</v>
      </c>
    </row>
    <row r="478" ht="15.75" customHeight="1">
      <c r="A478" s="2" t="s">
        <v>1097</v>
      </c>
      <c r="B478" s="5" t="s">
        <v>96</v>
      </c>
      <c r="C478" s="6">
        <v>46093.51673611111</v>
      </c>
      <c r="D478" s="2">
        <v>7.0</v>
      </c>
      <c r="H478" s="2" t="s">
        <v>599</v>
      </c>
    </row>
    <row r="479" ht="15.75" customHeight="1">
      <c r="A479" s="2" t="s">
        <v>1098</v>
      </c>
      <c r="B479" s="5" t="s">
        <v>217</v>
      </c>
      <c r="C479" s="6">
        <v>46093.519791666666</v>
      </c>
      <c r="D479" s="2">
        <v>-7.0</v>
      </c>
      <c r="H479" s="2" t="s">
        <v>599</v>
      </c>
    </row>
    <row r="480" ht="15.75" customHeight="1">
      <c r="A480" s="2" t="s">
        <v>1099</v>
      </c>
      <c r="B480" s="2" t="s">
        <v>280</v>
      </c>
      <c r="C480" s="6">
        <v>46093.519837962966</v>
      </c>
      <c r="D480" s="2">
        <v>-7.0</v>
      </c>
      <c r="H480" s="2" t="s">
        <v>599</v>
      </c>
    </row>
    <row r="481" ht="15.75" customHeight="1">
      <c r="A481" s="2" t="s">
        <v>1100</v>
      </c>
      <c r="B481" s="2" t="s">
        <v>286</v>
      </c>
      <c r="C481" s="6">
        <v>46093.519895833335</v>
      </c>
      <c r="D481" s="2">
        <v>-7.0</v>
      </c>
      <c r="H481" s="2" t="s">
        <v>599</v>
      </c>
    </row>
    <row r="482" ht="15.75" customHeight="1">
      <c r="A482" s="2" t="s">
        <v>1101</v>
      </c>
      <c r="B482" s="2" t="s">
        <v>271</v>
      </c>
      <c r="C482" s="6">
        <v>46093.519953703704</v>
      </c>
      <c r="D482" s="2">
        <v>-7.0</v>
      </c>
      <c r="H482" s="2" t="s">
        <v>599</v>
      </c>
    </row>
    <row r="483" ht="15.75" customHeight="1">
      <c r="A483" s="2" t="s">
        <v>1102</v>
      </c>
      <c r="B483" s="2" t="s">
        <v>372</v>
      </c>
      <c r="C483" s="6">
        <v>46093.52113425926</v>
      </c>
      <c r="D483" s="2">
        <v>8.0</v>
      </c>
      <c r="H483" s="2" t="s">
        <v>599</v>
      </c>
    </row>
    <row r="484" ht="15.75" customHeight="1">
      <c r="A484" s="2" t="s">
        <v>1103</v>
      </c>
      <c r="B484" s="2" t="s">
        <v>375</v>
      </c>
      <c r="C484" s="6">
        <v>46093.52140046296</v>
      </c>
      <c r="D484" s="2">
        <v>-12.0</v>
      </c>
      <c r="H484" s="2" t="s">
        <v>599</v>
      </c>
    </row>
    <row r="485" ht="15.75" customHeight="1">
      <c r="A485" s="5" t="s">
        <v>1104</v>
      </c>
      <c r="B485" s="2" t="s">
        <v>360</v>
      </c>
      <c r="C485" s="6">
        <v>46093.52390046296</v>
      </c>
      <c r="D485" s="2">
        <v>-17.0</v>
      </c>
      <c r="H485" s="2" t="s">
        <v>599</v>
      </c>
    </row>
    <row r="486" ht="15.75" customHeight="1">
      <c r="A486" s="2" t="s">
        <v>1105</v>
      </c>
      <c r="B486" s="5" t="s">
        <v>134</v>
      </c>
      <c r="C486" s="6">
        <v>46093.524097222224</v>
      </c>
      <c r="D486" s="2">
        <v>-3.0</v>
      </c>
      <c r="H486" s="2" t="s">
        <v>599</v>
      </c>
    </row>
    <row r="487" ht="15.75" customHeight="1">
      <c r="A487" s="2" t="s">
        <v>1106</v>
      </c>
      <c r="B487" s="2" t="s">
        <v>283</v>
      </c>
      <c r="C487" s="6">
        <v>46093.52427083333</v>
      </c>
      <c r="D487" s="2">
        <v>-4.0</v>
      </c>
      <c r="H487" s="2" t="s">
        <v>599</v>
      </c>
    </row>
    <row r="488" ht="15.75" customHeight="1">
      <c r="A488" s="2" t="s">
        <v>1107</v>
      </c>
      <c r="B488" s="5" t="s">
        <v>206</v>
      </c>
      <c r="C488" s="6">
        <v>46093.524409722224</v>
      </c>
      <c r="D488" s="2">
        <v>-9.0</v>
      </c>
      <c r="H488" s="2" t="s">
        <v>599</v>
      </c>
    </row>
    <row r="489" ht="15.75" customHeight="1">
      <c r="A489" s="2" t="s">
        <v>1108</v>
      </c>
      <c r="B489" s="5" t="s">
        <v>142</v>
      </c>
      <c r="C489" s="6">
        <v>46093.52469907407</v>
      </c>
      <c r="D489" s="2">
        <v>-6.0</v>
      </c>
      <c r="H489" s="2" t="s">
        <v>599</v>
      </c>
    </row>
    <row r="490" ht="15.75" customHeight="1">
      <c r="A490" s="2" t="s">
        <v>1109</v>
      </c>
      <c r="B490" s="2" t="s">
        <v>301</v>
      </c>
      <c r="C490" s="6">
        <v>46093.52481481482</v>
      </c>
      <c r="D490" s="2">
        <v>-3.0</v>
      </c>
      <c r="H490" s="2" t="s">
        <v>599</v>
      </c>
    </row>
    <row r="491" ht="15.75" customHeight="1">
      <c r="A491" s="2" t="s">
        <v>1110</v>
      </c>
      <c r="B491" s="2" t="s">
        <v>972</v>
      </c>
      <c r="C491" s="6">
        <v>46093.52521990741</v>
      </c>
      <c r="D491" s="2">
        <v>-5.0</v>
      </c>
      <c r="H491" s="2" t="s">
        <v>599</v>
      </c>
    </row>
    <row r="492" ht="15.75" customHeight="1">
      <c r="A492" s="2" t="s">
        <v>1111</v>
      </c>
      <c r="B492" s="5" t="s">
        <v>192</v>
      </c>
      <c r="C492" s="6">
        <v>46093.525416666664</v>
      </c>
      <c r="D492" s="2">
        <v>-12.0</v>
      </c>
      <c r="H492" s="2" t="s">
        <v>599</v>
      </c>
    </row>
    <row r="493" ht="15.75" customHeight="1">
      <c r="A493" s="2" t="s">
        <v>1112</v>
      </c>
      <c r="B493" s="5" t="s">
        <v>214</v>
      </c>
      <c r="C493" s="6">
        <v>46093.52585648148</v>
      </c>
      <c r="D493" s="2">
        <v>-12.0</v>
      </c>
      <c r="H493" s="2" t="s">
        <v>599</v>
      </c>
    </row>
    <row r="494" ht="15.75" customHeight="1">
      <c r="A494" s="2" t="s">
        <v>1113</v>
      </c>
      <c r="B494" s="2" t="s">
        <v>372</v>
      </c>
      <c r="C494" s="6">
        <v>46093.52914351852</v>
      </c>
      <c r="D494" s="2">
        <v>-26.0</v>
      </c>
      <c r="H494" s="2" t="s">
        <v>599</v>
      </c>
    </row>
    <row r="495" ht="15.75" customHeight="1">
      <c r="A495" s="2" t="s">
        <v>1114</v>
      </c>
      <c r="B495" s="2" t="s">
        <v>375</v>
      </c>
      <c r="C495" s="6">
        <v>46093.529444444444</v>
      </c>
      <c r="D495" s="2">
        <v>-24.0</v>
      </c>
      <c r="H495" s="2" t="s">
        <v>599</v>
      </c>
    </row>
    <row r="496" ht="15.75" customHeight="1">
      <c r="A496" s="2" t="s">
        <v>1115</v>
      </c>
      <c r="B496" s="2" t="s">
        <v>378</v>
      </c>
      <c r="C496" s="6">
        <v>46093.529594907406</v>
      </c>
      <c r="D496" s="2">
        <v>-24.0</v>
      </c>
      <c r="H496" s="2" t="s">
        <v>599</v>
      </c>
    </row>
    <row r="497" ht="15.75" customHeight="1">
      <c r="A497" s="2" t="s">
        <v>1116</v>
      </c>
      <c r="B497" s="2" t="s">
        <v>286</v>
      </c>
      <c r="C497" s="6">
        <v>46093.69467592592</v>
      </c>
      <c r="D497" s="2">
        <v>-15.0</v>
      </c>
      <c r="H497" s="2" t="s">
        <v>599</v>
      </c>
    </row>
    <row r="498" ht="15.75" customHeight="1">
      <c r="A498" s="2" t="s">
        <v>1117</v>
      </c>
      <c r="B498" s="2" t="s">
        <v>280</v>
      </c>
      <c r="C498" s="6">
        <v>46093.694814814815</v>
      </c>
      <c r="D498" s="2">
        <v>-7.0</v>
      </c>
      <c r="H498" s="2" t="s">
        <v>599</v>
      </c>
    </row>
    <row r="499" ht="15.75" customHeight="1">
      <c r="A499" s="2" t="s">
        <v>1118</v>
      </c>
      <c r="B499" s="2" t="s">
        <v>289</v>
      </c>
      <c r="C499" s="6">
        <v>46093.694861111115</v>
      </c>
      <c r="D499" s="2">
        <v>-7.0</v>
      </c>
      <c r="H499" s="2" t="s">
        <v>599</v>
      </c>
    </row>
    <row r="500" ht="15.75" customHeight="1">
      <c r="A500" s="2" t="s">
        <v>1119</v>
      </c>
      <c r="B500" s="5" t="s">
        <v>192</v>
      </c>
      <c r="C500" s="6">
        <v>46093.69510416667</v>
      </c>
      <c r="D500" s="2">
        <v>-21.0</v>
      </c>
      <c r="H500" s="2" t="s">
        <v>599</v>
      </c>
    </row>
    <row r="501" ht="15.75" customHeight="1">
      <c r="A501" s="2" t="s">
        <v>1120</v>
      </c>
      <c r="B501" s="5" t="s">
        <v>165</v>
      </c>
      <c r="C501" s="6">
        <v>46093.695543981485</v>
      </c>
      <c r="D501" s="2">
        <v>-8.0</v>
      </c>
      <c r="H501" s="2" t="s">
        <v>599</v>
      </c>
    </row>
    <row r="502" ht="15.75" customHeight="1">
      <c r="A502" s="2" t="s">
        <v>1121</v>
      </c>
      <c r="B502" s="2" t="s">
        <v>372</v>
      </c>
      <c r="C502" s="6">
        <v>46093.69563657408</v>
      </c>
      <c r="D502" s="2">
        <v>-5.0</v>
      </c>
      <c r="H502" s="2" t="s">
        <v>599</v>
      </c>
    </row>
    <row r="503" ht="15.75" customHeight="1">
      <c r="A503" s="2" t="s">
        <v>1122</v>
      </c>
      <c r="B503" s="2" t="s">
        <v>369</v>
      </c>
      <c r="C503" s="6">
        <v>46093.695763888885</v>
      </c>
      <c r="D503" s="2">
        <v>-3.0</v>
      </c>
      <c r="H503" s="2" t="s">
        <v>599</v>
      </c>
    </row>
    <row r="504" ht="15.75" customHeight="1">
      <c r="A504" s="2" t="s">
        <v>1123</v>
      </c>
      <c r="B504" s="5" t="s">
        <v>14</v>
      </c>
      <c r="C504" s="6">
        <v>46093.695868055554</v>
      </c>
      <c r="D504" s="2">
        <v>-10.0</v>
      </c>
      <c r="H504" s="2" t="s">
        <v>599</v>
      </c>
    </row>
    <row r="505" ht="15.75" customHeight="1">
      <c r="A505" s="2" t="s">
        <v>1124</v>
      </c>
      <c r="B505" s="5" t="s">
        <v>142</v>
      </c>
      <c r="C505" s="6">
        <v>46093.696018518516</v>
      </c>
      <c r="D505" s="2">
        <v>-7.0</v>
      </c>
      <c r="H505" s="2" t="s">
        <v>599</v>
      </c>
    </row>
    <row r="506" ht="15.75" customHeight="1">
      <c r="A506" s="2" t="s">
        <v>1125</v>
      </c>
      <c r="B506" s="2" t="s">
        <v>387</v>
      </c>
      <c r="C506" s="6">
        <v>46093.69619212963</v>
      </c>
      <c r="D506" s="2">
        <v>-7.0</v>
      </c>
      <c r="H506" s="2" t="s">
        <v>599</v>
      </c>
    </row>
    <row r="507" ht="15.75" customHeight="1">
      <c r="A507" s="2" t="s">
        <v>1126</v>
      </c>
      <c r="B507" s="5" t="s">
        <v>214</v>
      </c>
      <c r="C507" s="6">
        <v>46093.69642361111</v>
      </c>
      <c r="D507" s="2">
        <v>-24.0</v>
      </c>
      <c r="H507" s="2" t="s">
        <v>599</v>
      </c>
    </row>
    <row r="508" ht="15.75" customHeight="1">
      <c r="A508" s="2" t="s">
        <v>1127</v>
      </c>
      <c r="B508" s="2" t="s">
        <v>342</v>
      </c>
      <c r="C508" s="6">
        <v>46093.699583333335</v>
      </c>
      <c r="D508" s="2">
        <v>-3.0</v>
      </c>
      <c r="H508" s="2" t="s">
        <v>599</v>
      </c>
    </row>
    <row r="509" ht="15.75" customHeight="1">
      <c r="A509" s="2" t="s">
        <v>1128</v>
      </c>
      <c r="B509" s="5" t="s">
        <v>96</v>
      </c>
      <c r="C509" s="6">
        <v>46093.69994212963</v>
      </c>
      <c r="D509" s="2">
        <v>-2.0</v>
      </c>
      <c r="H509" s="2" t="s">
        <v>599</v>
      </c>
    </row>
    <row r="510" ht="15.75" customHeight="1">
      <c r="A510" s="2" t="s">
        <v>1129</v>
      </c>
      <c r="B510" s="5" t="s">
        <v>14</v>
      </c>
      <c r="C510" s="6">
        <v>46093.741481481484</v>
      </c>
      <c r="D510" s="2">
        <v>3.0</v>
      </c>
      <c r="H510" s="2" t="s">
        <v>599</v>
      </c>
    </row>
    <row r="511" ht="15.75" customHeight="1">
      <c r="A511" s="2" t="s">
        <v>1130</v>
      </c>
      <c r="B511" s="5" t="s">
        <v>165</v>
      </c>
      <c r="C511" s="6">
        <v>46093.741736111115</v>
      </c>
      <c r="D511" s="2">
        <v>6.0</v>
      </c>
      <c r="H511" s="2" t="s">
        <v>599</v>
      </c>
    </row>
    <row r="512" ht="15.75" customHeight="1">
      <c r="A512" s="2" t="s">
        <v>1131</v>
      </c>
      <c r="B512" s="2" t="s">
        <v>372</v>
      </c>
      <c r="C512" s="6">
        <v>46093.741875</v>
      </c>
      <c r="D512" s="2">
        <v>4.0</v>
      </c>
      <c r="H512" s="2" t="s">
        <v>599</v>
      </c>
    </row>
    <row r="513" ht="15.75" customHeight="1">
      <c r="A513" s="2" t="s">
        <v>1132</v>
      </c>
      <c r="B513" s="2" t="s">
        <v>289</v>
      </c>
      <c r="C513" s="6">
        <v>46094.62862268519</v>
      </c>
      <c r="D513" s="2">
        <v>18.0</v>
      </c>
      <c r="H513" s="2" t="s">
        <v>599</v>
      </c>
    </row>
    <row r="514" ht="15.75" customHeight="1">
      <c r="A514" s="2" t="s">
        <v>1133</v>
      </c>
      <c r="B514" s="2" t="s">
        <v>289</v>
      </c>
      <c r="C514" s="6">
        <v>46094.62871527778</v>
      </c>
      <c r="D514" s="2">
        <v>-18.0</v>
      </c>
      <c r="H514" s="2" t="s">
        <v>599</v>
      </c>
    </row>
    <row r="515" ht="15.75" customHeight="1">
      <c r="A515" s="2" t="s">
        <v>1134</v>
      </c>
      <c r="B515" s="2" t="s">
        <v>289</v>
      </c>
      <c r="C515" s="6">
        <v>46094.62877314815</v>
      </c>
      <c r="D515" s="2">
        <v>-18.0</v>
      </c>
      <c r="H515" s="2" t="s">
        <v>599</v>
      </c>
    </row>
    <row r="516" ht="15.75" customHeight="1">
      <c r="A516" s="2" t="s">
        <v>1135</v>
      </c>
      <c r="B516" s="5" t="s">
        <v>217</v>
      </c>
      <c r="C516" s="6">
        <v>46094.628842592596</v>
      </c>
      <c r="D516" s="2">
        <v>-30.0</v>
      </c>
      <c r="H516" s="2" t="s">
        <v>599</v>
      </c>
    </row>
    <row r="517" ht="15.75" customHeight="1">
      <c r="A517" s="2" t="s">
        <v>1136</v>
      </c>
      <c r="B517" s="2" t="s">
        <v>280</v>
      </c>
      <c r="C517" s="6">
        <v>46094.62893518519</v>
      </c>
      <c r="D517" s="2">
        <v>-15.0</v>
      </c>
      <c r="H517" s="2" t="s">
        <v>599</v>
      </c>
    </row>
    <row r="518" ht="15.75" customHeight="1">
      <c r="A518" s="2" t="s">
        <v>1137</v>
      </c>
      <c r="B518" s="5" t="s">
        <v>142</v>
      </c>
      <c r="C518" s="6">
        <v>46094.62903935185</v>
      </c>
      <c r="D518" s="2">
        <v>-6.0</v>
      </c>
      <c r="H518" s="2" t="s">
        <v>599</v>
      </c>
    </row>
    <row r="519" ht="15.75" customHeight="1">
      <c r="A519" s="2" t="s">
        <v>1138</v>
      </c>
      <c r="B519" s="2" t="s">
        <v>301</v>
      </c>
      <c r="C519" s="6">
        <v>46094.629155092596</v>
      </c>
      <c r="D519" s="2">
        <v>-3.0</v>
      </c>
      <c r="H519" s="2" t="s">
        <v>599</v>
      </c>
    </row>
    <row r="520" ht="15.75" customHeight="1">
      <c r="A520" s="2" t="s">
        <v>1139</v>
      </c>
      <c r="B520" s="5" t="s">
        <v>82</v>
      </c>
      <c r="C520" s="6">
        <v>46094.62931712963</v>
      </c>
      <c r="D520" s="2">
        <v>-1.0</v>
      </c>
      <c r="H520" s="2" t="s">
        <v>599</v>
      </c>
    </row>
    <row r="521" ht="15.75" customHeight="1">
      <c r="A521" s="2" t="s">
        <v>1140</v>
      </c>
      <c r="B521" s="2" t="s">
        <v>295</v>
      </c>
      <c r="C521" s="6">
        <v>46094.6294212963</v>
      </c>
      <c r="D521" s="2">
        <v>-6.0</v>
      </c>
      <c r="H521" s="2" t="s">
        <v>599</v>
      </c>
    </row>
    <row r="522" ht="15.75" customHeight="1">
      <c r="A522" s="2" t="s">
        <v>1141</v>
      </c>
      <c r="B522" s="5" t="s">
        <v>59</v>
      </c>
      <c r="C522" s="6">
        <v>46094.62954861111</v>
      </c>
      <c r="D522" s="2">
        <v>-4.0</v>
      </c>
      <c r="H522" s="2" t="s">
        <v>599</v>
      </c>
    </row>
    <row r="523" ht="15.75" customHeight="1">
      <c r="A523" s="2" t="s">
        <v>1142</v>
      </c>
      <c r="B523" s="5" t="s">
        <v>134</v>
      </c>
      <c r="C523" s="6">
        <v>46094.62961805556</v>
      </c>
      <c r="D523" s="2">
        <v>-6.0</v>
      </c>
      <c r="H523" s="2" t="s">
        <v>599</v>
      </c>
    </row>
    <row r="524" ht="15.75" customHeight="1">
      <c r="A524" s="2" t="s">
        <v>1143</v>
      </c>
      <c r="B524" s="5" t="s">
        <v>134</v>
      </c>
      <c r="C524" s="6">
        <v>46094.62982638889</v>
      </c>
      <c r="D524" s="2">
        <v>6.0</v>
      </c>
      <c r="H524" s="2" t="s">
        <v>599</v>
      </c>
    </row>
    <row r="525" ht="15.75" customHeight="1">
      <c r="A525" s="2" t="s">
        <v>1144</v>
      </c>
      <c r="B525" s="5" t="s">
        <v>192</v>
      </c>
      <c r="C525" s="6">
        <v>46094.62997685185</v>
      </c>
      <c r="D525" s="2">
        <v>-10.0</v>
      </c>
      <c r="H525" s="2" t="s">
        <v>599</v>
      </c>
    </row>
    <row r="526" ht="15.75" customHeight="1">
      <c r="A526" s="2" t="s">
        <v>1145</v>
      </c>
      <c r="B526" s="5" t="s">
        <v>214</v>
      </c>
      <c r="C526" s="6">
        <v>46094.63010416667</v>
      </c>
      <c r="D526" s="2">
        <v>-24.0</v>
      </c>
      <c r="H526" s="2" t="s">
        <v>599</v>
      </c>
    </row>
    <row r="527" ht="15.75" customHeight="1">
      <c r="A527" s="2" t="s">
        <v>1146</v>
      </c>
      <c r="B527" s="5" t="s">
        <v>214</v>
      </c>
      <c r="C527" s="6">
        <v>46094.63071759259</v>
      </c>
      <c r="D527" s="2">
        <v>-2124.0</v>
      </c>
      <c r="H527" s="2" t="s">
        <v>599</v>
      </c>
    </row>
    <row r="528" ht="15.75" customHeight="1">
      <c r="A528" s="2" t="s">
        <v>1147</v>
      </c>
      <c r="B528" s="5" t="s">
        <v>214</v>
      </c>
      <c r="C528" s="6">
        <v>46094.63087962963</v>
      </c>
      <c r="D528" s="2">
        <v>228.0</v>
      </c>
      <c r="H528" s="2" t="s">
        <v>599</v>
      </c>
    </row>
    <row r="529" ht="15.75" customHeight="1">
      <c r="A529" s="2" t="s">
        <v>1148</v>
      </c>
      <c r="B529" s="2" t="s">
        <v>333</v>
      </c>
      <c r="C529" s="6">
        <v>46094.63579861111</v>
      </c>
      <c r="D529" s="2">
        <v>-12.0</v>
      </c>
      <c r="H529" s="2" t="s">
        <v>599</v>
      </c>
    </row>
    <row r="530" ht="15.75" customHeight="1">
      <c r="A530" s="5" t="s">
        <v>1149</v>
      </c>
      <c r="B530" s="2" t="s">
        <v>289</v>
      </c>
      <c r="C530" s="6">
        <v>46094.63584490741</v>
      </c>
      <c r="D530" s="2">
        <v>-8.0</v>
      </c>
      <c r="H530" s="2" t="s">
        <v>599</v>
      </c>
    </row>
    <row r="531" ht="15.75" customHeight="1">
      <c r="A531" s="2" t="s">
        <v>1150</v>
      </c>
      <c r="B531" s="2" t="s">
        <v>327</v>
      </c>
      <c r="C531" s="6">
        <v>46094.63590277778</v>
      </c>
      <c r="D531" s="2">
        <v>-2.0</v>
      </c>
      <c r="H531" s="2" t="s">
        <v>599</v>
      </c>
    </row>
    <row r="532" ht="15.75" customHeight="1">
      <c r="A532" s="2" t="s">
        <v>1151</v>
      </c>
      <c r="B532" s="5" t="s">
        <v>217</v>
      </c>
      <c r="C532" s="6">
        <v>46094.63597222222</v>
      </c>
      <c r="D532" s="2">
        <v>-7.0</v>
      </c>
      <c r="H532" s="2" t="s">
        <v>599</v>
      </c>
    </row>
    <row r="533" ht="15.75" customHeight="1">
      <c r="A533" s="2" t="s">
        <v>1152</v>
      </c>
      <c r="B533" s="2" t="s">
        <v>280</v>
      </c>
      <c r="C533" s="6">
        <v>46094.63601851852</v>
      </c>
      <c r="D533" s="2">
        <v>-7.0</v>
      </c>
      <c r="H533" s="2" t="s">
        <v>599</v>
      </c>
    </row>
    <row r="534" ht="15.75" customHeight="1">
      <c r="A534" s="2" t="s">
        <v>1153</v>
      </c>
      <c r="B534" s="2" t="s">
        <v>271</v>
      </c>
      <c r="C534" s="6">
        <v>46094.636099537034</v>
      </c>
      <c r="D534" s="2">
        <v>-2.0</v>
      </c>
      <c r="H534" s="2" t="s">
        <v>599</v>
      </c>
    </row>
    <row r="535" ht="15.75" customHeight="1">
      <c r="A535" s="2" t="s">
        <v>1154</v>
      </c>
      <c r="B535" s="2" t="s">
        <v>286</v>
      </c>
      <c r="C535" s="6">
        <v>46094.63616898148</v>
      </c>
      <c r="D535" s="2">
        <v>-7.0</v>
      </c>
      <c r="H535" s="2" t="s">
        <v>599</v>
      </c>
    </row>
    <row r="536" ht="15.75" customHeight="1">
      <c r="A536" s="2" t="s">
        <v>1155</v>
      </c>
      <c r="B536" s="5" t="s">
        <v>14</v>
      </c>
      <c r="C536" s="6">
        <v>46094.63655092593</v>
      </c>
      <c r="D536" s="2">
        <v>-10.0</v>
      </c>
      <c r="H536" s="2" t="s">
        <v>599</v>
      </c>
    </row>
    <row r="537" ht="15.75" customHeight="1">
      <c r="A537" s="2" t="s">
        <v>1156</v>
      </c>
      <c r="B537" s="2" t="s">
        <v>295</v>
      </c>
      <c r="C537" s="6">
        <v>46094.636712962965</v>
      </c>
      <c r="D537" s="2">
        <v>-6.0</v>
      </c>
      <c r="H537" s="2" t="s">
        <v>599</v>
      </c>
    </row>
    <row r="538" ht="15.75" customHeight="1">
      <c r="A538" s="2" t="s">
        <v>1157</v>
      </c>
      <c r="B538" s="2" t="s">
        <v>369</v>
      </c>
      <c r="C538" s="6">
        <v>46094.637025462966</v>
      </c>
      <c r="D538" s="2">
        <v>-4.0</v>
      </c>
      <c r="H538" s="2" t="s">
        <v>599</v>
      </c>
    </row>
    <row r="539" ht="15.75" customHeight="1">
      <c r="A539" s="2" t="s">
        <v>1158</v>
      </c>
      <c r="B539" s="5" t="s">
        <v>134</v>
      </c>
      <c r="C539" s="6">
        <v>46094.6375462963</v>
      </c>
      <c r="D539" s="2">
        <v>-9.0</v>
      </c>
      <c r="H539" s="2" t="s">
        <v>599</v>
      </c>
    </row>
    <row r="540" ht="15.75" customHeight="1">
      <c r="A540" s="2" t="s">
        <v>1159</v>
      </c>
      <c r="B540" s="5" t="s">
        <v>142</v>
      </c>
      <c r="C540" s="6">
        <v>46094.64013888889</v>
      </c>
      <c r="D540" s="2">
        <v>-11.0</v>
      </c>
      <c r="H540" s="2" t="s">
        <v>599</v>
      </c>
    </row>
    <row r="541" ht="15.75" customHeight="1">
      <c r="A541" s="2" t="s">
        <v>1160</v>
      </c>
      <c r="B541" s="2" t="s">
        <v>301</v>
      </c>
      <c r="C541" s="6">
        <v>46094.64027777778</v>
      </c>
      <c r="D541" s="2">
        <v>-3.0</v>
      </c>
      <c r="H541" s="2" t="s">
        <v>599</v>
      </c>
    </row>
    <row r="542" ht="15.75" customHeight="1">
      <c r="A542" s="2" t="s">
        <v>1161</v>
      </c>
      <c r="B542" s="2" t="s">
        <v>387</v>
      </c>
      <c r="C542" s="6">
        <v>46094.640439814815</v>
      </c>
      <c r="D542" s="2">
        <v>-2.0</v>
      </c>
      <c r="H542" s="2" t="s">
        <v>599</v>
      </c>
    </row>
    <row r="543" ht="15.75" customHeight="1">
      <c r="A543" s="2" t="s">
        <v>1162</v>
      </c>
      <c r="B543" s="5" t="s">
        <v>192</v>
      </c>
      <c r="C543" s="6">
        <v>46094.640555555554</v>
      </c>
      <c r="D543" s="2">
        <v>-4.0</v>
      </c>
      <c r="H543" s="2" t="s">
        <v>599</v>
      </c>
    </row>
    <row r="544" ht="15.75" customHeight="1">
      <c r="A544" s="2" t="s">
        <v>1163</v>
      </c>
      <c r="B544" s="5" t="s">
        <v>214</v>
      </c>
      <c r="C544" s="6">
        <v>46094.64077546296</v>
      </c>
      <c r="D544" s="2">
        <v>-36.0</v>
      </c>
      <c r="H544" s="2" t="s">
        <v>599</v>
      </c>
    </row>
    <row r="545" ht="15.75" customHeight="1">
      <c r="A545" s="2" t="s">
        <v>1164</v>
      </c>
      <c r="B545" s="5" t="s">
        <v>217</v>
      </c>
      <c r="C545" s="6">
        <v>46094.733831018515</v>
      </c>
      <c r="D545" s="2">
        <v>5.0</v>
      </c>
      <c r="H545" s="2" t="s">
        <v>599</v>
      </c>
    </row>
    <row r="546" ht="15.75" customHeight="1">
      <c r="A546" s="2" t="s">
        <v>1165</v>
      </c>
      <c r="B546" s="2" t="s">
        <v>289</v>
      </c>
      <c r="C546" s="6">
        <v>46095.593506944446</v>
      </c>
      <c r="D546" s="2">
        <v>-11.0</v>
      </c>
      <c r="H546" s="2" t="s">
        <v>599</v>
      </c>
    </row>
    <row r="547" ht="15.75" customHeight="1">
      <c r="A547" s="2" t="s">
        <v>1166</v>
      </c>
      <c r="B547" s="2" t="s">
        <v>327</v>
      </c>
      <c r="C547" s="6">
        <v>46095.593680555554</v>
      </c>
      <c r="D547" s="2">
        <v>-2.0</v>
      </c>
      <c r="H547" s="2" t="s">
        <v>599</v>
      </c>
    </row>
    <row r="548" ht="15.75" customHeight="1">
      <c r="A548" s="2" t="s">
        <v>1167</v>
      </c>
      <c r="B548" s="5" t="s">
        <v>217</v>
      </c>
      <c r="C548" s="6">
        <v>46095.59378472222</v>
      </c>
      <c r="D548" s="2">
        <v>-15.0</v>
      </c>
      <c r="H548" s="2" t="s">
        <v>599</v>
      </c>
    </row>
    <row r="549" ht="15.75" customHeight="1">
      <c r="A549" s="2" t="s">
        <v>1168</v>
      </c>
      <c r="B549" s="2" t="s">
        <v>280</v>
      </c>
      <c r="C549" s="6">
        <v>46095.59388888889</v>
      </c>
      <c r="D549" s="2">
        <v>-15.0</v>
      </c>
      <c r="H549" s="2" t="s">
        <v>599</v>
      </c>
    </row>
    <row r="550" ht="15.75" customHeight="1">
      <c r="A550" s="2" t="s">
        <v>1169</v>
      </c>
      <c r="B550" s="5" t="s">
        <v>96</v>
      </c>
      <c r="C550" s="6">
        <v>46095.594039351854</v>
      </c>
      <c r="D550" s="2">
        <v>-8.0</v>
      </c>
      <c r="H550" s="2" t="s">
        <v>599</v>
      </c>
    </row>
    <row r="551" ht="15.75" customHeight="1">
      <c r="A551" s="2" t="s">
        <v>1170</v>
      </c>
      <c r="B551" s="2" t="s">
        <v>360</v>
      </c>
      <c r="C551" s="6">
        <v>46095.59413194445</v>
      </c>
      <c r="D551" s="2">
        <v>-8.0</v>
      </c>
      <c r="H551" s="2" t="s">
        <v>599</v>
      </c>
    </row>
    <row r="552" ht="15.75" customHeight="1">
      <c r="A552" s="2" t="s">
        <v>1171</v>
      </c>
      <c r="B552" s="5" t="s">
        <v>192</v>
      </c>
      <c r="C552" s="6">
        <v>46095.594293981485</v>
      </c>
      <c r="D552" s="2">
        <v>-10.0</v>
      </c>
      <c r="H552" s="2" t="s">
        <v>599</v>
      </c>
    </row>
    <row r="553" ht="15.75" customHeight="1">
      <c r="A553" s="2" t="s">
        <v>1172</v>
      </c>
      <c r="B553" s="5" t="s">
        <v>14</v>
      </c>
      <c r="C553" s="6">
        <v>46095.59508101852</v>
      </c>
      <c r="D553" s="2">
        <v>-3.0</v>
      </c>
      <c r="H553" s="2" t="s">
        <v>599</v>
      </c>
    </row>
    <row r="554" ht="15.75" customHeight="1">
      <c r="A554" s="2" t="s">
        <v>1173</v>
      </c>
      <c r="B554" s="5" t="s">
        <v>59</v>
      </c>
      <c r="C554" s="6">
        <v>46095.59576388889</v>
      </c>
      <c r="D554" s="2">
        <v>-10.0</v>
      </c>
      <c r="H554" s="2" t="s">
        <v>599</v>
      </c>
    </row>
    <row r="555" ht="15.75" customHeight="1">
      <c r="A555" s="2" t="s">
        <v>1174</v>
      </c>
      <c r="B555" s="5" t="s">
        <v>142</v>
      </c>
      <c r="C555" s="6">
        <v>46095.5962037037</v>
      </c>
      <c r="D555" s="2">
        <v>-2.0</v>
      </c>
      <c r="H555" s="2" t="s">
        <v>599</v>
      </c>
    </row>
    <row r="556" ht="15.75" customHeight="1">
      <c r="A556" s="2" t="s">
        <v>1175</v>
      </c>
      <c r="B556" s="5" t="s">
        <v>214</v>
      </c>
      <c r="C556" s="6">
        <v>46095.59641203703</v>
      </c>
      <c r="D556" s="2">
        <v>-48.0</v>
      </c>
      <c r="H556" s="2" t="s">
        <v>599</v>
      </c>
    </row>
    <row r="557" ht="15.75" customHeight="1">
      <c r="A557" s="2" t="s">
        <v>1176</v>
      </c>
      <c r="B557" s="2" t="s">
        <v>333</v>
      </c>
      <c r="C557" s="6">
        <v>46095.602013888885</v>
      </c>
      <c r="D557" s="2">
        <v>-4.0</v>
      </c>
      <c r="H557" s="2" t="s">
        <v>599</v>
      </c>
    </row>
    <row r="558" ht="15.75" customHeight="1">
      <c r="A558" s="2" t="s">
        <v>1177</v>
      </c>
      <c r="B558" s="2" t="s">
        <v>289</v>
      </c>
      <c r="C558" s="6">
        <v>46095.60207175926</v>
      </c>
      <c r="D558" s="2">
        <v>-6.0</v>
      </c>
      <c r="H558" s="2" t="s">
        <v>599</v>
      </c>
    </row>
    <row r="559" ht="15.75" customHeight="1">
      <c r="A559" s="2" t="s">
        <v>1178</v>
      </c>
      <c r="B559" s="2" t="s">
        <v>327</v>
      </c>
      <c r="C559" s="6">
        <v>46095.602175925924</v>
      </c>
      <c r="D559" s="2">
        <v>-5.0</v>
      </c>
      <c r="H559" s="2" t="s">
        <v>599</v>
      </c>
    </row>
    <row r="560" ht="15.75" customHeight="1">
      <c r="A560" s="2" t="s">
        <v>1179</v>
      </c>
      <c r="B560" s="5" t="s">
        <v>217</v>
      </c>
      <c r="C560" s="6">
        <v>46095.60251157408</v>
      </c>
      <c r="D560" s="2">
        <v>-11.0</v>
      </c>
      <c r="H560" s="2" t="s">
        <v>599</v>
      </c>
    </row>
    <row r="561" ht="15.75" customHeight="1">
      <c r="A561" s="2" t="s">
        <v>1180</v>
      </c>
      <c r="B561" s="2" t="s">
        <v>280</v>
      </c>
      <c r="C561" s="6">
        <v>46095.602685185186</v>
      </c>
      <c r="D561" s="2">
        <v>-10.0</v>
      </c>
      <c r="H561" s="2" t="s">
        <v>599</v>
      </c>
    </row>
    <row r="562" ht="15.75" customHeight="1">
      <c r="A562" s="2" t="s">
        <v>1181</v>
      </c>
      <c r="B562" s="2" t="s">
        <v>286</v>
      </c>
      <c r="C562" s="6">
        <v>46095.60393518519</v>
      </c>
      <c r="D562" s="2">
        <v>-2.0</v>
      </c>
      <c r="H562" s="2" t="s">
        <v>599</v>
      </c>
    </row>
    <row r="563" ht="15.75" customHeight="1">
      <c r="A563" s="2" t="s">
        <v>1182</v>
      </c>
      <c r="B563" s="2" t="s">
        <v>271</v>
      </c>
      <c r="C563" s="6">
        <v>46095.6040162037</v>
      </c>
      <c r="D563" s="2">
        <v>-7.0</v>
      </c>
      <c r="H563" s="2" t="s">
        <v>599</v>
      </c>
    </row>
    <row r="564" ht="15.75" customHeight="1">
      <c r="A564" s="2" t="s">
        <v>1183</v>
      </c>
      <c r="B564" s="5" t="s">
        <v>165</v>
      </c>
      <c r="C564" s="6">
        <v>46095.604479166665</v>
      </c>
      <c r="D564" s="2">
        <v>-11.0</v>
      </c>
      <c r="H564" s="2" t="s">
        <v>599</v>
      </c>
    </row>
    <row r="565" ht="15.75" customHeight="1">
      <c r="A565" s="2" t="s">
        <v>1184</v>
      </c>
      <c r="B565" s="2" t="s">
        <v>372</v>
      </c>
      <c r="C565" s="6">
        <v>46095.60461805556</v>
      </c>
      <c r="D565" s="2">
        <v>-23.0</v>
      </c>
      <c r="H565" s="2" t="s">
        <v>599</v>
      </c>
    </row>
    <row r="566" ht="15.75" customHeight="1">
      <c r="A566" s="2" t="s">
        <v>1185</v>
      </c>
      <c r="B566" s="2" t="s">
        <v>295</v>
      </c>
      <c r="C566" s="6">
        <v>46095.604791666665</v>
      </c>
      <c r="D566" s="2">
        <v>-6.0</v>
      </c>
      <c r="H566" s="2" t="s">
        <v>599</v>
      </c>
    </row>
    <row r="567" ht="15.75" customHeight="1">
      <c r="A567" s="2" t="s">
        <v>1186</v>
      </c>
      <c r="B567" s="2" t="s">
        <v>369</v>
      </c>
      <c r="C567" s="6">
        <v>46095.605891203704</v>
      </c>
      <c r="D567" s="2">
        <v>-14.0</v>
      </c>
      <c r="H567" s="2" t="s">
        <v>599</v>
      </c>
    </row>
    <row r="568" ht="15.75" customHeight="1">
      <c r="A568" s="2" t="s">
        <v>1187</v>
      </c>
      <c r="B568" s="5" t="s">
        <v>96</v>
      </c>
      <c r="C568" s="6">
        <v>46095.606770833336</v>
      </c>
      <c r="D568" s="2">
        <v>-10.0</v>
      </c>
      <c r="H568" s="2" t="s">
        <v>599</v>
      </c>
    </row>
    <row r="569" ht="15.75" customHeight="1">
      <c r="A569" s="2" t="s">
        <v>1188</v>
      </c>
      <c r="B569" s="5" t="s">
        <v>59</v>
      </c>
      <c r="C569" s="6">
        <v>46095.60741898148</v>
      </c>
      <c r="D569" s="2">
        <v>-4.0</v>
      </c>
      <c r="H569" s="2" t="s">
        <v>599</v>
      </c>
    </row>
    <row r="570" ht="15.75" customHeight="1">
      <c r="A570" s="2" t="s">
        <v>1189</v>
      </c>
      <c r="B570" s="5" t="s">
        <v>142</v>
      </c>
      <c r="C570" s="6">
        <v>46095.610347222224</v>
      </c>
      <c r="D570" s="2">
        <v>-6.0</v>
      </c>
      <c r="H570" s="2" t="s">
        <v>599</v>
      </c>
    </row>
    <row r="571" ht="15.75" customHeight="1">
      <c r="A571" s="2" t="s">
        <v>1190</v>
      </c>
      <c r="B571" s="2" t="s">
        <v>387</v>
      </c>
      <c r="C571" s="6">
        <v>46095.61059027778</v>
      </c>
      <c r="D571" s="2">
        <v>-3.0</v>
      </c>
      <c r="H571" s="2" t="s">
        <v>599</v>
      </c>
    </row>
    <row r="572" ht="15.75" customHeight="1">
      <c r="A572" s="2" t="s">
        <v>1191</v>
      </c>
      <c r="B572" s="2" t="s">
        <v>301</v>
      </c>
      <c r="C572" s="6">
        <v>46095.61072916666</v>
      </c>
      <c r="D572" s="2">
        <v>-1.0</v>
      </c>
      <c r="H572" s="2" t="s">
        <v>599</v>
      </c>
    </row>
    <row r="573" ht="15.75" customHeight="1">
      <c r="A573" s="2" t="s">
        <v>1192</v>
      </c>
      <c r="B573" s="5" t="s">
        <v>206</v>
      </c>
      <c r="C573" s="6">
        <v>46095.61082175926</v>
      </c>
      <c r="D573" s="2">
        <v>-3.0</v>
      </c>
      <c r="H573" s="2" t="s">
        <v>599</v>
      </c>
    </row>
    <row r="574" ht="15.75" customHeight="1">
      <c r="A574" s="2" t="s">
        <v>1193</v>
      </c>
      <c r="B574" s="2" t="s">
        <v>313</v>
      </c>
      <c r="C574" s="6">
        <v>46095.610925925925</v>
      </c>
      <c r="D574" s="2">
        <v>-1.0</v>
      </c>
      <c r="H574" s="2" t="s">
        <v>599</v>
      </c>
    </row>
    <row r="575" ht="15.75" customHeight="1">
      <c r="A575" s="2" t="s">
        <v>1194</v>
      </c>
      <c r="B575" s="5" t="s">
        <v>192</v>
      </c>
      <c r="C575" s="6">
        <v>46095.61100694445</v>
      </c>
      <c r="D575" s="2">
        <v>-8.0</v>
      </c>
      <c r="H575" s="2" t="s">
        <v>599</v>
      </c>
    </row>
    <row r="576" ht="15.75" customHeight="1">
      <c r="A576" s="2" t="s">
        <v>1195</v>
      </c>
      <c r="B576" s="5" t="s">
        <v>214</v>
      </c>
      <c r="C576" s="6">
        <v>46095.6112037037</v>
      </c>
      <c r="D576" s="2">
        <v>-60.0</v>
      </c>
      <c r="H576" s="2" t="s">
        <v>599</v>
      </c>
    </row>
    <row r="577" ht="15.75" customHeight="1">
      <c r="A577" s="2" t="s">
        <v>1196</v>
      </c>
      <c r="B577" s="5" t="s">
        <v>217</v>
      </c>
      <c r="C577" s="6">
        <v>46096.76115740741</v>
      </c>
      <c r="D577" s="2">
        <v>-2.0</v>
      </c>
      <c r="H577" s="2" t="s">
        <v>599</v>
      </c>
    </row>
    <row r="578" ht="15.75" customHeight="1">
      <c r="A578" s="2" t="s">
        <v>1197</v>
      </c>
      <c r="B578" s="2" t="s">
        <v>271</v>
      </c>
      <c r="C578" s="6">
        <v>46096.761296296296</v>
      </c>
      <c r="D578" s="2">
        <v>-5.0</v>
      </c>
      <c r="H578" s="2" t="s">
        <v>599</v>
      </c>
    </row>
    <row r="579" ht="15.75" customHeight="1">
      <c r="A579" s="2" t="s">
        <v>1198</v>
      </c>
      <c r="B579" s="2" t="s">
        <v>286</v>
      </c>
      <c r="C579" s="6">
        <v>46096.761469907404</v>
      </c>
      <c r="D579" s="2">
        <v>-1.0</v>
      </c>
      <c r="H579" s="2" t="s">
        <v>599</v>
      </c>
    </row>
    <row r="580" ht="15.75" customHeight="1">
      <c r="A580" s="2" t="s">
        <v>1199</v>
      </c>
      <c r="B580" s="2" t="s">
        <v>280</v>
      </c>
      <c r="C580" s="6">
        <v>46096.76153935185</v>
      </c>
      <c r="D580" s="2">
        <v>-1.0</v>
      </c>
      <c r="H580" s="2" t="s">
        <v>599</v>
      </c>
    </row>
    <row r="581" ht="15.75" customHeight="1">
      <c r="A581" s="2" t="s">
        <v>1200</v>
      </c>
      <c r="B581" s="2" t="s">
        <v>289</v>
      </c>
      <c r="C581" s="6">
        <v>46096.76164351852</v>
      </c>
      <c r="D581" s="2">
        <v>-13.0</v>
      </c>
      <c r="H581" s="2" t="s">
        <v>599</v>
      </c>
    </row>
    <row r="582" ht="15.75" customHeight="1">
      <c r="A582" s="2" t="s">
        <v>1201</v>
      </c>
      <c r="B582" s="5" t="s">
        <v>171</v>
      </c>
      <c r="C582" s="6">
        <v>46096.762141203704</v>
      </c>
      <c r="D582" s="2">
        <v>96.0</v>
      </c>
      <c r="E582" s="2" t="s">
        <v>1202</v>
      </c>
      <c r="H582" s="2" t="s">
        <v>571</v>
      </c>
    </row>
    <row r="583" ht="15.75" customHeight="1">
      <c r="A583" s="2" t="s">
        <v>1203</v>
      </c>
      <c r="B583" s="5" t="s">
        <v>142</v>
      </c>
      <c r="C583" s="6">
        <v>46096.76219907407</v>
      </c>
      <c r="D583" s="2">
        <v>72.0</v>
      </c>
      <c r="E583" s="2" t="s">
        <v>1202</v>
      </c>
      <c r="H583" s="2" t="s">
        <v>571</v>
      </c>
    </row>
    <row r="584" ht="15.75" customHeight="1">
      <c r="A584" s="2" t="s">
        <v>1204</v>
      </c>
      <c r="B584" s="2" t="s">
        <v>301</v>
      </c>
      <c r="C584" s="6">
        <v>46096.76226851852</v>
      </c>
      <c r="D584" s="2">
        <v>24.0</v>
      </c>
      <c r="E584" s="2" t="s">
        <v>1202</v>
      </c>
      <c r="H584" s="2" t="s">
        <v>571</v>
      </c>
    </row>
    <row r="585" ht="15.75" customHeight="1">
      <c r="A585" s="2" t="s">
        <v>1205</v>
      </c>
      <c r="B585" s="5" t="s">
        <v>82</v>
      </c>
      <c r="C585" s="6">
        <v>46096.76232638889</v>
      </c>
      <c r="D585" s="2">
        <v>24.0</v>
      </c>
      <c r="E585" s="2" t="s">
        <v>1202</v>
      </c>
      <c r="H585" s="2" t="s">
        <v>571</v>
      </c>
    </row>
    <row r="586" ht="15.75" customHeight="1">
      <c r="A586" s="2" t="s">
        <v>1206</v>
      </c>
      <c r="B586" s="2" t="s">
        <v>286</v>
      </c>
      <c r="C586" s="6">
        <v>46096.76237268518</v>
      </c>
      <c r="D586" s="2">
        <v>60.0</v>
      </c>
      <c r="E586" s="2" t="s">
        <v>1202</v>
      </c>
      <c r="H586" s="2" t="s">
        <v>571</v>
      </c>
    </row>
    <row r="587" ht="15.75" customHeight="1">
      <c r="A587" s="5" t="s">
        <v>1207</v>
      </c>
      <c r="B587" s="2" t="s">
        <v>271</v>
      </c>
      <c r="C587" s="6">
        <v>46096.7625</v>
      </c>
      <c r="D587" s="2">
        <v>90.0</v>
      </c>
      <c r="E587" s="2" t="s">
        <v>1202</v>
      </c>
      <c r="H587" s="2" t="s">
        <v>571</v>
      </c>
    </row>
    <row r="588" ht="15.75" customHeight="1">
      <c r="A588" s="2" t="s">
        <v>1208</v>
      </c>
      <c r="B588" s="5" t="s">
        <v>217</v>
      </c>
      <c r="C588" s="6">
        <v>46096.7625462963</v>
      </c>
      <c r="D588" s="2">
        <v>75.0</v>
      </c>
      <c r="E588" s="2" t="s">
        <v>1202</v>
      </c>
      <c r="H588" s="2" t="s">
        <v>571</v>
      </c>
    </row>
    <row r="589" ht="15.75" customHeight="1">
      <c r="A589" s="2" t="s">
        <v>1209</v>
      </c>
      <c r="B589" s="2" t="s">
        <v>384</v>
      </c>
      <c r="C589" s="6">
        <v>46096.76329861111</v>
      </c>
      <c r="D589" s="2">
        <v>-12.0</v>
      </c>
      <c r="H589" s="2" t="s">
        <v>599</v>
      </c>
    </row>
    <row r="590" ht="15.75" customHeight="1">
      <c r="A590" s="2" t="s">
        <v>1210</v>
      </c>
      <c r="B590" s="5" t="s">
        <v>186</v>
      </c>
      <c r="C590" s="6">
        <v>46096.763761574075</v>
      </c>
      <c r="D590" s="2">
        <v>-10.0</v>
      </c>
      <c r="H590" s="2" t="s">
        <v>599</v>
      </c>
    </row>
    <row r="591" ht="15.75" customHeight="1">
      <c r="A591" s="2" t="s">
        <v>1211</v>
      </c>
      <c r="B591" s="2" t="s">
        <v>378</v>
      </c>
      <c r="C591" s="6">
        <v>46096.76436342593</v>
      </c>
      <c r="D591" s="2">
        <v>-12.0</v>
      </c>
      <c r="H591" s="2" t="s">
        <v>599</v>
      </c>
    </row>
    <row r="592" ht="15.75" customHeight="1">
      <c r="A592" s="2" t="s">
        <v>1212</v>
      </c>
      <c r="B592" s="5" t="s">
        <v>165</v>
      </c>
      <c r="C592" s="6">
        <v>46096.764872685184</v>
      </c>
      <c r="D592" s="2">
        <v>-14.0</v>
      </c>
      <c r="H592" s="2" t="s">
        <v>599</v>
      </c>
    </row>
    <row r="593" ht="15.75" customHeight="1">
      <c r="A593" s="2" t="s">
        <v>1213</v>
      </c>
      <c r="B593" s="2" t="s">
        <v>360</v>
      </c>
      <c r="C593" s="6">
        <v>46096.76646990741</v>
      </c>
      <c r="D593" s="2">
        <v>-6.0</v>
      </c>
      <c r="H593" s="2" t="s">
        <v>599</v>
      </c>
    </row>
    <row r="594" ht="15.75" customHeight="1">
      <c r="A594" s="2" t="s">
        <v>1214</v>
      </c>
      <c r="B594" s="5" t="s">
        <v>192</v>
      </c>
      <c r="C594" s="6">
        <v>46096.76677083333</v>
      </c>
      <c r="D594" s="2">
        <v>48.0</v>
      </c>
      <c r="E594" s="2" t="s">
        <v>1202</v>
      </c>
      <c r="H594" s="2" t="s">
        <v>571</v>
      </c>
    </row>
    <row r="595" ht="15.75" customHeight="1">
      <c r="A595" s="2" t="s">
        <v>1215</v>
      </c>
      <c r="B595" s="5" t="s">
        <v>134</v>
      </c>
      <c r="C595" s="6">
        <v>46096.766863425924</v>
      </c>
      <c r="D595" s="2">
        <v>-4.0</v>
      </c>
      <c r="H595" s="2" t="s">
        <v>599</v>
      </c>
    </row>
    <row r="596" ht="15.75" customHeight="1">
      <c r="A596" s="2" t="s">
        <v>1216</v>
      </c>
      <c r="B596" s="5" t="s">
        <v>59</v>
      </c>
      <c r="C596" s="6">
        <v>46096.76695601852</v>
      </c>
      <c r="D596" s="2">
        <v>-2.0</v>
      </c>
      <c r="H596" s="2" t="s">
        <v>599</v>
      </c>
    </row>
    <row r="597" ht="15.75" customHeight="1">
      <c r="A597" s="2" t="s">
        <v>1217</v>
      </c>
      <c r="B597" s="5" t="s">
        <v>192</v>
      </c>
      <c r="C597" s="6">
        <v>46096.76806712963</v>
      </c>
      <c r="D597" s="2">
        <v>-3.0</v>
      </c>
      <c r="H597" s="2" t="s">
        <v>599</v>
      </c>
    </row>
    <row r="598" ht="15.75" customHeight="1">
      <c r="A598" s="2" t="s">
        <v>1218</v>
      </c>
      <c r="B598" s="5" t="s">
        <v>142</v>
      </c>
      <c r="C598" s="6">
        <v>46096.76831018519</v>
      </c>
      <c r="D598" s="2">
        <v>-10.0</v>
      </c>
      <c r="H598" s="2" t="s">
        <v>599</v>
      </c>
    </row>
    <row r="599" ht="15.75" customHeight="1">
      <c r="A599" s="2" t="s">
        <v>1219</v>
      </c>
      <c r="B599" s="5" t="s">
        <v>142</v>
      </c>
      <c r="C599" s="6">
        <v>46096.768587962964</v>
      </c>
      <c r="D599" s="2">
        <v>2.0</v>
      </c>
      <c r="H599" s="2" t="s">
        <v>599</v>
      </c>
    </row>
    <row r="600" ht="15.75" customHeight="1">
      <c r="A600" s="2" t="s">
        <v>1220</v>
      </c>
      <c r="B600" s="2" t="s">
        <v>301</v>
      </c>
      <c r="C600" s="6">
        <v>46096.768692129626</v>
      </c>
      <c r="D600" s="2">
        <v>-6.0</v>
      </c>
      <c r="H600" s="2" t="s">
        <v>599</v>
      </c>
    </row>
    <row r="601" ht="15.75" customHeight="1">
      <c r="A601" s="2" t="s">
        <v>1221</v>
      </c>
      <c r="B601" s="5" t="s">
        <v>14</v>
      </c>
      <c r="C601" s="6">
        <v>46096.76893518519</v>
      </c>
      <c r="D601" s="2">
        <v>50.0</v>
      </c>
      <c r="E601" s="2" t="s">
        <v>1222</v>
      </c>
      <c r="H601" s="2" t="s">
        <v>571</v>
      </c>
    </row>
    <row r="602" ht="15.75" customHeight="1">
      <c r="A602" s="2" t="s">
        <v>1223</v>
      </c>
      <c r="B602" s="5" t="s">
        <v>148</v>
      </c>
      <c r="C602" s="6">
        <v>46096.76898148148</v>
      </c>
      <c r="D602" s="2">
        <v>30.0</v>
      </c>
      <c r="E602" s="2" t="s">
        <v>1222</v>
      </c>
      <c r="H602" s="2" t="s">
        <v>571</v>
      </c>
    </row>
    <row r="603" ht="15.75" customHeight="1">
      <c r="A603" s="2" t="s">
        <v>1224</v>
      </c>
      <c r="B603" s="2" t="s">
        <v>387</v>
      </c>
      <c r="C603" s="6">
        <v>46096.76893518519</v>
      </c>
      <c r="D603" s="2">
        <v>-7.0</v>
      </c>
      <c r="H603" s="2" t="s">
        <v>599</v>
      </c>
    </row>
    <row r="604" ht="15.75" customHeight="1">
      <c r="A604" s="2" t="s">
        <v>1225</v>
      </c>
      <c r="B604" s="5" t="s">
        <v>186</v>
      </c>
      <c r="C604" s="6">
        <v>46096.76903935185</v>
      </c>
      <c r="D604" s="2">
        <v>20.0</v>
      </c>
      <c r="E604" s="2" t="s">
        <v>1222</v>
      </c>
      <c r="H604" s="2" t="s">
        <v>571</v>
      </c>
    </row>
    <row r="605" ht="15.75" customHeight="1">
      <c r="A605" s="2" t="s">
        <v>1226</v>
      </c>
      <c r="B605" s="5" t="s">
        <v>82</v>
      </c>
      <c r="C605" s="6">
        <v>46096.76905092593</v>
      </c>
      <c r="D605" s="2">
        <v>-4.0</v>
      </c>
      <c r="H605" s="2" t="s">
        <v>599</v>
      </c>
    </row>
    <row r="606" ht="15.75" customHeight="1">
      <c r="A606" s="2" t="s">
        <v>1227</v>
      </c>
      <c r="B606" s="2" t="s">
        <v>972</v>
      </c>
      <c r="C606" s="6">
        <v>46096.76918981481</v>
      </c>
      <c r="D606" s="2">
        <v>-7.0</v>
      </c>
      <c r="H606" s="2" t="s">
        <v>599</v>
      </c>
    </row>
    <row r="607" ht="15.75" customHeight="1">
      <c r="A607" s="2" t="s">
        <v>1228</v>
      </c>
      <c r="B607" s="2" t="s">
        <v>378</v>
      </c>
      <c r="C607" s="6">
        <v>46096.7709375</v>
      </c>
      <c r="D607" s="2">
        <v>24.0</v>
      </c>
      <c r="E607" s="2" t="s">
        <v>1229</v>
      </c>
      <c r="H607" s="2" t="s">
        <v>571</v>
      </c>
    </row>
    <row r="608" ht="15.75" customHeight="1">
      <c r="A608" s="2" t="s">
        <v>1230</v>
      </c>
      <c r="B608" s="2" t="s">
        <v>384</v>
      </c>
      <c r="C608" s="6">
        <v>46096.7709837963</v>
      </c>
      <c r="D608" s="2">
        <v>48.0</v>
      </c>
      <c r="E608" s="2" t="s">
        <v>1229</v>
      </c>
      <c r="H608" s="2" t="s">
        <v>571</v>
      </c>
    </row>
    <row r="609" ht="15.75" customHeight="1">
      <c r="A609" s="2" t="s">
        <v>1231</v>
      </c>
      <c r="B609" s="2" t="s">
        <v>372</v>
      </c>
      <c r="C609" s="6">
        <v>46096.77101851852</v>
      </c>
      <c r="D609" s="2">
        <v>72.0</v>
      </c>
      <c r="E609" s="2" t="s">
        <v>1229</v>
      </c>
      <c r="H609" s="2" t="s">
        <v>571</v>
      </c>
    </row>
    <row r="610" ht="15.75" customHeight="1">
      <c r="A610" s="5" t="s">
        <v>1232</v>
      </c>
      <c r="B610" s="2" t="s">
        <v>354</v>
      </c>
      <c r="C610" s="6">
        <v>46096.77106481481</v>
      </c>
      <c r="D610" s="2">
        <v>48.0</v>
      </c>
      <c r="E610" s="2" t="s">
        <v>1229</v>
      </c>
      <c r="H610" s="2" t="s">
        <v>571</v>
      </c>
    </row>
    <row r="611" ht="15.75" customHeight="1">
      <c r="A611" s="2" t="s">
        <v>1233</v>
      </c>
      <c r="B611" s="5" t="s">
        <v>59</v>
      </c>
      <c r="C611" s="6">
        <v>46096.77111111111</v>
      </c>
      <c r="D611" s="2">
        <v>54.0</v>
      </c>
      <c r="E611" s="2" t="s">
        <v>1229</v>
      </c>
      <c r="H611" s="2" t="s">
        <v>571</v>
      </c>
    </row>
    <row r="612" ht="15.75" customHeight="1">
      <c r="A612" s="2" t="s">
        <v>1234</v>
      </c>
      <c r="B612" s="5" t="s">
        <v>134</v>
      </c>
      <c r="C612" s="6">
        <v>46096.771157407406</v>
      </c>
      <c r="D612" s="2">
        <v>54.0</v>
      </c>
      <c r="E612" s="2" t="s">
        <v>1229</v>
      </c>
      <c r="H612" s="2" t="s">
        <v>571</v>
      </c>
    </row>
    <row r="613" ht="15.75" customHeight="1">
      <c r="A613" s="2" t="s">
        <v>1235</v>
      </c>
      <c r="B613" s="2" t="s">
        <v>369</v>
      </c>
      <c r="C613" s="6">
        <v>46096.771215277775</v>
      </c>
      <c r="D613" s="2">
        <v>72.0</v>
      </c>
      <c r="E613" s="2" t="s">
        <v>1229</v>
      </c>
      <c r="H613" s="2" t="s">
        <v>571</v>
      </c>
    </row>
    <row r="614" ht="15.75" customHeight="1">
      <c r="A614" s="2" t="s">
        <v>1236</v>
      </c>
      <c r="B614" s="5" t="s">
        <v>96</v>
      </c>
      <c r="C614" s="6">
        <v>46096.771261574075</v>
      </c>
      <c r="D614" s="2">
        <v>48.0</v>
      </c>
      <c r="E614" s="2" t="s">
        <v>1229</v>
      </c>
      <c r="H614" s="2" t="s">
        <v>571</v>
      </c>
    </row>
    <row r="615" ht="15.75" customHeight="1">
      <c r="A615" s="2" t="s">
        <v>1237</v>
      </c>
      <c r="B615" s="5" t="s">
        <v>165</v>
      </c>
      <c r="C615" s="6">
        <v>46096.7712962963</v>
      </c>
      <c r="D615" s="2">
        <v>24.0</v>
      </c>
      <c r="E615" s="2" t="s">
        <v>1229</v>
      </c>
      <c r="H615" s="2" t="s">
        <v>571</v>
      </c>
    </row>
    <row r="616" ht="15.75" customHeight="1">
      <c r="A616" s="2" t="s">
        <v>1238</v>
      </c>
      <c r="B616" s="5" t="s">
        <v>214</v>
      </c>
      <c r="C616" s="6">
        <v>46096.772141203706</v>
      </c>
      <c r="D616" s="2">
        <v>-60.0</v>
      </c>
      <c r="H616" s="2" t="s">
        <v>599</v>
      </c>
    </row>
    <row r="617" ht="15.75" customHeight="1">
      <c r="A617" s="2" t="s">
        <v>1239</v>
      </c>
      <c r="B617" s="5" t="s">
        <v>214</v>
      </c>
      <c r="C617" s="6">
        <v>46096.77296296296</v>
      </c>
      <c r="D617" s="2">
        <v>600.0</v>
      </c>
      <c r="E617" s="2" t="s">
        <v>1240</v>
      </c>
      <c r="H617" s="2" t="s">
        <v>571</v>
      </c>
    </row>
    <row r="618" ht="15.75" customHeight="1">
      <c r="A618" s="2" t="s">
        <v>1241</v>
      </c>
      <c r="B618" s="2" t="s">
        <v>289</v>
      </c>
      <c r="C618" s="6">
        <v>46096.77334490741</v>
      </c>
      <c r="D618" s="2">
        <v>36.0</v>
      </c>
      <c r="E618" s="2" t="s">
        <v>1202</v>
      </c>
      <c r="H618" s="2" t="s">
        <v>571</v>
      </c>
    </row>
    <row r="619" ht="15.75" customHeight="1">
      <c r="A619" s="2" t="s">
        <v>1242</v>
      </c>
      <c r="B619" s="5" t="s">
        <v>14</v>
      </c>
      <c r="C619" s="6">
        <v>46096.7737037037</v>
      </c>
      <c r="D619" s="2">
        <v>32.0</v>
      </c>
      <c r="H619" s="2" t="s">
        <v>599</v>
      </c>
    </row>
    <row r="620" ht="15.75" customHeight="1">
      <c r="A620" s="2" t="s">
        <v>1243</v>
      </c>
      <c r="B620" s="5" t="s">
        <v>14</v>
      </c>
      <c r="C620" s="6">
        <v>46096.77386574074</v>
      </c>
      <c r="D620" s="2">
        <v>-34.0</v>
      </c>
      <c r="H620" s="2" t="s">
        <v>599</v>
      </c>
    </row>
    <row r="621" ht="15.75" customHeight="1">
      <c r="A621" s="2" t="s">
        <v>1244</v>
      </c>
      <c r="B621" s="5" t="s">
        <v>14</v>
      </c>
      <c r="C621" s="6">
        <v>46096.77431712963</v>
      </c>
      <c r="D621" s="2">
        <v>-48.0</v>
      </c>
      <c r="H621" s="2" t="s">
        <v>599</v>
      </c>
    </row>
    <row r="622" ht="15.75" customHeight="1">
      <c r="A622" s="2" t="s">
        <v>1245</v>
      </c>
      <c r="B622" s="5" t="s">
        <v>14</v>
      </c>
      <c r="C622" s="6">
        <v>46096.77447916667</v>
      </c>
      <c r="D622" s="2">
        <v>18.0</v>
      </c>
      <c r="H622" s="2" t="s">
        <v>599</v>
      </c>
    </row>
    <row r="623" ht="15.75" customHeight="1">
      <c r="A623" s="2" t="s">
        <v>1246</v>
      </c>
      <c r="B623" s="2" t="s">
        <v>289</v>
      </c>
      <c r="C623" s="6">
        <v>46096.775775462964</v>
      </c>
      <c r="D623" s="2">
        <v>1.0</v>
      </c>
      <c r="H623" s="2" t="s">
        <v>599</v>
      </c>
    </row>
    <row r="624" ht="15.75" customHeight="1">
      <c r="A624" s="2" t="s">
        <v>1247</v>
      </c>
      <c r="B624" s="5" t="s">
        <v>192</v>
      </c>
      <c r="C624" s="6">
        <v>46096.77596064815</v>
      </c>
      <c r="D624" s="2">
        <v>1.0</v>
      </c>
      <c r="H624" s="2" t="s">
        <v>599</v>
      </c>
    </row>
    <row r="625" ht="15.75" customHeight="1">
      <c r="A625" s="2" t="s">
        <v>1248</v>
      </c>
      <c r="B625" s="2" t="s">
        <v>295</v>
      </c>
      <c r="C625" s="6">
        <v>46096.776087962964</v>
      </c>
      <c r="D625" s="2">
        <v>1.0</v>
      </c>
      <c r="H625" s="2" t="s">
        <v>599</v>
      </c>
    </row>
    <row r="626" ht="15.75" customHeight="1">
      <c r="A626" s="2" t="s">
        <v>1249</v>
      </c>
      <c r="B626" s="2" t="s">
        <v>289</v>
      </c>
      <c r="C626" s="6">
        <v>46097.70278935185</v>
      </c>
      <c r="D626" s="2">
        <v>-9.0</v>
      </c>
      <c r="H626" s="2" t="s">
        <v>599</v>
      </c>
    </row>
    <row r="627" ht="15.75" customHeight="1">
      <c r="A627" s="2" t="s">
        <v>1250</v>
      </c>
      <c r="B627" s="2" t="s">
        <v>333</v>
      </c>
      <c r="C627" s="6">
        <v>46097.702881944446</v>
      </c>
      <c r="D627" s="2">
        <v>-12.0</v>
      </c>
      <c r="H627" s="2" t="s">
        <v>599</v>
      </c>
    </row>
    <row r="628" ht="15.75" customHeight="1">
      <c r="A628" s="2" t="s">
        <v>1251</v>
      </c>
      <c r="B628" s="5" t="s">
        <v>217</v>
      </c>
      <c r="C628" s="6">
        <v>46097.70296296296</v>
      </c>
      <c r="D628" s="2">
        <v>-14.0</v>
      </c>
      <c r="H628" s="2" t="s">
        <v>599</v>
      </c>
    </row>
    <row r="629" ht="15.75" customHeight="1">
      <c r="A629" s="2" t="s">
        <v>1252</v>
      </c>
      <c r="B629" s="2" t="s">
        <v>271</v>
      </c>
      <c r="C629" s="6">
        <v>46097.70303240741</v>
      </c>
      <c r="D629" s="2">
        <v>-7.0</v>
      </c>
      <c r="H629" s="2" t="s">
        <v>599</v>
      </c>
    </row>
    <row r="630" ht="15.75" customHeight="1">
      <c r="A630" s="2" t="s">
        <v>1253</v>
      </c>
      <c r="B630" s="2" t="s">
        <v>280</v>
      </c>
      <c r="C630" s="6">
        <v>46097.70313657408</v>
      </c>
      <c r="D630" s="2">
        <v>-14.0</v>
      </c>
      <c r="H630" s="2" t="s">
        <v>599</v>
      </c>
    </row>
    <row r="631" ht="15.75" customHeight="1">
      <c r="A631" s="2" t="s">
        <v>1254</v>
      </c>
      <c r="B631" s="2" t="s">
        <v>286</v>
      </c>
      <c r="C631" s="6">
        <v>46097.703310185185</v>
      </c>
      <c r="D631" s="2">
        <v>-14.0</v>
      </c>
      <c r="H631" s="2" t="s">
        <v>599</v>
      </c>
    </row>
    <row r="632" ht="15.75" customHeight="1">
      <c r="A632" s="2" t="s">
        <v>1255</v>
      </c>
      <c r="B632" s="2" t="s">
        <v>390</v>
      </c>
      <c r="C632" s="6">
        <v>46097.70353009259</v>
      </c>
      <c r="D632" s="2">
        <v>-16.0</v>
      </c>
      <c r="H632" s="2" t="s">
        <v>599</v>
      </c>
    </row>
    <row r="633" ht="15.75" customHeight="1">
      <c r="A633" s="2" t="s">
        <v>1256</v>
      </c>
      <c r="B633" s="2" t="s">
        <v>378</v>
      </c>
      <c r="C633" s="6">
        <v>46097.70505787037</v>
      </c>
      <c r="D633" s="2">
        <v>-12.0</v>
      </c>
      <c r="H633" s="2" t="s">
        <v>599</v>
      </c>
    </row>
    <row r="634" ht="15.75" customHeight="1">
      <c r="A634" s="2" t="s">
        <v>1257</v>
      </c>
      <c r="B634" s="2" t="s">
        <v>372</v>
      </c>
      <c r="C634" s="6">
        <v>46097.7052662037</v>
      </c>
      <c r="D634" s="2">
        <v>-12.0</v>
      </c>
      <c r="H634" s="2" t="s">
        <v>599</v>
      </c>
    </row>
    <row r="635" ht="15.75" customHeight="1">
      <c r="A635" s="2" t="s">
        <v>1258</v>
      </c>
      <c r="B635" s="2" t="s">
        <v>384</v>
      </c>
      <c r="C635" s="6">
        <v>46097.70537037037</v>
      </c>
      <c r="D635" s="2">
        <v>-12.0</v>
      </c>
      <c r="H635" s="2" t="s">
        <v>599</v>
      </c>
    </row>
    <row r="636" ht="15.75" customHeight="1">
      <c r="A636" s="2" t="s">
        <v>1259</v>
      </c>
      <c r="B636" s="5" t="s">
        <v>14</v>
      </c>
      <c r="C636" s="6">
        <v>46097.705625</v>
      </c>
      <c r="D636" s="2">
        <v>-11.0</v>
      </c>
      <c r="H636" s="2" t="s">
        <v>599</v>
      </c>
    </row>
    <row r="637" ht="15.75" customHeight="1">
      <c r="A637" s="2" t="s">
        <v>1260</v>
      </c>
      <c r="B637" s="2" t="s">
        <v>390</v>
      </c>
      <c r="C637" s="6">
        <v>46097.70690972222</v>
      </c>
      <c r="D637" s="2">
        <v>-16.0</v>
      </c>
      <c r="H637" s="2" t="s">
        <v>599</v>
      </c>
    </row>
    <row r="638" ht="15.75" customHeight="1">
      <c r="A638" s="2" t="s">
        <v>1261</v>
      </c>
      <c r="B638" s="2" t="s">
        <v>295</v>
      </c>
      <c r="C638" s="6">
        <v>46097.70730324074</v>
      </c>
      <c r="D638" s="2">
        <v>-5.0</v>
      </c>
      <c r="H638" s="2" t="s">
        <v>599</v>
      </c>
    </row>
    <row r="639" ht="15.75" customHeight="1">
      <c r="A639" s="2" t="s">
        <v>1262</v>
      </c>
      <c r="B639" s="2" t="s">
        <v>369</v>
      </c>
      <c r="C639" s="6">
        <v>46097.70755787037</v>
      </c>
      <c r="D639" s="2">
        <v>-12.0</v>
      </c>
      <c r="H639" s="2" t="s">
        <v>599</v>
      </c>
    </row>
    <row r="640" ht="15.75" customHeight="1">
      <c r="A640" s="2" t="s">
        <v>1263</v>
      </c>
      <c r="B640" s="2" t="s">
        <v>342</v>
      </c>
      <c r="C640" s="6">
        <v>46097.70858796296</v>
      </c>
      <c r="D640" s="2">
        <v>-4.0</v>
      </c>
      <c r="H640" s="2" t="s">
        <v>599</v>
      </c>
    </row>
    <row r="641" ht="15.75" customHeight="1">
      <c r="A641" s="2" t="s">
        <v>1264</v>
      </c>
      <c r="B641" s="5" t="s">
        <v>96</v>
      </c>
      <c r="C641" s="6">
        <v>46097.708715277775</v>
      </c>
      <c r="D641" s="2">
        <v>-14.0</v>
      </c>
      <c r="H641" s="2" t="s">
        <v>599</v>
      </c>
    </row>
    <row r="642" ht="15.75" customHeight="1">
      <c r="A642" s="2" t="s">
        <v>1265</v>
      </c>
      <c r="B642" s="5" t="s">
        <v>59</v>
      </c>
      <c r="C642" s="6">
        <v>46097.708819444444</v>
      </c>
      <c r="D642" s="2">
        <v>-3.0</v>
      </c>
      <c r="H642" s="2" t="s">
        <v>599</v>
      </c>
    </row>
    <row r="643" ht="15.75" customHeight="1">
      <c r="A643" s="2" t="s">
        <v>1266</v>
      </c>
      <c r="B643" s="5" t="s">
        <v>134</v>
      </c>
      <c r="C643" s="6">
        <v>46097.70894675926</v>
      </c>
      <c r="D643" s="2">
        <v>-10.0</v>
      </c>
      <c r="H643" s="2" t="s">
        <v>599</v>
      </c>
    </row>
    <row r="644" ht="15.75" customHeight="1">
      <c r="A644" s="2" t="s">
        <v>1267</v>
      </c>
      <c r="B644" s="5" t="s">
        <v>192</v>
      </c>
      <c r="C644" s="6">
        <v>46097.71226851852</v>
      </c>
      <c r="D644" s="2">
        <v>-15.0</v>
      </c>
      <c r="H644" s="2" t="s">
        <v>599</v>
      </c>
    </row>
    <row r="645" ht="15.75" customHeight="1">
      <c r="A645" s="2" t="s">
        <v>1268</v>
      </c>
      <c r="B645" s="2" t="s">
        <v>301</v>
      </c>
      <c r="C645" s="6">
        <v>46097.71238425926</v>
      </c>
      <c r="D645" s="2">
        <v>-7.0</v>
      </c>
      <c r="H645" s="2" t="s">
        <v>599</v>
      </c>
    </row>
    <row r="646" ht="15.75" customHeight="1">
      <c r="A646" s="2" t="s">
        <v>1269</v>
      </c>
      <c r="B646" s="5" t="s">
        <v>142</v>
      </c>
      <c r="C646" s="6">
        <v>46097.712488425925</v>
      </c>
      <c r="D646" s="2">
        <v>-5.0</v>
      </c>
      <c r="H646" s="2" t="s">
        <v>599</v>
      </c>
    </row>
    <row r="647" ht="15.75" customHeight="1">
      <c r="A647" s="2" t="s">
        <v>1270</v>
      </c>
      <c r="B647" s="5" t="s">
        <v>82</v>
      </c>
      <c r="C647" s="6">
        <v>46097.71258101852</v>
      </c>
      <c r="D647" s="2">
        <v>-3.0</v>
      </c>
      <c r="H647" s="2" t="s">
        <v>599</v>
      </c>
    </row>
    <row r="648" ht="15.75" customHeight="1">
      <c r="A648" s="2" t="s">
        <v>1271</v>
      </c>
      <c r="B648" s="5" t="s">
        <v>214</v>
      </c>
      <c r="C648" s="6">
        <v>46097.71287037037</v>
      </c>
      <c r="D648" s="2">
        <v>-60.0</v>
      </c>
      <c r="H648" s="2" t="s">
        <v>599</v>
      </c>
    </row>
    <row r="649" ht="15.75" customHeight="1">
      <c r="A649" s="2" t="s">
        <v>1272</v>
      </c>
      <c r="B649" s="2" t="s">
        <v>390</v>
      </c>
      <c r="C649" s="6">
        <v>46097.77056712963</v>
      </c>
      <c r="D649" s="2">
        <v>16.0</v>
      </c>
      <c r="H649" s="2" t="s">
        <v>599</v>
      </c>
    </row>
    <row r="650" ht="15.75" customHeight="1">
      <c r="A650" s="2" t="s">
        <v>1273</v>
      </c>
      <c r="B650" s="2" t="s">
        <v>289</v>
      </c>
      <c r="C650" s="6">
        <v>46098.12092592593</v>
      </c>
      <c r="D650" s="2">
        <v>-14.0</v>
      </c>
      <c r="H650" s="2" t="s">
        <v>599</v>
      </c>
    </row>
    <row r="651" ht="15.75" customHeight="1">
      <c r="A651" s="2" t="s">
        <v>1274</v>
      </c>
      <c r="B651" s="2" t="s">
        <v>327</v>
      </c>
      <c r="C651" s="6">
        <v>46098.12100694444</v>
      </c>
      <c r="D651" s="2">
        <v>-7.0</v>
      </c>
      <c r="H651" s="2" t="s">
        <v>599</v>
      </c>
    </row>
    <row r="652" ht="15.75" customHeight="1">
      <c r="A652" s="2" t="s">
        <v>1275</v>
      </c>
      <c r="B652" s="5" t="s">
        <v>217</v>
      </c>
      <c r="C652" s="6">
        <v>46098.12107638889</v>
      </c>
      <c r="D652" s="2">
        <v>-7.0</v>
      </c>
      <c r="H652" s="2" t="s">
        <v>599</v>
      </c>
    </row>
    <row r="653" ht="15.75" customHeight="1">
      <c r="A653" s="2" t="s">
        <v>1276</v>
      </c>
      <c r="B653" s="2" t="s">
        <v>271</v>
      </c>
      <c r="C653" s="6">
        <v>46098.12113425926</v>
      </c>
      <c r="D653" s="2">
        <v>-7.0</v>
      </c>
      <c r="H653" s="2" t="s">
        <v>599</v>
      </c>
    </row>
    <row r="654" ht="15.75" customHeight="1">
      <c r="A654" s="2" t="s">
        <v>1277</v>
      </c>
      <c r="B654" s="2" t="s">
        <v>286</v>
      </c>
      <c r="C654" s="6">
        <v>46098.121203703704</v>
      </c>
      <c r="D654" s="2">
        <v>-14.0</v>
      </c>
      <c r="H654" s="2" t="s">
        <v>599</v>
      </c>
    </row>
    <row r="655" ht="15.75" customHeight="1">
      <c r="A655" s="2" t="s">
        <v>1278</v>
      </c>
      <c r="B655" s="5" t="s">
        <v>131</v>
      </c>
      <c r="C655" s="6">
        <v>46098.12253472222</v>
      </c>
      <c r="D655" s="2">
        <v>-6.0</v>
      </c>
      <c r="H655" s="2" t="s">
        <v>599</v>
      </c>
    </row>
    <row r="656" ht="15.75" customHeight="1">
      <c r="A656" s="2" t="s">
        <v>1279</v>
      </c>
      <c r="B656" s="2" t="s">
        <v>372</v>
      </c>
      <c r="C656" s="6">
        <v>46098.12358796296</v>
      </c>
      <c r="D656" s="2">
        <v>-11.0</v>
      </c>
      <c r="H656" s="2" t="s">
        <v>599</v>
      </c>
    </row>
    <row r="657" ht="15.75" customHeight="1">
      <c r="A657" s="2" t="s">
        <v>1280</v>
      </c>
      <c r="B657" s="2" t="s">
        <v>372</v>
      </c>
      <c r="C657" s="6">
        <v>46098.12384259259</v>
      </c>
      <c r="D657" s="2">
        <v>-1.0</v>
      </c>
      <c r="H657" s="2" t="s">
        <v>599</v>
      </c>
    </row>
    <row r="658" ht="15.75" customHeight="1">
      <c r="A658" s="2" t="s">
        <v>1281</v>
      </c>
      <c r="B658" s="2" t="s">
        <v>384</v>
      </c>
      <c r="C658" s="6">
        <v>46098.12398148148</v>
      </c>
      <c r="D658" s="2">
        <v>-12.0</v>
      </c>
      <c r="H658" s="2" t="s">
        <v>599</v>
      </c>
    </row>
    <row r="659" ht="15.75" customHeight="1">
      <c r="A659" s="2" t="s">
        <v>1282</v>
      </c>
      <c r="B659" s="5" t="s">
        <v>186</v>
      </c>
      <c r="C659" s="6">
        <v>46098.12505787037</v>
      </c>
      <c r="D659" s="2">
        <v>-10.0</v>
      </c>
      <c r="H659" s="2" t="s">
        <v>599</v>
      </c>
    </row>
    <row r="660" ht="15.75" customHeight="1">
      <c r="A660" s="2" t="s">
        <v>1283</v>
      </c>
      <c r="B660" s="5" t="s">
        <v>148</v>
      </c>
      <c r="C660" s="6">
        <v>46098.12527777778</v>
      </c>
      <c r="D660" s="2">
        <v>-5.0</v>
      </c>
      <c r="H660" s="2" t="s">
        <v>599</v>
      </c>
    </row>
    <row r="661" ht="15.75" customHeight="1">
      <c r="A661" s="2" t="s">
        <v>1284</v>
      </c>
      <c r="B661" s="2" t="s">
        <v>360</v>
      </c>
      <c r="C661" s="6">
        <v>46098.125752314816</v>
      </c>
      <c r="D661" s="2">
        <v>-19.0</v>
      </c>
      <c r="H661" s="2" t="s">
        <v>599</v>
      </c>
    </row>
    <row r="662" ht="15.75" customHeight="1">
      <c r="A662" s="2" t="s">
        <v>1285</v>
      </c>
      <c r="B662" s="5" t="s">
        <v>134</v>
      </c>
      <c r="C662" s="6">
        <v>46098.125925925924</v>
      </c>
      <c r="D662" s="2">
        <v>-4.0</v>
      </c>
      <c r="H662" s="2" t="s">
        <v>599</v>
      </c>
    </row>
    <row r="663" ht="15.75" customHeight="1">
      <c r="A663" s="2" t="s">
        <v>1286</v>
      </c>
      <c r="B663" s="5" t="s">
        <v>59</v>
      </c>
      <c r="C663" s="6">
        <v>46098.12605324074</v>
      </c>
      <c r="D663" s="2">
        <v>-7.0</v>
      </c>
      <c r="H663" s="2" t="s">
        <v>599</v>
      </c>
    </row>
    <row r="664" ht="15.75" customHeight="1">
      <c r="A664" s="2" t="s">
        <v>1287</v>
      </c>
      <c r="B664" s="2" t="s">
        <v>354</v>
      </c>
      <c r="C664" s="6">
        <v>46098.12721064815</v>
      </c>
      <c r="D664" s="2">
        <v>-8.0</v>
      </c>
      <c r="H664" s="2" t="s">
        <v>599</v>
      </c>
    </row>
    <row r="665" ht="15.75" customHeight="1">
      <c r="A665" s="2" t="s">
        <v>1288</v>
      </c>
      <c r="B665" s="2" t="s">
        <v>354</v>
      </c>
      <c r="C665" s="6">
        <v>46098.127546296295</v>
      </c>
      <c r="D665" s="2">
        <v>-4.0</v>
      </c>
      <c r="H665" s="2" t="s">
        <v>599</v>
      </c>
    </row>
    <row r="666" ht="15.75" customHeight="1">
      <c r="A666" s="2" t="s">
        <v>1289</v>
      </c>
      <c r="B666" s="5" t="s">
        <v>192</v>
      </c>
      <c r="C666" s="6">
        <v>46098.128483796296</v>
      </c>
      <c r="D666" s="2">
        <v>-13.0</v>
      </c>
      <c r="H666" s="2" t="s">
        <v>599</v>
      </c>
    </row>
    <row r="667" ht="15.75" customHeight="1">
      <c r="A667" s="2" t="s">
        <v>1290</v>
      </c>
      <c r="B667" s="5" t="s">
        <v>214</v>
      </c>
      <c r="C667" s="6">
        <v>46098.12871527778</v>
      </c>
      <c r="D667" s="2">
        <v>-60.0</v>
      </c>
      <c r="H667" s="2" t="s">
        <v>599</v>
      </c>
    </row>
    <row r="668" ht="15.75" customHeight="1">
      <c r="A668" s="2" t="s">
        <v>1291</v>
      </c>
      <c r="B668" s="2" t="s">
        <v>372</v>
      </c>
      <c r="C668" s="6">
        <v>46098.158784722225</v>
      </c>
      <c r="D668" s="2">
        <v>4.0</v>
      </c>
      <c r="H668" s="2" t="s">
        <v>599</v>
      </c>
    </row>
    <row r="669" ht="15.75" customHeight="1">
      <c r="A669" s="2" t="s">
        <v>1292</v>
      </c>
      <c r="B669" s="2" t="s">
        <v>289</v>
      </c>
      <c r="C669" s="6">
        <v>46099.60259259259</v>
      </c>
      <c r="D669" s="2">
        <v>-14.0</v>
      </c>
      <c r="H669" s="2" t="s">
        <v>599</v>
      </c>
    </row>
    <row r="670" ht="15.75" customHeight="1">
      <c r="A670" s="2" t="s">
        <v>1293</v>
      </c>
      <c r="B670" s="2" t="s">
        <v>333</v>
      </c>
      <c r="C670" s="6">
        <v>46099.60271990741</v>
      </c>
      <c r="D670" s="2">
        <v>-12.0</v>
      </c>
      <c r="H670" s="2" t="s">
        <v>599</v>
      </c>
    </row>
    <row r="671" ht="15.75" customHeight="1">
      <c r="A671" s="2" t="s">
        <v>1294</v>
      </c>
      <c r="B671" s="2" t="s">
        <v>330</v>
      </c>
      <c r="C671" s="6">
        <v>46099.602789351855</v>
      </c>
      <c r="D671" s="2">
        <v>-7.0</v>
      </c>
      <c r="H671" s="2" t="s">
        <v>599</v>
      </c>
    </row>
    <row r="672" ht="15.75" customHeight="1">
      <c r="A672" s="2" t="s">
        <v>1295</v>
      </c>
      <c r="B672" s="5" t="s">
        <v>217</v>
      </c>
      <c r="C672" s="6">
        <v>46099.602858796294</v>
      </c>
      <c r="D672" s="2">
        <v>-15.0</v>
      </c>
      <c r="H672" s="2" t="s">
        <v>599</v>
      </c>
    </row>
    <row r="673" ht="15.75" customHeight="1">
      <c r="A673" s="2" t="s">
        <v>1296</v>
      </c>
      <c r="B673" s="2" t="s">
        <v>271</v>
      </c>
      <c r="C673" s="6">
        <v>46099.60293981482</v>
      </c>
      <c r="D673" s="2">
        <v>-15.0</v>
      </c>
      <c r="H673" s="2" t="s">
        <v>599</v>
      </c>
    </row>
    <row r="674" ht="15.75" customHeight="1">
      <c r="A674" s="2" t="s">
        <v>1297</v>
      </c>
      <c r="B674" s="2" t="s">
        <v>286</v>
      </c>
      <c r="C674" s="6">
        <v>46099.60300925926</v>
      </c>
      <c r="D674" s="2">
        <v>-15.0</v>
      </c>
      <c r="H674" s="2" t="s">
        <v>599</v>
      </c>
    </row>
    <row r="675" ht="15.75" customHeight="1">
      <c r="A675" s="2" t="s">
        <v>1298</v>
      </c>
      <c r="B675" s="5" t="s">
        <v>217</v>
      </c>
      <c r="C675" s="6">
        <v>46099.604155092595</v>
      </c>
      <c r="D675" s="2">
        <v>1.0</v>
      </c>
      <c r="H675" s="2" t="s">
        <v>599</v>
      </c>
    </row>
    <row r="676" ht="15.75" customHeight="1">
      <c r="A676" s="2" t="s">
        <v>1299</v>
      </c>
      <c r="B676" s="2" t="s">
        <v>271</v>
      </c>
      <c r="C676" s="6">
        <v>46099.604212962964</v>
      </c>
      <c r="D676" s="2">
        <v>1.0</v>
      </c>
      <c r="H676" s="2" t="s">
        <v>599</v>
      </c>
    </row>
    <row r="677" ht="15.75" customHeight="1">
      <c r="A677" s="2" t="s">
        <v>1300</v>
      </c>
      <c r="B677" s="2" t="s">
        <v>286</v>
      </c>
      <c r="C677" s="6">
        <v>46099.60425925926</v>
      </c>
      <c r="D677" s="2">
        <v>1.0</v>
      </c>
      <c r="H677" s="2" t="s">
        <v>599</v>
      </c>
    </row>
    <row r="678" ht="15.75" customHeight="1">
      <c r="A678" s="2" t="s">
        <v>1301</v>
      </c>
      <c r="B678" s="2" t="s">
        <v>390</v>
      </c>
      <c r="C678" s="6">
        <v>46099.60513888889</v>
      </c>
      <c r="D678" s="2">
        <v>-11.0</v>
      </c>
      <c r="H678" s="2" t="s">
        <v>599</v>
      </c>
    </row>
    <row r="679" ht="15.75" customHeight="1">
      <c r="A679" s="2" t="s">
        <v>1302</v>
      </c>
      <c r="B679" s="5" t="s">
        <v>171</v>
      </c>
      <c r="C679" s="6">
        <v>46099.605219907404</v>
      </c>
      <c r="D679" s="2">
        <v>-14.0</v>
      </c>
      <c r="H679" s="2" t="s">
        <v>599</v>
      </c>
    </row>
    <row r="680" ht="15.75" customHeight="1">
      <c r="A680" s="2" t="s">
        <v>1303</v>
      </c>
      <c r="B680" s="2" t="s">
        <v>372</v>
      </c>
      <c r="C680" s="6">
        <v>46099.605787037035</v>
      </c>
      <c r="D680" s="2">
        <v>-5.0</v>
      </c>
      <c r="H680" s="2" t="s">
        <v>599</v>
      </c>
    </row>
    <row r="681" ht="15.75" customHeight="1">
      <c r="A681" s="2" t="s">
        <v>1304</v>
      </c>
      <c r="B681" s="5" t="s">
        <v>165</v>
      </c>
      <c r="C681" s="6">
        <v>46099.6059837963</v>
      </c>
      <c r="D681" s="2">
        <v>-14.0</v>
      </c>
      <c r="H681" s="2" t="s">
        <v>599</v>
      </c>
    </row>
    <row r="682" ht="15.75" customHeight="1">
      <c r="A682" s="2" t="s">
        <v>1305</v>
      </c>
      <c r="B682" s="5" t="s">
        <v>14</v>
      </c>
      <c r="C682" s="6">
        <v>46099.60666666667</v>
      </c>
      <c r="D682" s="2">
        <v>-7.0</v>
      </c>
      <c r="H682" s="2" t="s">
        <v>599</v>
      </c>
    </row>
    <row r="683" ht="15.75" customHeight="1">
      <c r="A683" s="2" t="s">
        <v>1306</v>
      </c>
      <c r="B683" s="5" t="s">
        <v>148</v>
      </c>
      <c r="C683" s="6">
        <v>46099.60736111111</v>
      </c>
      <c r="D683" s="2">
        <v>-8.0</v>
      </c>
      <c r="H683" s="2" t="s">
        <v>599</v>
      </c>
    </row>
    <row r="684" ht="15.75" customHeight="1">
      <c r="A684" s="2" t="s">
        <v>1307</v>
      </c>
      <c r="B684" s="2" t="s">
        <v>295</v>
      </c>
      <c r="C684" s="6">
        <v>46099.60815972222</v>
      </c>
      <c r="D684" s="2">
        <v>-9.0</v>
      </c>
      <c r="H684" s="2" t="s">
        <v>599</v>
      </c>
    </row>
    <row r="685" ht="15.75" customHeight="1">
      <c r="A685" s="2" t="s">
        <v>1308</v>
      </c>
      <c r="B685" s="2" t="s">
        <v>369</v>
      </c>
      <c r="C685" s="6">
        <v>46099.60936342592</v>
      </c>
      <c r="D685" s="2">
        <v>-9.0</v>
      </c>
      <c r="H685" s="2" t="s">
        <v>599</v>
      </c>
    </row>
    <row r="686" ht="15.75" customHeight="1">
      <c r="A686" s="2" t="s">
        <v>1309</v>
      </c>
      <c r="B686" s="2" t="s">
        <v>342</v>
      </c>
      <c r="C686" s="6">
        <v>46099.60943287037</v>
      </c>
      <c r="D686" s="2">
        <v>-2.0</v>
      </c>
      <c r="H686" s="2" t="s">
        <v>599</v>
      </c>
    </row>
    <row r="687" ht="15.75" customHeight="1">
      <c r="A687" s="2" t="s">
        <v>1310</v>
      </c>
      <c r="B687" s="5" t="s">
        <v>96</v>
      </c>
      <c r="C687" s="6">
        <v>46099.60965277778</v>
      </c>
      <c r="D687" s="2">
        <v>-14.0</v>
      </c>
      <c r="H687" s="2" t="s">
        <v>599</v>
      </c>
    </row>
    <row r="688" ht="15.75" customHeight="1">
      <c r="A688" s="2" t="s">
        <v>1311</v>
      </c>
      <c r="B688" s="5" t="s">
        <v>59</v>
      </c>
      <c r="C688" s="6">
        <v>46099.611134259256</v>
      </c>
      <c r="D688" s="2">
        <v>-3.0</v>
      </c>
      <c r="H688" s="2" t="s">
        <v>599</v>
      </c>
    </row>
    <row r="689" ht="15.75" customHeight="1">
      <c r="A689" s="2" t="s">
        <v>1312</v>
      </c>
      <c r="B689" s="5" t="s">
        <v>134</v>
      </c>
      <c r="C689" s="6">
        <v>46099.611238425925</v>
      </c>
      <c r="D689" s="2">
        <v>-5.0</v>
      </c>
      <c r="H689" s="2" t="s">
        <v>599</v>
      </c>
    </row>
    <row r="690" ht="15.75" customHeight="1">
      <c r="A690" s="2" t="s">
        <v>1313</v>
      </c>
      <c r="B690" s="5" t="s">
        <v>142</v>
      </c>
      <c r="C690" s="6">
        <v>46099.61425925926</v>
      </c>
      <c r="D690" s="2">
        <v>-16.0</v>
      </c>
      <c r="H690" s="2" t="s">
        <v>599</v>
      </c>
    </row>
    <row r="691" ht="15.75" customHeight="1">
      <c r="A691" s="2" t="s">
        <v>1314</v>
      </c>
      <c r="B691" s="2" t="s">
        <v>301</v>
      </c>
      <c r="C691" s="6">
        <v>46099.614375</v>
      </c>
      <c r="D691" s="2">
        <v>-2.0</v>
      </c>
      <c r="H691" s="2" t="s">
        <v>599</v>
      </c>
    </row>
    <row r="692" ht="15.75" customHeight="1">
      <c r="A692" s="2" t="s">
        <v>1315</v>
      </c>
      <c r="B692" s="5" t="s">
        <v>82</v>
      </c>
      <c r="C692" s="6">
        <v>46099.61457175926</v>
      </c>
      <c r="D692" s="2">
        <v>-3.0</v>
      </c>
      <c r="H692" s="2" t="s">
        <v>599</v>
      </c>
    </row>
    <row r="693" ht="15.75" customHeight="1">
      <c r="A693" s="2" t="s">
        <v>1316</v>
      </c>
      <c r="B693" s="5" t="s">
        <v>206</v>
      </c>
      <c r="C693" s="6">
        <v>46099.61471064815</v>
      </c>
      <c r="D693" s="2">
        <v>-6.0</v>
      </c>
      <c r="H693" s="2" t="s">
        <v>599</v>
      </c>
    </row>
    <row r="694" ht="15.75" customHeight="1">
      <c r="A694" s="2" t="s">
        <v>1317</v>
      </c>
      <c r="B694" s="2" t="s">
        <v>313</v>
      </c>
      <c r="C694" s="6">
        <v>46099.61479166667</v>
      </c>
      <c r="D694" s="2">
        <v>-1.0</v>
      </c>
      <c r="H694" s="2" t="s">
        <v>599</v>
      </c>
    </row>
    <row r="695" ht="15.75" customHeight="1">
      <c r="A695" s="2" t="s">
        <v>1318</v>
      </c>
      <c r="B695" s="5" t="s">
        <v>192</v>
      </c>
      <c r="C695" s="6">
        <v>46099.61488425926</v>
      </c>
      <c r="D695" s="2">
        <v>-17.0</v>
      </c>
      <c r="H695" s="2" t="s">
        <v>599</v>
      </c>
    </row>
    <row r="696" ht="15.75" customHeight="1">
      <c r="A696" s="2" t="s">
        <v>1319</v>
      </c>
      <c r="B696" s="5" t="s">
        <v>214</v>
      </c>
      <c r="C696" s="6">
        <v>46099.61509259259</v>
      </c>
      <c r="D696" s="2">
        <v>-60.0</v>
      </c>
      <c r="H696" s="2" t="s">
        <v>599</v>
      </c>
    </row>
    <row r="697" ht="15.75" customHeight="1">
      <c r="A697" s="2" t="s">
        <v>1320</v>
      </c>
      <c r="B697" s="5" t="s">
        <v>126</v>
      </c>
      <c r="C697" s="6">
        <v>46099.77966435185</v>
      </c>
      <c r="D697" s="2">
        <v>4.0</v>
      </c>
      <c r="H697" s="2" t="s">
        <v>599</v>
      </c>
    </row>
    <row r="698" ht="15.75" customHeight="1">
      <c r="A698" s="2" t="s">
        <v>1321</v>
      </c>
      <c r="B698" s="2" t="s">
        <v>247</v>
      </c>
      <c r="C698" s="6">
        <v>46099.78021990741</v>
      </c>
      <c r="D698" s="2">
        <v>5.0</v>
      </c>
      <c r="H698" s="2" t="s">
        <v>599</v>
      </c>
    </row>
    <row r="699" ht="15.75" customHeight="1">
      <c r="A699" s="2" t="s">
        <v>1322</v>
      </c>
      <c r="B699" s="2" t="s">
        <v>310</v>
      </c>
      <c r="C699" s="6">
        <v>46099.780381944445</v>
      </c>
      <c r="D699" s="2">
        <v>10.0</v>
      </c>
      <c r="H699" s="2" t="s">
        <v>599</v>
      </c>
    </row>
    <row r="700" ht="15.75" customHeight="1">
      <c r="A700" s="2" t="s">
        <v>1323</v>
      </c>
      <c r="B700" s="2" t="s">
        <v>354</v>
      </c>
      <c r="C700" s="6">
        <v>46099.78097222222</v>
      </c>
      <c r="D700" s="2">
        <v>4.0</v>
      </c>
      <c r="H700" s="2" t="s">
        <v>599</v>
      </c>
    </row>
    <row r="701" ht="15.75" customHeight="1">
      <c r="A701" s="2" t="s">
        <v>1324</v>
      </c>
      <c r="B701" s="2" t="s">
        <v>247</v>
      </c>
      <c r="C701" s="6">
        <v>46099.78109953704</v>
      </c>
      <c r="D701" s="2">
        <v>1.0</v>
      </c>
      <c r="H701" s="2" t="s">
        <v>599</v>
      </c>
    </row>
    <row r="702" ht="15.75" customHeight="1">
      <c r="A702" s="2" t="s">
        <v>1325</v>
      </c>
      <c r="B702" s="5" t="s">
        <v>82</v>
      </c>
      <c r="C702" s="6">
        <v>46099.78125</v>
      </c>
      <c r="D702" s="2">
        <v>5.0</v>
      </c>
      <c r="H702" s="2" t="s">
        <v>599</v>
      </c>
    </row>
    <row r="703" ht="15.75" customHeight="1">
      <c r="A703" s="2" t="s">
        <v>1326</v>
      </c>
      <c r="B703" s="2" t="s">
        <v>381</v>
      </c>
      <c r="C703" s="6">
        <v>46099.78145833333</v>
      </c>
      <c r="D703" s="2">
        <v>6.0</v>
      </c>
      <c r="H703" s="2" t="s">
        <v>599</v>
      </c>
    </row>
    <row r="704" ht="15.75" customHeight="1">
      <c r="A704" s="2" t="s">
        <v>1327</v>
      </c>
      <c r="B704" s="2" t="s">
        <v>301</v>
      </c>
      <c r="C704" s="6">
        <v>46099.781539351854</v>
      </c>
      <c r="D704" s="2">
        <v>2.0</v>
      </c>
      <c r="H704" s="2" t="s">
        <v>599</v>
      </c>
    </row>
    <row r="705" ht="15.75" customHeight="1">
      <c r="A705" s="2" t="s">
        <v>1328</v>
      </c>
      <c r="B705" s="5" t="s">
        <v>142</v>
      </c>
      <c r="C705" s="6">
        <v>46099.78163194445</v>
      </c>
      <c r="D705" s="2">
        <v>2.0</v>
      </c>
      <c r="H705" s="2" t="s">
        <v>599</v>
      </c>
    </row>
    <row r="706" ht="15.75" customHeight="1">
      <c r="A706" s="2" t="s">
        <v>1329</v>
      </c>
      <c r="B706" s="2" t="s">
        <v>330</v>
      </c>
      <c r="C706" s="6">
        <v>46099.785104166665</v>
      </c>
      <c r="D706" s="2">
        <v>6.0</v>
      </c>
      <c r="H706" s="2" t="s">
        <v>599</v>
      </c>
    </row>
    <row r="707" ht="15.75" customHeight="1">
      <c r="A707" s="2" t="s">
        <v>1330</v>
      </c>
      <c r="B707" s="2" t="s">
        <v>295</v>
      </c>
      <c r="C707" s="6">
        <v>46099.786458333336</v>
      </c>
      <c r="D707" s="2">
        <v>36.0</v>
      </c>
      <c r="H707" s="2" t="s">
        <v>599</v>
      </c>
    </row>
    <row r="708" ht="15.75" customHeight="1">
      <c r="A708" s="2" t="s">
        <v>1331</v>
      </c>
      <c r="B708" s="5" t="s">
        <v>189</v>
      </c>
      <c r="C708" s="6">
        <v>46099.78707175926</v>
      </c>
      <c r="D708" s="2">
        <v>11.0</v>
      </c>
      <c r="H708" s="2" t="s">
        <v>599</v>
      </c>
    </row>
    <row r="709" ht="15.75" customHeight="1">
      <c r="A709" s="2" t="s">
        <v>1332</v>
      </c>
      <c r="B709" s="2" t="s">
        <v>360</v>
      </c>
      <c r="C709" s="6">
        <v>46099.78797453704</v>
      </c>
      <c r="D709" s="2">
        <v>4.0</v>
      </c>
      <c r="H709" s="2" t="s">
        <v>599</v>
      </c>
    </row>
    <row r="710" ht="15.75" customHeight="1">
      <c r="A710" s="2" t="s">
        <v>1333</v>
      </c>
      <c r="B710" s="5" t="s">
        <v>189</v>
      </c>
      <c r="C710" s="6">
        <v>46099.788090277776</v>
      </c>
      <c r="D710" s="2">
        <v>1.0</v>
      </c>
      <c r="H710" s="2" t="s">
        <v>599</v>
      </c>
    </row>
    <row r="711" ht="15.75" customHeight="1">
      <c r="A711" s="2" t="s">
        <v>1334</v>
      </c>
      <c r="B711" s="5" t="s">
        <v>171</v>
      </c>
      <c r="C711" s="6">
        <v>46099.789085648146</v>
      </c>
      <c r="D711" s="2">
        <v>26.0</v>
      </c>
      <c r="H711" s="2" t="s">
        <v>599</v>
      </c>
    </row>
    <row r="712" ht="15.75" customHeight="1">
      <c r="A712" s="2" t="s">
        <v>1335</v>
      </c>
      <c r="B712" s="5" t="s">
        <v>120</v>
      </c>
      <c r="C712" s="6">
        <v>46099.78990740741</v>
      </c>
      <c r="D712" s="2">
        <v>3.0</v>
      </c>
      <c r="H712" s="2" t="s">
        <v>599</v>
      </c>
    </row>
    <row r="713" ht="15.75" customHeight="1">
      <c r="A713" s="2" t="s">
        <v>1336</v>
      </c>
      <c r="B713" s="2" t="s">
        <v>262</v>
      </c>
      <c r="C713" s="6">
        <v>46099.79043981482</v>
      </c>
      <c r="D713" s="2">
        <v>20.0</v>
      </c>
      <c r="H713" s="2" t="s">
        <v>599</v>
      </c>
    </row>
    <row r="714" ht="15.75" customHeight="1">
      <c r="A714" s="2" t="s">
        <v>1337</v>
      </c>
      <c r="B714" s="5" t="s">
        <v>180</v>
      </c>
      <c r="C714" s="6">
        <v>46099.79130787037</v>
      </c>
      <c r="D714" s="2">
        <v>14.0</v>
      </c>
      <c r="H714" s="2" t="s">
        <v>599</v>
      </c>
    </row>
    <row r="715" ht="15.75" customHeight="1">
      <c r="A715" s="2" t="s">
        <v>1338</v>
      </c>
      <c r="B715" s="2" t="s">
        <v>241</v>
      </c>
      <c r="C715" s="6">
        <v>46099.79174768519</v>
      </c>
      <c r="D715" s="2">
        <v>5.0</v>
      </c>
      <c r="H715" s="2" t="s">
        <v>599</v>
      </c>
    </row>
    <row r="716" ht="15.75" customHeight="1">
      <c r="A716" s="2" t="s">
        <v>1339</v>
      </c>
      <c r="B716" s="5" t="s">
        <v>134</v>
      </c>
      <c r="C716" s="6">
        <v>46099.79319444444</v>
      </c>
      <c r="D716" s="2">
        <v>20.0</v>
      </c>
      <c r="H716" s="2" t="s">
        <v>599</v>
      </c>
    </row>
    <row r="717" ht="15.75" customHeight="1">
      <c r="A717" s="2" t="s">
        <v>1340</v>
      </c>
      <c r="B717" s="5" t="s">
        <v>59</v>
      </c>
      <c r="C717" s="6">
        <v>46099.79332175926</v>
      </c>
      <c r="D717" s="2">
        <v>18.0</v>
      </c>
      <c r="H717" s="2" t="s">
        <v>599</v>
      </c>
    </row>
    <row r="718" ht="15.75" customHeight="1">
      <c r="A718" s="2" t="s">
        <v>1341</v>
      </c>
      <c r="B718" s="5" t="s">
        <v>217</v>
      </c>
      <c r="C718" s="6">
        <v>46099.79341435185</v>
      </c>
      <c r="D718" s="2">
        <v>2.0</v>
      </c>
      <c r="H718" s="2" t="s">
        <v>599</v>
      </c>
    </row>
    <row r="719" ht="15.75" customHeight="1">
      <c r="A719" s="2" t="s">
        <v>1342</v>
      </c>
      <c r="B719" s="2" t="s">
        <v>298</v>
      </c>
      <c r="C719" s="6">
        <v>46099.79349537037</v>
      </c>
      <c r="D719" s="2">
        <v>1.0</v>
      </c>
      <c r="H719" s="2" t="s">
        <v>599</v>
      </c>
    </row>
    <row r="720" ht="15.75" customHeight="1">
      <c r="A720" s="2" t="s">
        <v>1343</v>
      </c>
      <c r="B720" s="2" t="s">
        <v>393</v>
      </c>
      <c r="C720" s="6">
        <v>46099.79420138889</v>
      </c>
      <c r="D720" s="2">
        <v>2.0</v>
      </c>
      <c r="H720" s="2" t="s">
        <v>599</v>
      </c>
    </row>
    <row r="721" ht="15.75" customHeight="1">
      <c r="A721" s="2" t="s">
        <v>1344</v>
      </c>
      <c r="B721" s="5" t="s">
        <v>56</v>
      </c>
      <c r="C721" s="6">
        <v>46099.79445601852</v>
      </c>
      <c r="D721" s="2">
        <v>2.0</v>
      </c>
      <c r="H721" s="2" t="s">
        <v>599</v>
      </c>
    </row>
    <row r="722" ht="15.75" customHeight="1">
      <c r="A722" s="2" t="s">
        <v>1345</v>
      </c>
      <c r="B722" s="5" t="s">
        <v>66</v>
      </c>
      <c r="C722" s="6">
        <v>46099.79460648148</v>
      </c>
      <c r="D722" s="2">
        <v>1.0</v>
      </c>
      <c r="H722" s="2" t="s">
        <v>599</v>
      </c>
    </row>
    <row r="723" ht="15.75" customHeight="1">
      <c r="A723" s="2" t="s">
        <v>1346</v>
      </c>
      <c r="B723" s="5" t="s">
        <v>214</v>
      </c>
      <c r="C723" s="6">
        <v>46099.79688657408</v>
      </c>
      <c r="D723" s="2">
        <v>26.0</v>
      </c>
      <c r="H723" s="2" t="s">
        <v>599</v>
      </c>
    </row>
    <row r="724" ht="15.75" customHeight="1">
      <c r="A724" s="2" t="s">
        <v>1347</v>
      </c>
      <c r="B724" s="2" t="s">
        <v>333</v>
      </c>
      <c r="C724" s="6">
        <v>46100.63725694444</v>
      </c>
      <c r="D724" s="2">
        <v>-12.0</v>
      </c>
      <c r="H724" s="2" t="s">
        <v>599</v>
      </c>
    </row>
    <row r="725" ht="15.75" customHeight="1">
      <c r="A725" s="2" t="s">
        <v>1348</v>
      </c>
      <c r="B725" s="2" t="s">
        <v>289</v>
      </c>
      <c r="C725" s="6">
        <v>46100.63731481481</v>
      </c>
      <c r="D725" s="2">
        <v>-11.0</v>
      </c>
      <c r="H725" s="2" t="s">
        <v>599</v>
      </c>
    </row>
    <row r="726" ht="15.75" customHeight="1">
      <c r="A726" s="2" t="s">
        <v>1349</v>
      </c>
      <c r="B726" s="2" t="s">
        <v>330</v>
      </c>
      <c r="C726" s="6">
        <v>46100.63736111111</v>
      </c>
      <c r="D726" s="2">
        <v>-2.0</v>
      </c>
      <c r="H726" s="2" t="s">
        <v>599</v>
      </c>
    </row>
    <row r="727" ht="15.75" customHeight="1">
      <c r="A727" s="2" t="s">
        <v>1350</v>
      </c>
      <c r="B727" s="5" t="s">
        <v>217</v>
      </c>
      <c r="C727" s="6">
        <v>46100.63744212963</v>
      </c>
      <c r="D727" s="2">
        <v>-15.0</v>
      </c>
      <c r="H727" s="2" t="s">
        <v>599</v>
      </c>
    </row>
    <row r="728" ht="15.75" customHeight="1">
      <c r="A728" s="2" t="s">
        <v>1351</v>
      </c>
      <c r="B728" s="2" t="s">
        <v>271</v>
      </c>
      <c r="C728" s="6">
        <v>46100.637511574074</v>
      </c>
      <c r="D728" s="2">
        <v>-15.0</v>
      </c>
      <c r="H728" s="2" t="s">
        <v>599</v>
      </c>
    </row>
    <row r="729" ht="15.75" customHeight="1">
      <c r="A729" s="2" t="s">
        <v>1352</v>
      </c>
      <c r="B729" s="2" t="s">
        <v>286</v>
      </c>
      <c r="C729" s="6">
        <v>46100.63758101852</v>
      </c>
      <c r="D729" s="2">
        <v>-15.0</v>
      </c>
      <c r="H729" s="2" t="s">
        <v>599</v>
      </c>
    </row>
    <row r="730" ht="15.75" customHeight="1">
      <c r="A730" s="2" t="s">
        <v>1353</v>
      </c>
      <c r="B730" s="2" t="s">
        <v>384</v>
      </c>
      <c r="C730" s="6">
        <v>46100.63856481481</v>
      </c>
      <c r="D730" s="2">
        <v>-12.0</v>
      </c>
      <c r="H730" s="2" t="s">
        <v>599</v>
      </c>
    </row>
    <row r="731" ht="15.75" customHeight="1">
      <c r="A731" s="2" t="s">
        <v>1354</v>
      </c>
      <c r="B731" s="2" t="s">
        <v>372</v>
      </c>
      <c r="C731" s="6">
        <v>46100.63866898148</v>
      </c>
      <c r="D731" s="2">
        <v>-6.0</v>
      </c>
      <c r="H731" s="2" t="s">
        <v>599</v>
      </c>
    </row>
    <row r="732" ht="15.75" customHeight="1">
      <c r="A732" s="2" t="s">
        <v>1355</v>
      </c>
      <c r="B732" s="5" t="s">
        <v>165</v>
      </c>
      <c r="C732" s="6">
        <v>46100.638819444444</v>
      </c>
      <c r="D732" s="2">
        <v>-8.0</v>
      </c>
      <c r="H732" s="2" t="s">
        <v>599</v>
      </c>
    </row>
    <row r="733" ht="15.75" customHeight="1">
      <c r="A733" s="2" t="s">
        <v>1356</v>
      </c>
      <c r="B733" s="2" t="s">
        <v>295</v>
      </c>
      <c r="C733" s="6">
        <v>46100.639236111114</v>
      </c>
      <c r="D733" s="2">
        <v>-12.0</v>
      </c>
      <c r="H733" s="2" t="s">
        <v>599</v>
      </c>
    </row>
    <row r="734" ht="15.75" customHeight="1">
      <c r="A734" s="2" t="s">
        <v>1357</v>
      </c>
      <c r="B734" s="2" t="s">
        <v>369</v>
      </c>
      <c r="C734" s="6">
        <v>46100.6403125</v>
      </c>
      <c r="D734" s="2">
        <v>-10.0</v>
      </c>
      <c r="H734" s="2" t="s">
        <v>599</v>
      </c>
    </row>
    <row r="735" ht="15.75" customHeight="1">
      <c r="A735" s="2" t="s">
        <v>1358</v>
      </c>
      <c r="B735" s="5" t="s">
        <v>96</v>
      </c>
      <c r="C735" s="6">
        <v>46100.64074074074</v>
      </c>
      <c r="D735" s="2">
        <v>-2.0</v>
      </c>
      <c r="H735" s="2" t="s">
        <v>599</v>
      </c>
    </row>
    <row r="736" ht="15.75" customHeight="1">
      <c r="A736" s="2" t="s">
        <v>1359</v>
      </c>
      <c r="B736" s="5" t="s">
        <v>59</v>
      </c>
      <c r="C736" s="6">
        <v>46100.64150462963</v>
      </c>
      <c r="D736" s="2">
        <v>-2.0</v>
      </c>
      <c r="H736" s="2" t="s">
        <v>599</v>
      </c>
    </row>
    <row r="737" ht="15.75" customHeight="1">
      <c r="A737" s="2" t="s">
        <v>1360</v>
      </c>
      <c r="B737" s="5" t="s">
        <v>134</v>
      </c>
      <c r="C737" s="6">
        <v>46100.64157407408</v>
      </c>
      <c r="D737" s="2">
        <v>-8.0</v>
      </c>
      <c r="H737" s="2" t="s">
        <v>599</v>
      </c>
    </row>
    <row r="738" ht="15.75" customHeight="1">
      <c r="A738" s="2" t="s">
        <v>1361</v>
      </c>
      <c r="B738" s="5" t="s">
        <v>142</v>
      </c>
      <c r="C738" s="6">
        <v>46100.64234953704</v>
      </c>
      <c r="D738" s="2">
        <v>-10.0</v>
      </c>
      <c r="H738" s="2" t="s">
        <v>599</v>
      </c>
    </row>
    <row r="739" ht="15.75" customHeight="1">
      <c r="A739" s="2" t="s">
        <v>1362</v>
      </c>
      <c r="B739" s="2" t="s">
        <v>387</v>
      </c>
      <c r="C739" s="6">
        <v>46100.64246527778</v>
      </c>
      <c r="D739" s="2">
        <v>-4.0</v>
      </c>
      <c r="H739" s="2" t="s">
        <v>599</v>
      </c>
    </row>
    <row r="740" ht="15.75" customHeight="1">
      <c r="A740" s="2" t="s">
        <v>1363</v>
      </c>
      <c r="B740" s="2" t="s">
        <v>301</v>
      </c>
      <c r="C740" s="6">
        <v>46100.64256944445</v>
      </c>
      <c r="D740" s="2">
        <v>-1.0</v>
      </c>
      <c r="H740" s="2" t="s">
        <v>599</v>
      </c>
    </row>
    <row r="741" ht="15.75" customHeight="1">
      <c r="A741" s="2" t="s">
        <v>1364</v>
      </c>
      <c r="B741" s="5" t="s">
        <v>82</v>
      </c>
      <c r="C741" s="6">
        <v>46100.64266203704</v>
      </c>
      <c r="D741" s="2">
        <v>-5.0</v>
      </c>
      <c r="H741" s="2" t="s">
        <v>599</v>
      </c>
    </row>
    <row r="742" ht="15.75" customHeight="1">
      <c r="A742" s="2" t="s">
        <v>1365</v>
      </c>
      <c r="B742" s="5" t="s">
        <v>192</v>
      </c>
      <c r="C742" s="6">
        <v>46100.644479166665</v>
      </c>
      <c r="D742" s="2">
        <v>-11.0</v>
      </c>
      <c r="H742" s="2" t="s">
        <v>599</v>
      </c>
    </row>
    <row r="743" ht="15.75" customHeight="1">
      <c r="A743" s="2" t="s">
        <v>1366</v>
      </c>
      <c r="B743" s="5" t="s">
        <v>214</v>
      </c>
      <c r="C743" s="6">
        <v>46100.64461805556</v>
      </c>
      <c r="D743" s="2">
        <v>-60.0</v>
      </c>
      <c r="H743" s="2" t="s">
        <v>599</v>
      </c>
    </row>
    <row r="744" ht="15.75" customHeight="1">
      <c r="A744" s="5" t="s">
        <v>1367</v>
      </c>
      <c r="B744" s="2" t="s">
        <v>327</v>
      </c>
      <c r="C744" s="6">
        <v>46100.64800925926</v>
      </c>
      <c r="D744" s="2">
        <v>-6.0</v>
      </c>
      <c r="H744" s="2" t="s">
        <v>599</v>
      </c>
    </row>
    <row r="745" ht="15.75" customHeight="1">
      <c r="A745" s="2" t="s">
        <v>1368</v>
      </c>
      <c r="B745" s="2" t="s">
        <v>289</v>
      </c>
      <c r="C745" s="6">
        <v>46100.64805555555</v>
      </c>
      <c r="D745" s="2">
        <v>-12.0</v>
      </c>
      <c r="H745" s="2" t="s">
        <v>599</v>
      </c>
    </row>
    <row r="746" ht="15.75" customHeight="1">
      <c r="A746" s="2" t="s">
        <v>1369</v>
      </c>
      <c r="B746" s="5" t="s">
        <v>217</v>
      </c>
      <c r="C746" s="6">
        <v>46100.648148148146</v>
      </c>
      <c r="D746" s="2">
        <v>-18.0</v>
      </c>
      <c r="H746" s="2" t="s">
        <v>599</v>
      </c>
    </row>
    <row r="747" ht="15.75" customHeight="1">
      <c r="A747" s="2" t="s">
        <v>1370</v>
      </c>
      <c r="B747" s="2" t="s">
        <v>286</v>
      </c>
      <c r="C747" s="6">
        <v>46100.64833333333</v>
      </c>
      <c r="D747" s="2">
        <v>-2.0</v>
      </c>
      <c r="H747" s="2" t="s">
        <v>599</v>
      </c>
    </row>
    <row r="748" ht="15.75" customHeight="1">
      <c r="A748" s="2" t="s">
        <v>1371</v>
      </c>
      <c r="B748" s="2" t="s">
        <v>271</v>
      </c>
      <c r="C748" s="6">
        <v>46100.64840277778</v>
      </c>
      <c r="D748" s="2">
        <v>-15.0</v>
      </c>
      <c r="H748" s="2" t="s">
        <v>599</v>
      </c>
    </row>
    <row r="749" ht="15.75" customHeight="1">
      <c r="A749" s="2" t="s">
        <v>1372</v>
      </c>
      <c r="B749" s="5" t="s">
        <v>171</v>
      </c>
      <c r="C749" s="6">
        <v>46100.64853009259</v>
      </c>
      <c r="D749" s="2">
        <v>-10.0</v>
      </c>
      <c r="H749" s="2" t="s">
        <v>599</v>
      </c>
    </row>
    <row r="750" ht="15.75" customHeight="1">
      <c r="A750" s="2" t="s">
        <v>1373</v>
      </c>
      <c r="B750" s="2" t="s">
        <v>295</v>
      </c>
      <c r="C750" s="6">
        <v>46100.64891203704</v>
      </c>
      <c r="D750" s="2">
        <v>-24.0</v>
      </c>
      <c r="H750" s="2" t="s">
        <v>599</v>
      </c>
    </row>
    <row r="751" ht="15.75" customHeight="1">
      <c r="A751" s="2" t="s">
        <v>1374</v>
      </c>
      <c r="B751" s="5" t="s">
        <v>96</v>
      </c>
      <c r="C751" s="6">
        <v>46100.649097222224</v>
      </c>
      <c r="D751" s="2">
        <v>-6.0</v>
      </c>
      <c r="H751" s="2" t="s">
        <v>599</v>
      </c>
    </row>
    <row r="752" ht="15.75" customHeight="1">
      <c r="A752" s="2" t="s">
        <v>1375</v>
      </c>
      <c r="B752" s="2" t="s">
        <v>342</v>
      </c>
      <c r="C752" s="6">
        <v>46100.64969907407</v>
      </c>
      <c r="D752" s="2">
        <v>-12.0</v>
      </c>
      <c r="H752" s="2" t="s">
        <v>599</v>
      </c>
    </row>
    <row r="753" ht="15.75" customHeight="1">
      <c r="A753" s="2" t="s">
        <v>1376</v>
      </c>
      <c r="B753" s="5" t="s">
        <v>59</v>
      </c>
      <c r="C753" s="6">
        <v>46100.65001157407</v>
      </c>
      <c r="D753" s="2">
        <v>-7.0</v>
      </c>
      <c r="H753" s="2" t="s">
        <v>599</v>
      </c>
    </row>
    <row r="754" ht="15.75" customHeight="1">
      <c r="A754" s="2" t="s">
        <v>1377</v>
      </c>
      <c r="B754" s="5" t="s">
        <v>134</v>
      </c>
      <c r="C754" s="6">
        <v>46100.65010416666</v>
      </c>
      <c r="D754" s="2">
        <v>-4.0</v>
      </c>
      <c r="H754" s="2" t="s">
        <v>599</v>
      </c>
    </row>
    <row r="755" ht="15.75" customHeight="1">
      <c r="A755" s="5" t="s">
        <v>1378</v>
      </c>
      <c r="B755" s="5" t="s">
        <v>214</v>
      </c>
      <c r="C755" s="6">
        <v>46100.650347222225</v>
      </c>
      <c r="D755" s="2">
        <v>-60.0</v>
      </c>
      <c r="H755" s="2" t="s">
        <v>599</v>
      </c>
    </row>
    <row r="756" ht="15.75" customHeight="1">
      <c r="A756" s="2" t="s">
        <v>1379</v>
      </c>
      <c r="B756" s="5" t="s">
        <v>192</v>
      </c>
      <c r="C756" s="6">
        <v>46100.650821759256</v>
      </c>
      <c r="D756" s="2">
        <v>-6.0</v>
      </c>
      <c r="H756" s="2" t="s">
        <v>599</v>
      </c>
    </row>
    <row r="757" ht="15.75" customHeight="1">
      <c r="A757" s="2" t="s">
        <v>1380</v>
      </c>
      <c r="B757" s="2" t="s">
        <v>387</v>
      </c>
      <c r="C757" s="6">
        <v>46100.652407407404</v>
      </c>
      <c r="D757" s="2">
        <v>-5.0</v>
      </c>
      <c r="H757" s="2" t="s">
        <v>599</v>
      </c>
    </row>
    <row r="758" ht="15.75" customHeight="1">
      <c r="A758" s="2" t="s">
        <v>1381</v>
      </c>
      <c r="B758" s="5" t="s">
        <v>142</v>
      </c>
      <c r="C758" s="6">
        <v>46100.65256944444</v>
      </c>
      <c r="D758" s="2">
        <v>-11.0</v>
      </c>
      <c r="H758" s="2" t="s">
        <v>599</v>
      </c>
    </row>
    <row r="759" ht="15.75" customHeight="1">
      <c r="A759" s="2" t="s">
        <v>1382</v>
      </c>
      <c r="B759" s="5" t="s">
        <v>82</v>
      </c>
      <c r="C759" s="6">
        <v>46100.65273148148</v>
      </c>
      <c r="D759" s="2">
        <v>-6.0</v>
      </c>
      <c r="H759" s="2" t="s">
        <v>599</v>
      </c>
    </row>
    <row r="760" ht="15.75" customHeight="1">
      <c r="A760" s="2" t="s">
        <v>1383</v>
      </c>
      <c r="B760" s="2" t="s">
        <v>301</v>
      </c>
      <c r="C760" s="6">
        <v>46100.65284722222</v>
      </c>
      <c r="D760" s="2">
        <v>-4.0</v>
      </c>
      <c r="H760" s="2" t="s">
        <v>599</v>
      </c>
    </row>
    <row r="761" ht="15.75" customHeight="1">
      <c r="A761" s="2" t="s">
        <v>1384</v>
      </c>
      <c r="B761" s="5" t="s">
        <v>206</v>
      </c>
      <c r="C761" s="6">
        <v>46100.65324074074</v>
      </c>
      <c r="D761" s="2">
        <v>-3.0</v>
      </c>
      <c r="H761" s="2" t="s">
        <v>599</v>
      </c>
    </row>
    <row r="762" ht="15.75" customHeight="1">
      <c r="A762" s="2" t="s">
        <v>1385</v>
      </c>
      <c r="B762" s="5" t="s">
        <v>195</v>
      </c>
      <c r="C762" s="6">
        <v>46100.71581018518</v>
      </c>
      <c r="D762" s="2">
        <v>14.0</v>
      </c>
      <c r="E762" s="2" t="s">
        <v>1386</v>
      </c>
      <c r="H762" s="2" t="s">
        <v>571</v>
      </c>
    </row>
    <row r="763" ht="15.75" customHeight="1">
      <c r="A763" s="2" t="s">
        <v>1387</v>
      </c>
      <c r="B763" s="5" t="s">
        <v>14</v>
      </c>
      <c r="C763" s="6">
        <v>46100.715902777774</v>
      </c>
      <c r="D763" s="2">
        <v>80.0</v>
      </c>
      <c r="E763" s="2" t="s">
        <v>1386</v>
      </c>
      <c r="H763" s="2" t="s">
        <v>571</v>
      </c>
    </row>
    <row r="764" ht="15.75" customHeight="1">
      <c r="A764" s="5" t="s">
        <v>1388</v>
      </c>
      <c r="B764" s="2" t="s">
        <v>289</v>
      </c>
      <c r="C764" s="6">
        <v>46100.7175</v>
      </c>
      <c r="D764" s="2">
        <v>108.0</v>
      </c>
      <c r="E764" s="2" t="s">
        <v>1389</v>
      </c>
      <c r="H764" s="2" t="s">
        <v>571</v>
      </c>
    </row>
    <row r="765" ht="15.75" customHeight="1">
      <c r="A765" s="2" t="s">
        <v>1390</v>
      </c>
      <c r="B765" s="2" t="s">
        <v>384</v>
      </c>
      <c r="C765" s="6">
        <v>46100.71858796296</v>
      </c>
      <c r="D765" s="2">
        <v>72.0</v>
      </c>
      <c r="E765" s="2" t="s">
        <v>1389</v>
      </c>
      <c r="H765" s="2" t="s">
        <v>571</v>
      </c>
    </row>
    <row r="766" ht="15.75" customHeight="1">
      <c r="A766" s="2" t="s">
        <v>1391</v>
      </c>
      <c r="B766" s="2" t="s">
        <v>378</v>
      </c>
      <c r="C766" s="6">
        <v>46100.71863425926</v>
      </c>
      <c r="D766" s="2">
        <v>48.0</v>
      </c>
      <c r="E766" s="2" t="s">
        <v>1389</v>
      </c>
      <c r="H766" s="2" t="s">
        <v>571</v>
      </c>
    </row>
    <row r="767" ht="15.75" customHeight="1">
      <c r="A767" s="2" t="s">
        <v>1392</v>
      </c>
      <c r="B767" s="2" t="s">
        <v>375</v>
      </c>
      <c r="C767" s="6">
        <v>46100.718680555554</v>
      </c>
      <c r="D767" s="2">
        <v>48.0</v>
      </c>
      <c r="E767" s="2" t="s">
        <v>1389</v>
      </c>
      <c r="H767" s="2" t="s">
        <v>571</v>
      </c>
    </row>
    <row r="768" ht="15.75" customHeight="1">
      <c r="A768" s="2" t="s">
        <v>1393</v>
      </c>
      <c r="B768" s="5" t="s">
        <v>165</v>
      </c>
      <c r="C768" s="6">
        <v>46100.71873842592</v>
      </c>
      <c r="D768" s="2">
        <v>24.0</v>
      </c>
      <c r="E768" s="2" t="s">
        <v>1389</v>
      </c>
      <c r="H768" s="2" t="s">
        <v>571</v>
      </c>
    </row>
    <row r="769" ht="15.75" customHeight="1">
      <c r="A769" s="2" t="s">
        <v>1394</v>
      </c>
      <c r="B769" s="5" t="s">
        <v>192</v>
      </c>
      <c r="C769" s="6">
        <v>46100.71878472222</v>
      </c>
      <c r="D769" s="2">
        <v>48.0</v>
      </c>
      <c r="E769" s="2" t="s">
        <v>1389</v>
      </c>
      <c r="H769" s="2" t="s">
        <v>571</v>
      </c>
    </row>
    <row r="770" ht="15.75" customHeight="1">
      <c r="A770" s="2" t="s">
        <v>1395</v>
      </c>
      <c r="B770" s="2" t="s">
        <v>271</v>
      </c>
      <c r="C770" s="6">
        <v>46100.720046296294</v>
      </c>
      <c r="D770" s="2">
        <v>75.0</v>
      </c>
      <c r="E770" s="2" t="s">
        <v>1396</v>
      </c>
      <c r="H770" s="2" t="s">
        <v>571</v>
      </c>
    </row>
    <row r="771" ht="15.75" customHeight="1">
      <c r="A771" s="2" t="s">
        <v>1397</v>
      </c>
      <c r="B771" s="5" t="s">
        <v>217</v>
      </c>
      <c r="C771" s="6">
        <v>46100.72009259259</v>
      </c>
      <c r="D771" s="2">
        <v>150.0</v>
      </c>
      <c r="E771" s="2" t="s">
        <v>1396</v>
      </c>
      <c r="H771" s="2" t="s">
        <v>571</v>
      </c>
    </row>
    <row r="772" ht="15.75" customHeight="1">
      <c r="A772" s="2" t="s">
        <v>1398</v>
      </c>
      <c r="B772" s="5" t="s">
        <v>82</v>
      </c>
      <c r="C772" s="6">
        <v>46100.720138888886</v>
      </c>
      <c r="D772" s="2">
        <v>48.0</v>
      </c>
      <c r="E772" s="2" t="s">
        <v>1396</v>
      </c>
      <c r="H772" s="2" t="s">
        <v>571</v>
      </c>
    </row>
    <row r="773" ht="15.75" customHeight="1">
      <c r="A773" s="2" t="s">
        <v>1399</v>
      </c>
      <c r="B773" s="2" t="s">
        <v>327</v>
      </c>
      <c r="C773" s="6">
        <v>46101.01467592592</v>
      </c>
      <c r="D773" s="2">
        <v>-4.0</v>
      </c>
      <c r="H773" s="2" t="s">
        <v>599</v>
      </c>
    </row>
    <row r="774" ht="15.75" customHeight="1">
      <c r="A774" s="2" t="s">
        <v>1400</v>
      </c>
      <c r="B774" s="5" t="s">
        <v>217</v>
      </c>
      <c r="C774" s="6">
        <v>46101.01483796296</v>
      </c>
      <c r="D774" s="2">
        <v>-7.0</v>
      </c>
      <c r="H774" s="2" t="s">
        <v>599</v>
      </c>
    </row>
    <row r="775" ht="15.75" customHeight="1">
      <c r="A775" s="2" t="s">
        <v>1401</v>
      </c>
      <c r="B775" s="2" t="s">
        <v>271</v>
      </c>
      <c r="C775" s="6">
        <v>46101.01490740741</v>
      </c>
      <c r="D775" s="2">
        <v>-5.0</v>
      </c>
      <c r="H775" s="2" t="s">
        <v>599</v>
      </c>
    </row>
    <row r="776" ht="15.75" customHeight="1">
      <c r="A776" s="2" t="s">
        <v>1402</v>
      </c>
      <c r="B776" s="2" t="s">
        <v>289</v>
      </c>
      <c r="C776" s="6">
        <v>46101.015706018516</v>
      </c>
      <c r="D776" s="2">
        <v>-6.0</v>
      </c>
      <c r="H776" s="2" t="s">
        <v>599</v>
      </c>
    </row>
    <row r="777" ht="15.75" customHeight="1">
      <c r="A777" s="2" t="s">
        <v>1403</v>
      </c>
      <c r="B777" s="5" t="s">
        <v>120</v>
      </c>
      <c r="C777" s="6">
        <v>46101.01642361111</v>
      </c>
      <c r="D777" s="2">
        <v>-3.0</v>
      </c>
      <c r="H777" s="2" t="s">
        <v>599</v>
      </c>
    </row>
    <row r="778" ht="15.75" customHeight="1">
      <c r="A778" s="2" t="s">
        <v>1404</v>
      </c>
      <c r="B778" s="2" t="s">
        <v>271</v>
      </c>
      <c r="C778" s="6">
        <v>46101.017175925925</v>
      </c>
      <c r="D778" s="2">
        <v>-6.0</v>
      </c>
      <c r="H778" s="2" t="s">
        <v>599</v>
      </c>
    </row>
    <row r="779" ht="15.75" customHeight="1">
      <c r="A779" s="2" t="s">
        <v>1405</v>
      </c>
      <c r="B779" s="2" t="s">
        <v>271</v>
      </c>
      <c r="C779" s="6">
        <v>46101.017372685186</v>
      </c>
      <c r="D779" s="2">
        <v>1.0</v>
      </c>
      <c r="H779" s="2" t="s">
        <v>599</v>
      </c>
    </row>
    <row r="780" ht="15.75" customHeight="1">
      <c r="A780" s="2" t="s">
        <v>1406</v>
      </c>
      <c r="B780" s="5" t="s">
        <v>165</v>
      </c>
      <c r="C780" s="6">
        <v>46101.01803240741</v>
      </c>
      <c r="D780" s="2">
        <v>-8.0</v>
      </c>
      <c r="H780" s="2" t="s">
        <v>599</v>
      </c>
    </row>
    <row r="781" ht="15.75" customHeight="1">
      <c r="A781" s="2" t="s">
        <v>1407</v>
      </c>
      <c r="B781" s="2" t="s">
        <v>372</v>
      </c>
      <c r="C781" s="6">
        <v>46101.01912037037</v>
      </c>
      <c r="D781" s="2">
        <v>-13.0</v>
      </c>
      <c r="H781" s="2" t="s">
        <v>599</v>
      </c>
    </row>
    <row r="782" ht="15.75" customHeight="1">
      <c r="A782" s="2" t="s">
        <v>1408</v>
      </c>
      <c r="B782" s="2" t="s">
        <v>378</v>
      </c>
      <c r="C782" s="6">
        <v>46101.01957175926</v>
      </c>
      <c r="D782" s="2">
        <v>-12.0</v>
      </c>
      <c r="H782" s="2" t="s">
        <v>599</v>
      </c>
    </row>
    <row r="783" ht="15.75" customHeight="1">
      <c r="A783" s="2" t="s">
        <v>1409</v>
      </c>
      <c r="B783" s="2" t="s">
        <v>384</v>
      </c>
      <c r="C783" s="6">
        <v>46101.02018518518</v>
      </c>
      <c r="D783" s="2">
        <v>-5.0</v>
      </c>
      <c r="H783" s="2" t="s">
        <v>599</v>
      </c>
    </row>
    <row r="784" ht="15.75" customHeight="1">
      <c r="A784" s="2" t="s">
        <v>1410</v>
      </c>
      <c r="B784" s="2" t="s">
        <v>375</v>
      </c>
      <c r="C784" s="6">
        <v>46101.02028935185</v>
      </c>
      <c r="D784" s="2">
        <v>-4.0</v>
      </c>
      <c r="H784" s="2" t="s">
        <v>599</v>
      </c>
    </row>
    <row r="785" ht="15.75" customHeight="1">
      <c r="A785" s="2" t="s">
        <v>1411</v>
      </c>
      <c r="B785" s="5" t="s">
        <v>189</v>
      </c>
      <c r="C785" s="6">
        <v>46101.02162037037</v>
      </c>
      <c r="D785" s="2">
        <v>-8.0</v>
      </c>
      <c r="H785" s="2" t="s">
        <v>599</v>
      </c>
    </row>
    <row r="786" ht="15.75" customHeight="1">
      <c r="A786" s="2" t="s">
        <v>1412</v>
      </c>
      <c r="B786" s="5" t="s">
        <v>59</v>
      </c>
      <c r="C786" s="6">
        <v>46101.021875</v>
      </c>
      <c r="D786" s="2">
        <v>-1.0</v>
      </c>
      <c r="H786" s="2" t="s">
        <v>599</v>
      </c>
    </row>
    <row r="787" ht="15.75" customHeight="1">
      <c r="A787" s="2" t="s">
        <v>1413</v>
      </c>
      <c r="B787" s="2" t="s">
        <v>283</v>
      </c>
      <c r="C787" s="6">
        <v>46101.02206018518</v>
      </c>
      <c r="D787" s="2">
        <v>-3.0</v>
      </c>
      <c r="H787" s="2" t="s">
        <v>599</v>
      </c>
    </row>
    <row r="788" ht="15.75" customHeight="1">
      <c r="A788" s="2" t="s">
        <v>1414</v>
      </c>
      <c r="B788" s="5" t="s">
        <v>214</v>
      </c>
      <c r="C788" s="6">
        <v>46101.02609953703</v>
      </c>
      <c r="D788" s="2">
        <v>48.0</v>
      </c>
      <c r="H788" s="2" t="s">
        <v>599</v>
      </c>
    </row>
    <row r="789" ht="15.75" customHeight="1">
      <c r="A789" s="2" t="s">
        <v>1415</v>
      </c>
      <c r="B789" s="5" t="s">
        <v>214</v>
      </c>
      <c r="C789" s="6">
        <v>46101.02622685185</v>
      </c>
      <c r="D789" s="2">
        <v>-48.0</v>
      </c>
      <c r="H789" s="2" t="s">
        <v>599</v>
      </c>
    </row>
    <row r="790" ht="15.75" customHeight="1">
      <c r="A790" s="2" t="s">
        <v>1416</v>
      </c>
      <c r="B790" s="5" t="s">
        <v>214</v>
      </c>
      <c r="C790" s="6">
        <v>46101.02631944444</v>
      </c>
      <c r="D790" s="2">
        <v>-48.0</v>
      </c>
      <c r="H790" s="2" t="s">
        <v>599</v>
      </c>
    </row>
    <row r="791" ht="15.75" customHeight="1">
      <c r="A791" s="2" t="s">
        <v>1417</v>
      </c>
      <c r="B791" s="5" t="s">
        <v>142</v>
      </c>
      <c r="C791" s="6">
        <v>46101.02649305556</v>
      </c>
      <c r="D791" s="2">
        <v>-14.0</v>
      </c>
      <c r="H791" s="2" t="s">
        <v>599</v>
      </c>
    </row>
    <row r="792" ht="15.75" customHeight="1">
      <c r="A792" s="2" t="s">
        <v>1418</v>
      </c>
      <c r="B792" s="2" t="s">
        <v>381</v>
      </c>
      <c r="C792" s="6">
        <v>46101.02674768519</v>
      </c>
      <c r="D792" s="2">
        <v>-1.0</v>
      </c>
      <c r="H792" s="2" t="s">
        <v>599</v>
      </c>
    </row>
    <row r="793" ht="15.75" customHeight="1">
      <c r="A793" s="2" t="s">
        <v>1419</v>
      </c>
      <c r="B793" s="2" t="s">
        <v>387</v>
      </c>
      <c r="C793" s="6">
        <v>46101.02686342593</v>
      </c>
      <c r="D793" s="2">
        <v>-3.0</v>
      </c>
      <c r="H793" s="2" t="s">
        <v>599</v>
      </c>
    </row>
    <row r="794" ht="15.75" customHeight="1">
      <c r="A794" s="2" t="s">
        <v>1420</v>
      </c>
      <c r="B794" s="2" t="s">
        <v>301</v>
      </c>
      <c r="C794" s="6">
        <v>46101.026967592596</v>
      </c>
      <c r="D794" s="2">
        <v>-7.0</v>
      </c>
      <c r="H794" s="2" t="s">
        <v>599</v>
      </c>
    </row>
    <row r="795" ht="15.75" customHeight="1">
      <c r="A795" s="2" t="s">
        <v>1421</v>
      </c>
      <c r="B795" s="5" t="s">
        <v>82</v>
      </c>
      <c r="C795" s="6">
        <v>46101.0271875</v>
      </c>
      <c r="D795" s="2">
        <v>-7.0</v>
      </c>
      <c r="H795" s="2" t="s">
        <v>599</v>
      </c>
    </row>
    <row r="796" ht="15.75" customHeight="1">
      <c r="A796" s="2" t="s">
        <v>1422</v>
      </c>
      <c r="B796" s="2" t="s">
        <v>247</v>
      </c>
      <c r="C796" s="6">
        <v>46101.027453703704</v>
      </c>
      <c r="D796" s="2">
        <v>-6.0</v>
      </c>
      <c r="H796" s="2" t="s">
        <v>599</v>
      </c>
    </row>
    <row r="797" ht="15.75" customHeight="1">
      <c r="A797" s="2" t="s">
        <v>1423</v>
      </c>
      <c r="B797" s="2" t="s">
        <v>310</v>
      </c>
      <c r="C797" s="6">
        <v>46101.027604166666</v>
      </c>
      <c r="D797" s="2">
        <v>-1.0</v>
      </c>
      <c r="H797" s="2" t="s">
        <v>599</v>
      </c>
    </row>
    <row r="798" ht="15.75" customHeight="1">
      <c r="A798" s="2" t="s">
        <v>1424</v>
      </c>
      <c r="B798" s="2" t="s">
        <v>354</v>
      </c>
      <c r="C798" s="6">
        <v>46101.02773148148</v>
      </c>
      <c r="D798" s="2">
        <v>-3.0</v>
      </c>
      <c r="H798" s="2" t="s">
        <v>599</v>
      </c>
    </row>
    <row r="799" ht="15.75" customHeight="1">
      <c r="A799" s="2" t="s">
        <v>1425</v>
      </c>
      <c r="B799" s="5" t="s">
        <v>192</v>
      </c>
      <c r="C799" s="6">
        <v>46101.02792824074</v>
      </c>
      <c r="D799" s="2">
        <v>-6.0</v>
      </c>
      <c r="H799" s="2" t="s">
        <v>599</v>
      </c>
    </row>
    <row r="800" ht="15.75" customHeight="1">
      <c r="A800" s="2" t="s">
        <v>1426</v>
      </c>
      <c r="B800" s="5" t="s">
        <v>250</v>
      </c>
      <c r="C800" s="6">
        <v>46101.03046296296</v>
      </c>
      <c r="D800" s="2">
        <v>7.0</v>
      </c>
      <c r="H800" s="2" t="s">
        <v>599</v>
      </c>
    </row>
    <row r="801" ht="15.75" customHeight="1">
      <c r="A801" s="2" t="s">
        <v>1427</v>
      </c>
      <c r="B801" s="2" t="s">
        <v>271</v>
      </c>
      <c r="C801" s="6">
        <v>46101.03072916667</v>
      </c>
      <c r="D801" s="2">
        <v>9.0</v>
      </c>
      <c r="H801" s="2" t="s">
        <v>599</v>
      </c>
    </row>
    <row r="802" ht="15.75" customHeight="1">
      <c r="A802" s="2" t="s">
        <v>1428</v>
      </c>
      <c r="B802" s="2" t="s">
        <v>289</v>
      </c>
      <c r="C802" s="6">
        <v>46101.03086805555</v>
      </c>
      <c r="D802" s="2">
        <v>1.0</v>
      </c>
      <c r="H802" s="2" t="s">
        <v>599</v>
      </c>
    </row>
    <row r="803" ht="15.75" customHeight="1">
      <c r="A803" s="2" t="s">
        <v>1429</v>
      </c>
      <c r="B803" s="5" t="s">
        <v>217</v>
      </c>
      <c r="C803" s="6">
        <v>46101.031180555554</v>
      </c>
      <c r="D803" s="2">
        <v>13.0</v>
      </c>
      <c r="H803" s="2" t="s">
        <v>599</v>
      </c>
    </row>
    <row r="804" ht="15.75" customHeight="1">
      <c r="A804" s="2" t="s">
        <v>1430</v>
      </c>
      <c r="B804" s="5" t="s">
        <v>214</v>
      </c>
      <c r="C804" s="6">
        <v>46101.65354166667</v>
      </c>
      <c r="D804" s="2">
        <v>-24.0</v>
      </c>
      <c r="H804" s="2" t="s">
        <v>571</v>
      </c>
    </row>
    <row r="805" ht="15.75" customHeight="1">
      <c r="A805" s="2" t="s">
        <v>1431</v>
      </c>
      <c r="B805" s="5" t="s">
        <v>192</v>
      </c>
      <c r="C805" s="6">
        <v>46101.653715277775</v>
      </c>
      <c r="D805" s="2">
        <v>-14.0</v>
      </c>
      <c r="H805" s="2" t="s">
        <v>571</v>
      </c>
    </row>
    <row r="806" ht="15.75" customHeight="1">
      <c r="A806" s="2" t="s">
        <v>1432</v>
      </c>
      <c r="B806" s="5" t="s">
        <v>217</v>
      </c>
      <c r="C806" s="6">
        <v>46101.653865740744</v>
      </c>
      <c r="D806" s="2">
        <v>-30.0</v>
      </c>
      <c r="H806" s="2" t="s">
        <v>571</v>
      </c>
    </row>
    <row r="807" ht="15.75" customHeight="1">
      <c r="A807" s="2" t="s">
        <v>1433</v>
      </c>
      <c r="B807" s="2" t="s">
        <v>271</v>
      </c>
      <c r="C807" s="6">
        <v>46101.65398148148</v>
      </c>
      <c r="D807" s="2">
        <v>-12.0</v>
      </c>
      <c r="H807" s="2" t="s">
        <v>571</v>
      </c>
    </row>
    <row r="808" ht="15.75" customHeight="1">
      <c r="A808" s="2" t="s">
        <v>1434</v>
      </c>
      <c r="B808" s="2" t="s">
        <v>327</v>
      </c>
      <c r="C808" s="6">
        <v>46101.6541087963</v>
      </c>
      <c r="D808" s="2">
        <v>-7.0</v>
      </c>
      <c r="H808" s="2" t="s">
        <v>571</v>
      </c>
    </row>
    <row r="809" ht="15.75" customHeight="1">
      <c r="A809" s="2" t="s">
        <v>1435</v>
      </c>
      <c r="B809" s="5" t="s">
        <v>142</v>
      </c>
      <c r="C809" s="6">
        <v>46101.65423611111</v>
      </c>
      <c r="D809" s="2">
        <v>-10.0</v>
      </c>
      <c r="H809" s="2" t="s">
        <v>571</v>
      </c>
    </row>
    <row r="810" ht="15.75" customHeight="1">
      <c r="A810" s="2" t="s">
        <v>1436</v>
      </c>
      <c r="B810" s="5" t="s">
        <v>82</v>
      </c>
      <c r="C810" s="6">
        <v>46101.6544212963</v>
      </c>
      <c r="D810" s="2">
        <v>-6.0</v>
      </c>
      <c r="H810" s="2" t="s">
        <v>571</v>
      </c>
    </row>
    <row r="811" ht="15.75" customHeight="1">
      <c r="A811" s="2" t="s">
        <v>1437</v>
      </c>
      <c r="B811" s="5" t="s">
        <v>96</v>
      </c>
      <c r="C811" s="6">
        <v>46101.65456018518</v>
      </c>
      <c r="D811" s="2">
        <v>-6.0</v>
      </c>
      <c r="H811" s="2" t="s">
        <v>571</v>
      </c>
    </row>
    <row r="812" ht="15.75" customHeight="1">
      <c r="A812" s="2" t="s">
        <v>1438</v>
      </c>
      <c r="B812" s="2" t="s">
        <v>342</v>
      </c>
      <c r="C812" s="6">
        <v>46101.6546875</v>
      </c>
      <c r="D812" s="2">
        <v>-12.0</v>
      </c>
      <c r="H812" s="2" t="s">
        <v>571</v>
      </c>
    </row>
    <row r="813" ht="15.75" customHeight="1">
      <c r="A813" s="2" t="s">
        <v>1439</v>
      </c>
      <c r="B813" s="5" t="s">
        <v>14</v>
      </c>
      <c r="C813" s="6">
        <v>46101.65483796296</v>
      </c>
      <c r="D813" s="2">
        <v>-20.0</v>
      </c>
      <c r="H813" s="2" t="s">
        <v>571</v>
      </c>
    </row>
    <row r="814" ht="15.75" customHeight="1">
      <c r="A814" s="2" t="s">
        <v>1440</v>
      </c>
      <c r="B814" s="2" t="s">
        <v>384</v>
      </c>
      <c r="C814" s="6">
        <v>46101.65497685185</v>
      </c>
      <c r="D814" s="2">
        <v>-7.0</v>
      </c>
      <c r="H814" s="2" t="s">
        <v>571</v>
      </c>
    </row>
    <row r="815" ht="15.75" customHeight="1">
      <c r="A815" s="5" t="s">
        <v>1441</v>
      </c>
      <c r="B815" s="2" t="s">
        <v>378</v>
      </c>
      <c r="C815" s="6">
        <v>46101.65508101852</v>
      </c>
      <c r="D815" s="2">
        <v>-7.0</v>
      </c>
      <c r="H815" s="2" t="s">
        <v>571</v>
      </c>
    </row>
    <row r="816" ht="15.75" customHeight="1">
      <c r="A816" s="2" t="s">
        <v>1442</v>
      </c>
      <c r="B816" s="2" t="s">
        <v>375</v>
      </c>
      <c r="C816" s="6">
        <v>46101.65521990741</v>
      </c>
      <c r="D816" s="2">
        <v>-7.0</v>
      </c>
      <c r="H816" s="2" t="s">
        <v>571</v>
      </c>
    </row>
    <row r="817" ht="15.75" customHeight="1">
      <c r="A817" s="2" t="s">
        <v>1443</v>
      </c>
      <c r="B817" s="5" t="s">
        <v>171</v>
      </c>
      <c r="C817" s="6">
        <v>46101.655335648145</v>
      </c>
      <c r="D817" s="2">
        <v>-6.0</v>
      </c>
      <c r="H817" s="2" t="s">
        <v>571</v>
      </c>
    </row>
    <row r="818" ht="15.75" customHeight="1">
      <c r="A818" s="2" t="s">
        <v>1444</v>
      </c>
      <c r="B818" s="2" t="s">
        <v>369</v>
      </c>
      <c r="C818" s="6">
        <v>46101.65546296296</v>
      </c>
      <c r="D818" s="2">
        <v>-7.0</v>
      </c>
      <c r="H818" s="2" t="s">
        <v>571</v>
      </c>
    </row>
    <row r="819" ht="15.75" customHeight="1">
      <c r="A819" s="2" t="s">
        <v>1445</v>
      </c>
      <c r="B819" s="2" t="s">
        <v>295</v>
      </c>
      <c r="C819" s="6">
        <v>46101.655636574076</v>
      </c>
      <c r="D819" s="2">
        <v>-24.0</v>
      </c>
      <c r="H819" s="2" t="s">
        <v>571</v>
      </c>
    </row>
    <row r="820" ht="15.75" customHeight="1">
      <c r="A820" s="2" t="s">
        <v>1446</v>
      </c>
      <c r="B820" s="2" t="s">
        <v>289</v>
      </c>
      <c r="C820" s="6">
        <v>46102.539143518516</v>
      </c>
      <c r="D820" s="2">
        <v>-14.0</v>
      </c>
      <c r="H820" s="2" t="s">
        <v>599</v>
      </c>
    </row>
    <row r="821" ht="15.75" customHeight="1">
      <c r="A821" s="2" t="s">
        <v>1447</v>
      </c>
      <c r="B821" s="2" t="s">
        <v>333</v>
      </c>
      <c r="C821" s="6">
        <v>46102.53920138889</v>
      </c>
      <c r="D821" s="2">
        <v>-12.0</v>
      </c>
      <c r="H821" s="2" t="s">
        <v>599</v>
      </c>
    </row>
    <row r="822" ht="15.75" customHeight="1">
      <c r="A822" s="2" t="s">
        <v>1448</v>
      </c>
      <c r="B822" s="5" t="s">
        <v>217</v>
      </c>
      <c r="C822" s="6">
        <v>46102.53928240741</v>
      </c>
      <c r="D822" s="2">
        <v>-15.0</v>
      </c>
      <c r="H822" s="2" t="s">
        <v>599</v>
      </c>
    </row>
    <row r="823" ht="15.75" customHeight="1">
      <c r="A823" s="2" t="s">
        <v>1449</v>
      </c>
      <c r="B823" s="2" t="s">
        <v>271</v>
      </c>
      <c r="C823" s="6">
        <v>46102.53936342592</v>
      </c>
      <c r="D823" s="2">
        <v>-15.0</v>
      </c>
      <c r="H823" s="2" t="s">
        <v>599</v>
      </c>
    </row>
    <row r="824" ht="15.75" customHeight="1">
      <c r="A824" s="2" t="s">
        <v>1450</v>
      </c>
      <c r="B824" s="2" t="s">
        <v>271</v>
      </c>
      <c r="C824" s="6">
        <v>46102.53949074074</v>
      </c>
      <c r="D824" s="2">
        <v>-12.0</v>
      </c>
      <c r="H824" s="2" t="s">
        <v>599</v>
      </c>
    </row>
    <row r="825" ht="15.75" customHeight="1">
      <c r="A825" s="2" t="s">
        <v>1451</v>
      </c>
      <c r="B825" s="5" t="s">
        <v>96</v>
      </c>
      <c r="C825" s="6">
        <v>46102.540925925925</v>
      </c>
      <c r="D825" s="2">
        <v>-14.0</v>
      </c>
      <c r="H825" s="2" t="s">
        <v>599</v>
      </c>
    </row>
    <row r="826" ht="15.75" customHeight="1">
      <c r="A826" s="2" t="s">
        <v>1452</v>
      </c>
      <c r="B826" s="5" t="s">
        <v>14</v>
      </c>
      <c r="C826" s="6">
        <v>46102.54100694445</v>
      </c>
      <c r="D826" s="2">
        <v>-10.0</v>
      </c>
      <c r="H826" s="2" t="s">
        <v>599</v>
      </c>
    </row>
    <row r="827" ht="15.75" customHeight="1">
      <c r="A827" s="2" t="s">
        <v>1453</v>
      </c>
      <c r="B827" s="2" t="s">
        <v>384</v>
      </c>
      <c r="C827" s="6">
        <v>46102.54194444444</v>
      </c>
      <c r="D827" s="2">
        <v>-12.0</v>
      </c>
      <c r="H827" s="2" t="s">
        <v>599</v>
      </c>
    </row>
    <row r="828" ht="15.75" customHeight="1">
      <c r="A828" s="2" t="s">
        <v>1454</v>
      </c>
      <c r="B828" s="2" t="s">
        <v>375</v>
      </c>
      <c r="C828" s="6">
        <v>46102.542025462964</v>
      </c>
      <c r="D828" s="2">
        <v>-12.0</v>
      </c>
      <c r="H828" s="2" t="s">
        <v>599</v>
      </c>
    </row>
    <row r="829" ht="15.75" customHeight="1">
      <c r="A829" s="2" t="s">
        <v>1455</v>
      </c>
      <c r="B829" s="2" t="s">
        <v>378</v>
      </c>
      <c r="C829" s="6">
        <v>46102.54215277778</v>
      </c>
      <c r="D829" s="2">
        <v>-12.0</v>
      </c>
      <c r="H829" s="2" t="s">
        <v>599</v>
      </c>
    </row>
    <row r="830" ht="15.75" customHeight="1">
      <c r="A830" s="2" t="s">
        <v>1456</v>
      </c>
      <c r="B830" s="5" t="s">
        <v>165</v>
      </c>
      <c r="C830" s="6">
        <v>46102.54268518519</v>
      </c>
      <c r="D830" s="2">
        <v>-10.0</v>
      </c>
      <c r="H830" s="2" t="s">
        <v>599</v>
      </c>
    </row>
    <row r="831" ht="15.75" customHeight="1">
      <c r="A831" s="2" t="s">
        <v>1457</v>
      </c>
      <c r="B831" s="2" t="s">
        <v>369</v>
      </c>
      <c r="C831" s="6">
        <v>46102.543229166666</v>
      </c>
      <c r="D831" s="2">
        <v>-9.0</v>
      </c>
      <c r="H831" s="2" t="s">
        <v>599</v>
      </c>
    </row>
    <row r="832" ht="15.75" customHeight="1">
      <c r="A832" s="2" t="s">
        <v>1458</v>
      </c>
      <c r="B832" s="5" t="s">
        <v>134</v>
      </c>
      <c r="C832" s="6">
        <v>46102.54344907407</v>
      </c>
      <c r="D832" s="2">
        <v>-12.0</v>
      </c>
      <c r="H832" s="2" t="s">
        <v>599</v>
      </c>
    </row>
    <row r="833" ht="15.75" customHeight="1">
      <c r="A833" s="2" t="s">
        <v>1459</v>
      </c>
      <c r="B833" s="5" t="s">
        <v>59</v>
      </c>
      <c r="C833" s="6">
        <v>46102.54357638889</v>
      </c>
      <c r="D833" s="2">
        <v>-4.0</v>
      </c>
      <c r="H833" s="2" t="s">
        <v>599</v>
      </c>
    </row>
    <row r="834" ht="15.75" customHeight="1">
      <c r="A834" s="2" t="s">
        <v>1460</v>
      </c>
      <c r="B834" s="5" t="s">
        <v>142</v>
      </c>
      <c r="C834" s="6">
        <v>46102.54369212963</v>
      </c>
      <c r="D834" s="2">
        <v>-21.0</v>
      </c>
      <c r="H834" s="2" t="s">
        <v>599</v>
      </c>
    </row>
    <row r="835" ht="15.75" customHeight="1">
      <c r="A835" s="2" t="s">
        <v>1461</v>
      </c>
      <c r="B835" s="2" t="s">
        <v>387</v>
      </c>
      <c r="C835" s="6">
        <v>46102.54387731481</v>
      </c>
      <c r="D835" s="2">
        <v>-7.0</v>
      </c>
      <c r="H835" s="2" t="s">
        <v>599</v>
      </c>
    </row>
    <row r="836" ht="15.75" customHeight="1">
      <c r="A836" s="2" t="s">
        <v>1462</v>
      </c>
      <c r="B836" s="2" t="s">
        <v>301</v>
      </c>
      <c r="C836" s="6">
        <v>46102.543958333335</v>
      </c>
      <c r="D836" s="2">
        <v>-7.0</v>
      </c>
      <c r="H836" s="2" t="s">
        <v>599</v>
      </c>
    </row>
    <row r="837" ht="15.75" customHeight="1">
      <c r="A837" s="2" t="s">
        <v>1463</v>
      </c>
      <c r="B837" s="5" t="s">
        <v>82</v>
      </c>
      <c r="C837" s="6">
        <v>46102.54403935185</v>
      </c>
      <c r="D837" s="2">
        <v>-7.0</v>
      </c>
      <c r="H837" s="2" t="s">
        <v>599</v>
      </c>
    </row>
    <row r="838" ht="15.75" customHeight="1">
      <c r="A838" s="2" t="s">
        <v>1464</v>
      </c>
      <c r="B838" s="5" t="s">
        <v>206</v>
      </c>
      <c r="C838" s="6">
        <v>46102.544120370374</v>
      </c>
      <c r="D838" s="2">
        <v>-5.0</v>
      </c>
      <c r="H838" s="2" t="s">
        <v>599</v>
      </c>
    </row>
    <row r="839" ht="15.75" customHeight="1">
      <c r="A839" s="2" t="s">
        <v>1465</v>
      </c>
      <c r="B839" s="5" t="s">
        <v>192</v>
      </c>
      <c r="C839" s="6">
        <v>46102.544224537036</v>
      </c>
      <c r="D839" s="2">
        <v>-24.0</v>
      </c>
      <c r="H839" s="2" t="s">
        <v>599</v>
      </c>
    </row>
    <row r="840" ht="15.75" customHeight="1">
      <c r="A840" s="2" t="s">
        <v>1466</v>
      </c>
      <c r="B840" s="5" t="s">
        <v>214</v>
      </c>
      <c r="C840" s="6">
        <v>46102.544328703705</v>
      </c>
      <c r="D840" s="2">
        <v>-60.0</v>
      </c>
      <c r="H840" s="2" t="s">
        <v>599</v>
      </c>
    </row>
    <row r="841" ht="15.75" customHeight="1">
      <c r="A841" s="2" t="s">
        <v>1467</v>
      </c>
      <c r="B841" s="2" t="s">
        <v>295</v>
      </c>
      <c r="C841" s="6">
        <v>46102.54673611111</v>
      </c>
      <c r="D841" s="2">
        <v>-12.0</v>
      </c>
      <c r="H841" s="2" t="s">
        <v>599</v>
      </c>
    </row>
    <row r="842" ht="15.75" customHeight="1">
      <c r="A842" s="2" t="s">
        <v>1468</v>
      </c>
      <c r="B842" s="5" t="s">
        <v>217</v>
      </c>
      <c r="C842" s="6">
        <v>46102.66347222222</v>
      </c>
      <c r="D842" s="2">
        <v>-30.0</v>
      </c>
      <c r="H842" s="2" t="s">
        <v>599</v>
      </c>
    </row>
    <row r="843" ht="15.75" customHeight="1">
      <c r="A843" s="2" t="s">
        <v>1469</v>
      </c>
      <c r="B843" s="2" t="s">
        <v>271</v>
      </c>
      <c r="C843" s="6">
        <v>46102.663622685184</v>
      </c>
      <c r="D843" s="2">
        <v>-15.0</v>
      </c>
      <c r="H843" s="2" t="s">
        <v>599</v>
      </c>
    </row>
    <row r="844" ht="15.75" customHeight="1">
      <c r="A844" s="2" t="s">
        <v>1470</v>
      </c>
      <c r="B844" s="5" t="s">
        <v>192</v>
      </c>
      <c r="C844" s="6">
        <v>46102.664039351854</v>
      </c>
      <c r="D844" s="2">
        <v>-4.0</v>
      </c>
      <c r="H844" s="2" t="s">
        <v>599</v>
      </c>
    </row>
    <row r="845" ht="15.75" customHeight="1">
      <c r="A845" s="2" t="s">
        <v>1471</v>
      </c>
      <c r="B845" s="5" t="s">
        <v>59</v>
      </c>
      <c r="C845" s="6">
        <v>46102.6649537037</v>
      </c>
      <c r="D845" s="2">
        <v>-6.0</v>
      </c>
      <c r="H845" s="2" t="s">
        <v>599</v>
      </c>
    </row>
    <row r="846" ht="15.75" customHeight="1">
      <c r="A846" s="2" t="s">
        <v>1472</v>
      </c>
      <c r="B846" s="5" t="s">
        <v>134</v>
      </c>
      <c r="C846" s="6">
        <v>46102.66505787037</v>
      </c>
      <c r="D846" s="2">
        <v>-12.0</v>
      </c>
      <c r="H846" s="2" t="s">
        <v>599</v>
      </c>
    </row>
    <row r="847" ht="15.75" customHeight="1">
      <c r="A847" s="2" t="s">
        <v>1473</v>
      </c>
      <c r="B847" s="5" t="s">
        <v>96</v>
      </c>
      <c r="C847" s="6">
        <v>46102.66578703704</v>
      </c>
      <c r="D847" s="2">
        <v>-5.0</v>
      </c>
      <c r="H847" s="2" t="s">
        <v>599</v>
      </c>
    </row>
    <row r="848" ht="15.75" customHeight="1">
      <c r="A848" s="2" t="s">
        <v>1474</v>
      </c>
      <c r="B848" s="5" t="s">
        <v>148</v>
      </c>
      <c r="C848" s="6">
        <v>46102.66600694445</v>
      </c>
      <c r="D848" s="2">
        <v>-3.0</v>
      </c>
      <c r="H848" s="2" t="s">
        <v>599</v>
      </c>
    </row>
    <row r="849" ht="15.75" customHeight="1">
      <c r="A849" s="2" t="s">
        <v>1475</v>
      </c>
      <c r="B849" s="5" t="s">
        <v>214</v>
      </c>
      <c r="C849" s="6">
        <v>46102.66643518519</v>
      </c>
      <c r="D849" s="2">
        <v>-24.0</v>
      </c>
      <c r="H849" s="2" t="s">
        <v>599</v>
      </c>
    </row>
    <row r="850" ht="15.75" customHeight="1">
      <c r="A850" s="2" t="s">
        <v>1476</v>
      </c>
      <c r="B850" s="2" t="s">
        <v>295</v>
      </c>
      <c r="C850" s="6">
        <v>46102.66730324074</v>
      </c>
      <c r="D850" s="2">
        <v>-12.0</v>
      </c>
      <c r="H850" s="2" t="s">
        <v>599</v>
      </c>
    </row>
    <row r="851" ht="15.75" customHeight="1">
      <c r="A851" s="2" t="s">
        <v>1477</v>
      </c>
      <c r="B851" s="5" t="s">
        <v>189</v>
      </c>
      <c r="C851" s="6">
        <v>46102.6674537037</v>
      </c>
      <c r="D851" s="2">
        <v>-3.0</v>
      </c>
      <c r="H851" s="2" t="s">
        <v>599</v>
      </c>
    </row>
    <row r="852" ht="15.75" customHeight="1">
      <c r="A852" s="2" t="s">
        <v>1478</v>
      </c>
      <c r="B852" s="5" t="s">
        <v>14</v>
      </c>
      <c r="C852" s="6">
        <v>46102.66761574074</v>
      </c>
      <c r="D852" s="2">
        <v>-10.0</v>
      </c>
      <c r="H852" s="2" t="s">
        <v>599</v>
      </c>
    </row>
    <row r="853" ht="15.75" customHeight="1">
      <c r="A853" s="2" t="s">
        <v>1479</v>
      </c>
      <c r="B853" s="5" t="s">
        <v>14</v>
      </c>
      <c r="C853" s="6">
        <v>46103.49744212963</v>
      </c>
      <c r="D853" s="2">
        <v>10.0</v>
      </c>
      <c r="H853" s="2" t="s">
        <v>599</v>
      </c>
    </row>
    <row r="854" ht="15.75" customHeight="1">
      <c r="A854" s="2" t="s">
        <v>1480</v>
      </c>
      <c r="B854" s="2" t="s">
        <v>381</v>
      </c>
      <c r="C854" s="6">
        <v>46103.49753472222</v>
      </c>
      <c r="D854" s="2">
        <v>-7.0</v>
      </c>
      <c r="H854" s="2" t="s">
        <v>599</v>
      </c>
    </row>
    <row r="855" ht="15.75" customHeight="1">
      <c r="A855" s="2" t="s">
        <v>1481</v>
      </c>
      <c r="B855" s="2" t="s">
        <v>387</v>
      </c>
      <c r="C855" s="6">
        <v>46103.497615740744</v>
      </c>
      <c r="D855" s="2">
        <v>7.0</v>
      </c>
      <c r="H855" s="2" t="s">
        <v>599</v>
      </c>
    </row>
    <row r="856" ht="15.75" customHeight="1">
      <c r="A856" s="2" t="s">
        <v>1482</v>
      </c>
      <c r="B856" s="2" t="s">
        <v>289</v>
      </c>
      <c r="C856" s="6">
        <v>46103.49930555555</v>
      </c>
      <c r="D856" s="2">
        <v>-14.0</v>
      </c>
      <c r="H856" s="2" t="s">
        <v>599</v>
      </c>
    </row>
    <row r="857" ht="15.75" customHeight="1">
      <c r="A857" s="2" t="s">
        <v>1483</v>
      </c>
      <c r="B857" s="2" t="s">
        <v>330</v>
      </c>
      <c r="C857" s="6">
        <v>46103.49936342592</v>
      </c>
      <c r="D857" s="2">
        <v>-1.0</v>
      </c>
      <c r="H857" s="2" t="s">
        <v>599</v>
      </c>
    </row>
    <row r="858" ht="15.75" customHeight="1">
      <c r="A858" s="2" t="s">
        <v>1484</v>
      </c>
      <c r="B858" s="2" t="s">
        <v>333</v>
      </c>
      <c r="C858" s="6">
        <v>46103.49946759259</v>
      </c>
      <c r="D858" s="2">
        <v>-12.0</v>
      </c>
      <c r="H858" s="2" t="s">
        <v>599</v>
      </c>
    </row>
    <row r="859" ht="15.75" customHeight="1">
      <c r="A859" s="2" t="s">
        <v>1485</v>
      </c>
      <c r="B859" s="5" t="s">
        <v>217</v>
      </c>
      <c r="C859" s="6">
        <v>46103.49958333333</v>
      </c>
      <c r="D859" s="2">
        <v>-30.0</v>
      </c>
      <c r="H859" s="2" t="s">
        <v>599</v>
      </c>
    </row>
    <row r="860" ht="15.75" customHeight="1">
      <c r="A860" s="2" t="s">
        <v>1486</v>
      </c>
      <c r="B860" s="2" t="s">
        <v>271</v>
      </c>
      <c r="C860" s="6">
        <v>46103.49966435185</v>
      </c>
      <c r="D860" s="2">
        <v>-15.0</v>
      </c>
      <c r="H860" s="2" t="s">
        <v>599</v>
      </c>
    </row>
    <row r="861" ht="15.75" customHeight="1">
      <c r="A861" s="2" t="s">
        <v>1487</v>
      </c>
      <c r="B861" s="5" t="s">
        <v>171</v>
      </c>
      <c r="C861" s="6">
        <v>46103.50009259259</v>
      </c>
      <c r="D861" s="2">
        <v>-10.0</v>
      </c>
      <c r="H861" s="2" t="s">
        <v>599</v>
      </c>
    </row>
    <row r="862" ht="15.75" customHeight="1">
      <c r="A862" s="2" t="s">
        <v>1488</v>
      </c>
      <c r="B862" s="2" t="s">
        <v>384</v>
      </c>
      <c r="C862" s="6">
        <v>46103.5021875</v>
      </c>
      <c r="D862" s="2">
        <v>-12.0</v>
      </c>
      <c r="H862" s="2" t="s">
        <v>599</v>
      </c>
    </row>
    <row r="863" ht="15.75" customHeight="1">
      <c r="A863" s="2" t="s">
        <v>1489</v>
      </c>
      <c r="B863" s="2" t="s">
        <v>375</v>
      </c>
      <c r="C863" s="6">
        <v>46103.50230324074</v>
      </c>
      <c r="D863" s="2">
        <v>-12.0</v>
      </c>
      <c r="H863" s="2" t="s">
        <v>599</v>
      </c>
    </row>
    <row r="864" ht="15.75" customHeight="1">
      <c r="A864" s="5" t="s">
        <v>1490</v>
      </c>
      <c r="B864" s="2" t="s">
        <v>378</v>
      </c>
      <c r="C864" s="6">
        <v>46103.50247685185</v>
      </c>
      <c r="D864" s="2">
        <v>-12.0</v>
      </c>
      <c r="H864" s="2" t="s">
        <v>599</v>
      </c>
    </row>
    <row r="865" ht="15.75" customHeight="1">
      <c r="A865" s="2" t="s">
        <v>1491</v>
      </c>
      <c r="B865" s="2" t="s">
        <v>372</v>
      </c>
      <c r="C865" s="6">
        <v>46103.502592592595</v>
      </c>
      <c r="D865" s="2">
        <v>-12.0</v>
      </c>
      <c r="H865" s="2" t="s">
        <v>599</v>
      </c>
    </row>
    <row r="866" ht="15.75" customHeight="1">
      <c r="A866" s="2" t="s">
        <v>1492</v>
      </c>
      <c r="B866" s="5" t="s">
        <v>14</v>
      </c>
      <c r="C866" s="6">
        <v>46103.503530092596</v>
      </c>
      <c r="D866" s="2">
        <v>-30.0</v>
      </c>
      <c r="H866" s="2" t="s">
        <v>599</v>
      </c>
    </row>
    <row r="867" ht="15.75" customHeight="1">
      <c r="A867" s="2" t="s">
        <v>1493</v>
      </c>
      <c r="B867" s="2" t="s">
        <v>295</v>
      </c>
      <c r="C867" s="6">
        <v>46103.50461805556</v>
      </c>
      <c r="D867" s="2">
        <v>-12.0</v>
      </c>
      <c r="H867" s="2" t="s">
        <v>599</v>
      </c>
    </row>
    <row r="868" ht="15.75" customHeight="1">
      <c r="A868" s="2" t="s">
        <v>1494</v>
      </c>
      <c r="B868" s="2" t="s">
        <v>369</v>
      </c>
      <c r="C868" s="6">
        <v>46103.5047337963</v>
      </c>
      <c r="D868" s="2">
        <v>-14.0</v>
      </c>
      <c r="H868" s="2" t="s">
        <v>599</v>
      </c>
    </row>
    <row r="869" ht="15.75" customHeight="1">
      <c r="A869" s="2" t="s">
        <v>1495</v>
      </c>
      <c r="B869" s="2" t="s">
        <v>342</v>
      </c>
      <c r="C869" s="6">
        <v>46103.50486111111</v>
      </c>
      <c r="D869" s="2">
        <v>-7.0</v>
      </c>
      <c r="H869" s="2" t="s">
        <v>599</v>
      </c>
    </row>
    <row r="870" ht="15.75" customHeight="1">
      <c r="A870" s="2" t="s">
        <v>1496</v>
      </c>
      <c r="B870" s="5" t="s">
        <v>96</v>
      </c>
      <c r="C870" s="6">
        <v>46103.50498842593</v>
      </c>
      <c r="D870" s="2">
        <v>-11.0</v>
      </c>
      <c r="H870" s="2" t="s">
        <v>599</v>
      </c>
    </row>
    <row r="871" ht="15.75" customHeight="1">
      <c r="A871" s="2" t="s">
        <v>1497</v>
      </c>
      <c r="B871" s="5" t="s">
        <v>59</v>
      </c>
      <c r="C871" s="6">
        <v>46103.50512731481</v>
      </c>
      <c r="D871" s="2">
        <v>-5.0</v>
      </c>
      <c r="H871" s="2" t="s">
        <v>599</v>
      </c>
    </row>
    <row r="872" ht="15.75" customHeight="1">
      <c r="A872" s="2" t="s">
        <v>1498</v>
      </c>
      <c r="B872" s="5" t="s">
        <v>142</v>
      </c>
      <c r="C872" s="6">
        <v>46103.50923611111</v>
      </c>
      <c r="D872" s="2">
        <v>-14.0</v>
      </c>
      <c r="H872" s="2" t="s">
        <v>599</v>
      </c>
    </row>
    <row r="873" ht="15.75" customHeight="1">
      <c r="A873" s="2" t="s">
        <v>1499</v>
      </c>
      <c r="B873" s="2" t="s">
        <v>301</v>
      </c>
      <c r="C873" s="6">
        <v>46103.509363425925</v>
      </c>
      <c r="D873" s="2">
        <v>-4.0</v>
      </c>
      <c r="H873" s="2" t="s">
        <v>599</v>
      </c>
    </row>
    <row r="874" ht="15.75" customHeight="1">
      <c r="A874" s="2" t="s">
        <v>1500</v>
      </c>
      <c r="B874" s="5" t="s">
        <v>82</v>
      </c>
      <c r="C874" s="6">
        <v>46103.50947916666</v>
      </c>
      <c r="D874" s="2">
        <v>-3.0</v>
      </c>
      <c r="H874" s="2" t="s">
        <v>599</v>
      </c>
    </row>
    <row r="875" ht="15.75" customHeight="1">
      <c r="A875" s="2" t="s">
        <v>1501</v>
      </c>
      <c r="B875" s="5" t="s">
        <v>214</v>
      </c>
      <c r="C875" s="6">
        <v>46103.509780092594</v>
      </c>
      <c r="D875" s="2">
        <v>-60.0</v>
      </c>
      <c r="H875" s="2" t="s">
        <v>599</v>
      </c>
    </row>
    <row r="876" ht="15.75" customHeight="1">
      <c r="A876" s="2" t="s">
        <v>1502</v>
      </c>
      <c r="B876" s="5" t="s">
        <v>217</v>
      </c>
      <c r="C876" s="6">
        <v>46103.52863425926</v>
      </c>
      <c r="D876" s="2">
        <v>-30.0</v>
      </c>
      <c r="H876" s="2" t="s">
        <v>599</v>
      </c>
    </row>
    <row r="877" ht="15.75" customHeight="1">
      <c r="A877" s="2" t="s">
        <v>1503</v>
      </c>
      <c r="B877" s="2" t="s">
        <v>271</v>
      </c>
      <c r="C877" s="6">
        <v>46103.528703703705</v>
      </c>
      <c r="D877" s="2">
        <v>-15.0</v>
      </c>
      <c r="H877" s="2" t="s">
        <v>599</v>
      </c>
    </row>
    <row r="878" ht="15.75" customHeight="1">
      <c r="A878" s="2" t="s">
        <v>1504</v>
      </c>
      <c r="B878" s="2" t="s">
        <v>289</v>
      </c>
      <c r="C878" s="6">
        <v>46103.528761574074</v>
      </c>
      <c r="D878" s="2">
        <v>-14.0</v>
      </c>
      <c r="H878" s="2" t="s">
        <v>599</v>
      </c>
    </row>
    <row r="879" ht="15.75" customHeight="1">
      <c r="A879" s="2" t="s">
        <v>1505</v>
      </c>
      <c r="B879" s="2" t="s">
        <v>289</v>
      </c>
      <c r="C879" s="6">
        <v>46103.528865740744</v>
      </c>
      <c r="D879" s="2">
        <v>-1.0</v>
      </c>
      <c r="H879" s="2" t="s">
        <v>599</v>
      </c>
    </row>
    <row r="880" ht="15.75" customHeight="1">
      <c r="A880" s="2" t="s">
        <v>1506</v>
      </c>
      <c r="B880" s="2" t="s">
        <v>327</v>
      </c>
      <c r="C880" s="6">
        <v>46103.528969907406</v>
      </c>
      <c r="D880" s="2">
        <v>-13.0</v>
      </c>
      <c r="H880" s="2" t="s">
        <v>599</v>
      </c>
    </row>
    <row r="881" ht="15.75" customHeight="1">
      <c r="A881" s="2" t="s">
        <v>1507</v>
      </c>
      <c r="B881" s="5" t="s">
        <v>171</v>
      </c>
      <c r="C881" s="6">
        <v>46103.561527777776</v>
      </c>
      <c r="D881" s="2">
        <v>-7.0</v>
      </c>
      <c r="H881" s="2" t="s">
        <v>599</v>
      </c>
    </row>
    <row r="882" ht="15.75" customHeight="1">
      <c r="A882" s="2" t="s">
        <v>1508</v>
      </c>
      <c r="B882" s="5" t="s">
        <v>192</v>
      </c>
      <c r="C882" s="6">
        <v>46103.56165509259</v>
      </c>
      <c r="D882" s="2">
        <v>-48.0</v>
      </c>
      <c r="H882" s="2" t="s">
        <v>599</v>
      </c>
    </row>
    <row r="883" ht="15.75" customHeight="1">
      <c r="A883" s="2" t="s">
        <v>1509</v>
      </c>
      <c r="B883" s="2" t="s">
        <v>384</v>
      </c>
      <c r="C883" s="6">
        <v>46103.56233796296</v>
      </c>
      <c r="D883" s="2">
        <v>-12.0</v>
      </c>
      <c r="H883" s="2" t="s">
        <v>599</v>
      </c>
    </row>
    <row r="884" ht="15.75" customHeight="1">
      <c r="A884" s="2" t="s">
        <v>1510</v>
      </c>
      <c r="B884" s="5" t="s">
        <v>214</v>
      </c>
      <c r="C884" s="6">
        <v>46103.562430555554</v>
      </c>
      <c r="D884" s="2">
        <v>600.0</v>
      </c>
      <c r="E884" s="2" t="s">
        <v>1511</v>
      </c>
      <c r="H884" s="2" t="s">
        <v>571</v>
      </c>
    </row>
    <row r="885" ht="15.75" customHeight="1">
      <c r="A885" s="2" t="s">
        <v>1512</v>
      </c>
      <c r="B885" s="2" t="s">
        <v>378</v>
      </c>
      <c r="C885" s="6">
        <v>46103.56244212963</v>
      </c>
      <c r="D885" s="2">
        <v>-5.0</v>
      </c>
      <c r="H885" s="2" t="s">
        <v>599</v>
      </c>
    </row>
    <row r="886" ht="15.75" customHeight="1">
      <c r="A886" s="2" t="s">
        <v>1513</v>
      </c>
      <c r="B886" s="2" t="s">
        <v>372</v>
      </c>
      <c r="C886" s="6">
        <v>46103.56255787037</v>
      </c>
      <c r="D886" s="2">
        <v>-12.0</v>
      </c>
      <c r="H886" s="2" t="s">
        <v>599</v>
      </c>
    </row>
    <row r="887" ht="15.75" customHeight="1">
      <c r="A887" s="2" t="s">
        <v>1514</v>
      </c>
      <c r="B887" s="5" t="s">
        <v>186</v>
      </c>
      <c r="C887" s="6">
        <v>46103.56284722222</v>
      </c>
      <c r="D887" s="2">
        <v>20.0</v>
      </c>
      <c r="E887" s="2" t="s">
        <v>1515</v>
      </c>
      <c r="H887" s="2" t="s">
        <v>571</v>
      </c>
    </row>
    <row r="888" ht="15.75" customHeight="1">
      <c r="A888" s="2" t="s">
        <v>1516</v>
      </c>
      <c r="B888" s="2" t="s">
        <v>375</v>
      </c>
      <c r="C888" s="6">
        <v>46103.56282407408</v>
      </c>
      <c r="D888" s="2">
        <v>-13.0</v>
      </c>
      <c r="H888" s="2" t="s">
        <v>599</v>
      </c>
    </row>
    <row r="889" ht="15.75" customHeight="1">
      <c r="A889" s="2" t="s">
        <v>1517</v>
      </c>
      <c r="B889" s="5" t="s">
        <v>165</v>
      </c>
      <c r="C889" s="6">
        <v>46103.56313657408</v>
      </c>
      <c r="D889" s="2">
        <v>-12.0</v>
      </c>
      <c r="H889" s="2" t="s">
        <v>599</v>
      </c>
    </row>
    <row r="890" ht="15.75" customHeight="1">
      <c r="A890" s="2" t="s">
        <v>1518</v>
      </c>
      <c r="B890" s="5" t="s">
        <v>192</v>
      </c>
      <c r="C890" s="6">
        <v>46103.56322916667</v>
      </c>
      <c r="D890" s="2">
        <v>120.0</v>
      </c>
      <c r="E890" s="2" t="s">
        <v>1519</v>
      </c>
      <c r="H890" s="2" t="s">
        <v>571</v>
      </c>
    </row>
    <row r="891" ht="15.75" customHeight="1">
      <c r="A891" s="2" t="s">
        <v>1520</v>
      </c>
      <c r="B891" s="2" t="s">
        <v>295</v>
      </c>
      <c r="C891" s="6">
        <v>46103.56422453704</v>
      </c>
      <c r="D891" s="2">
        <v>-24.0</v>
      </c>
      <c r="H891" s="2" t="s">
        <v>599</v>
      </c>
    </row>
    <row r="892" ht="15.75" customHeight="1">
      <c r="A892" s="2" t="s">
        <v>1521</v>
      </c>
      <c r="B892" s="5" t="s">
        <v>142</v>
      </c>
      <c r="C892" s="6">
        <v>46103.5643287037</v>
      </c>
      <c r="D892" s="2">
        <v>72.0</v>
      </c>
      <c r="E892" s="2" t="s">
        <v>1522</v>
      </c>
      <c r="H892" s="2" t="s">
        <v>571</v>
      </c>
    </row>
    <row r="893" ht="15.75" customHeight="1">
      <c r="A893" s="2" t="s">
        <v>1523</v>
      </c>
      <c r="B893" s="5" t="s">
        <v>134</v>
      </c>
      <c r="C893" s="6">
        <v>46103.564375</v>
      </c>
      <c r="D893" s="2">
        <v>54.0</v>
      </c>
      <c r="E893" s="2" t="s">
        <v>1522</v>
      </c>
      <c r="H893" s="2" t="s">
        <v>571</v>
      </c>
    </row>
    <row r="894" ht="15.75" customHeight="1">
      <c r="A894" s="2" t="s">
        <v>1524</v>
      </c>
      <c r="B894" s="2" t="s">
        <v>369</v>
      </c>
      <c r="C894" s="6">
        <v>46103.56458333333</v>
      </c>
      <c r="D894" s="2">
        <v>-14.0</v>
      </c>
      <c r="H894" s="2" t="s">
        <v>599</v>
      </c>
    </row>
    <row r="895" ht="15.75" customHeight="1">
      <c r="A895" s="2" t="s">
        <v>1525</v>
      </c>
      <c r="B895" s="2" t="s">
        <v>372</v>
      </c>
      <c r="C895" s="6">
        <v>46103.565</v>
      </c>
      <c r="D895" s="2">
        <v>24.0</v>
      </c>
      <c r="E895" s="2" t="s">
        <v>1526</v>
      </c>
      <c r="H895" s="2" t="s">
        <v>571</v>
      </c>
    </row>
    <row r="896" ht="15.75" customHeight="1">
      <c r="A896" s="2" t="s">
        <v>1527</v>
      </c>
      <c r="B896" s="2" t="s">
        <v>375</v>
      </c>
      <c r="C896" s="6">
        <v>46103.565034722225</v>
      </c>
      <c r="D896" s="2">
        <v>24.0</v>
      </c>
      <c r="E896" s="2" t="s">
        <v>1526</v>
      </c>
      <c r="H896" s="2" t="s">
        <v>571</v>
      </c>
    </row>
    <row r="897" ht="15.75" customHeight="1">
      <c r="A897" s="2" t="s">
        <v>1528</v>
      </c>
      <c r="B897" s="2" t="s">
        <v>378</v>
      </c>
      <c r="C897" s="6">
        <v>46103.56642361111</v>
      </c>
      <c r="D897" s="2">
        <v>24.0</v>
      </c>
      <c r="E897" s="2" t="s">
        <v>1526</v>
      </c>
      <c r="H897" s="2" t="s">
        <v>571</v>
      </c>
    </row>
    <row r="898" ht="15.75" customHeight="1">
      <c r="A898" s="2" t="s">
        <v>1529</v>
      </c>
      <c r="B898" s="5" t="s">
        <v>250</v>
      </c>
      <c r="C898" s="6">
        <v>46103.566469907404</v>
      </c>
      <c r="D898" s="2">
        <v>-8.0</v>
      </c>
      <c r="H898" s="2" t="s">
        <v>599</v>
      </c>
    </row>
    <row r="899" ht="15.75" customHeight="1">
      <c r="A899" s="5" t="s">
        <v>1530</v>
      </c>
      <c r="B899" s="5" t="s">
        <v>165</v>
      </c>
      <c r="C899" s="6">
        <v>46103.56873842593</v>
      </c>
      <c r="D899" s="2">
        <v>-24.0</v>
      </c>
      <c r="H899" s="2" t="s">
        <v>599</v>
      </c>
    </row>
    <row r="900" ht="15.75" customHeight="1">
      <c r="A900" s="2" t="s">
        <v>1531</v>
      </c>
      <c r="B900" s="5" t="s">
        <v>134</v>
      </c>
      <c r="C900" s="6">
        <v>46103.569768518515</v>
      </c>
      <c r="D900" s="2">
        <v>-14.0</v>
      </c>
      <c r="H900" s="2" t="s">
        <v>599</v>
      </c>
    </row>
    <row r="901" ht="15.75" customHeight="1">
      <c r="A901" s="2" t="s">
        <v>1532</v>
      </c>
      <c r="B901" s="2" t="s">
        <v>342</v>
      </c>
      <c r="C901" s="6">
        <v>46103.56997685185</v>
      </c>
      <c r="D901" s="2">
        <v>-7.0</v>
      </c>
      <c r="H901" s="2" t="s">
        <v>599</v>
      </c>
    </row>
    <row r="902" ht="15.75" customHeight="1">
      <c r="A902" s="2" t="s">
        <v>1533</v>
      </c>
      <c r="B902" s="5" t="s">
        <v>214</v>
      </c>
      <c r="C902" s="6">
        <v>46103.57016203704</v>
      </c>
      <c r="D902" s="2">
        <v>-60.0</v>
      </c>
      <c r="H902" s="2" t="s">
        <v>599</v>
      </c>
    </row>
    <row r="903" ht="15.75" customHeight="1">
      <c r="A903" s="2" t="s">
        <v>1534</v>
      </c>
      <c r="B903" s="5" t="s">
        <v>192</v>
      </c>
      <c r="C903" s="6">
        <v>46103.5703125</v>
      </c>
      <c r="D903" s="2">
        <v>-24.0</v>
      </c>
      <c r="H903" s="2" t="s">
        <v>599</v>
      </c>
    </row>
    <row r="904" ht="15.75" customHeight="1">
      <c r="A904" s="2" t="s">
        <v>1535</v>
      </c>
      <c r="B904" s="5" t="s">
        <v>142</v>
      </c>
      <c r="C904" s="6">
        <v>46103.570439814815</v>
      </c>
      <c r="D904" s="2">
        <v>-13.0</v>
      </c>
      <c r="H904" s="2" t="s">
        <v>599</v>
      </c>
    </row>
    <row r="905" ht="15.75" customHeight="1">
      <c r="A905" s="2" t="s">
        <v>1536</v>
      </c>
      <c r="B905" s="2" t="s">
        <v>301</v>
      </c>
      <c r="C905" s="6">
        <v>46103.5705787037</v>
      </c>
      <c r="D905" s="2">
        <v>-7.0</v>
      </c>
      <c r="H905" s="2" t="s">
        <v>599</v>
      </c>
    </row>
    <row r="906" ht="15.75" customHeight="1">
      <c r="A906" s="2" t="s">
        <v>1537</v>
      </c>
      <c r="B906" s="5" t="s">
        <v>82</v>
      </c>
      <c r="C906" s="6">
        <v>46103.57072916667</v>
      </c>
      <c r="D906" s="2">
        <v>-7.0</v>
      </c>
      <c r="H906" s="2" t="s">
        <v>599</v>
      </c>
    </row>
    <row r="907" ht="15.75" customHeight="1">
      <c r="A907" s="2" t="s">
        <v>1538</v>
      </c>
      <c r="B907" s="2" t="s">
        <v>381</v>
      </c>
      <c r="C907" s="6">
        <v>46103.57084490741</v>
      </c>
      <c r="D907" s="2">
        <v>-6.0</v>
      </c>
      <c r="H907" s="2" t="s">
        <v>599</v>
      </c>
    </row>
    <row r="908" ht="15.75" customHeight="1">
      <c r="A908" s="2" t="s">
        <v>1539</v>
      </c>
      <c r="B908" s="2" t="s">
        <v>289</v>
      </c>
      <c r="C908" s="6">
        <v>46103.57603009259</v>
      </c>
      <c r="D908" s="2">
        <v>-18.0</v>
      </c>
      <c r="H908" s="2" t="s">
        <v>599</v>
      </c>
    </row>
    <row r="909" ht="15.75" customHeight="1">
      <c r="A909" s="2" t="s">
        <v>1540</v>
      </c>
      <c r="B909" s="5" t="s">
        <v>217</v>
      </c>
      <c r="C909" s="6">
        <v>46103.57653935185</v>
      </c>
      <c r="D909" s="2">
        <v>-45.0</v>
      </c>
      <c r="H909" s="2" t="s">
        <v>599</v>
      </c>
    </row>
    <row r="910" ht="15.75" customHeight="1">
      <c r="A910" s="5" t="s">
        <v>1541</v>
      </c>
      <c r="B910" s="2" t="s">
        <v>295</v>
      </c>
      <c r="C910" s="6">
        <v>46103.57666666667</v>
      </c>
      <c r="D910" s="2">
        <v>-17.0</v>
      </c>
      <c r="H910" s="2" t="s">
        <v>599</v>
      </c>
    </row>
    <row r="911" ht="15.75" customHeight="1">
      <c r="A911" s="2" t="s">
        <v>1542</v>
      </c>
      <c r="B911" s="5" t="s">
        <v>214</v>
      </c>
      <c r="C911" s="6">
        <v>46103.576875</v>
      </c>
      <c r="D911" s="2">
        <v>-36.0</v>
      </c>
      <c r="H911" s="2" t="s">
        <v>599</v>
      </c>
    </row>
    <row r="912" ht="15.75" customHeight="1">
      <c r="A912" s="2" t="s">
        <v>1543</v>
      </c>
      <c r="B912" s="5" t="s">
        <v>142</v>
      </c>
      <c r="C912" s="6">
        <v>46103.578993055555</v>
      </c>
      <c r="D912" s="2">
        <v>-13.0</v>
      </c>
      <c r="H912" s="2" t="s">
        <v>599</v>
      </c>
    </row>
    <row r="913" ht="15.75" customHeight="1">
      <c r="A913" s="2" t="s">
        <v>1544</v>
      </c>
      <c r="B913" s="5" t="s">
        <v>82</v>
      </c>
      <c r="C913" s="6">
        <v>46103.57916666667</v>
      </c>
      <c r="D913" s="2">
        <v>-3.0</v>
      </c>
      <c r="H913" s="2" t="s">
        <v>599</v>
      </c>
    </row>
    <row r="914" ht="15.75" customHeight="1">
      <c r="A914" s="2" t="s">
        <v>1545</v>
      </c>
      <c r="B914" s="2" t="s">
        <v>301</v>
      </c>
      <c r="C914" s="6">
        <v>46103.57925925926</v>
      </c>
      <c r="D914" s="2">
        <v>-5.0</v>
      </c>
      <c r="H914" s="2" t="s">
        <v>599</v>
      </c>
    </row>
    <row r="915" ht="15.75" customHeight="1">
      <c r="A915" s="2" t="s">
        <v>1546</v>
      </c>
      <c r="B915" s="2" t="s">
        <v>369</v>
      </c>
      <c r="C915" s="6">
        <v>46103.58037037037</v>
      </c>
      <c r="D915" s="2">
        <v>-5.0</v>
      </c>
      <c r="H915" s="2" t="s">
        <v>599</v>
      </c>
    </row>
    <row r="916" ht="15.75" customHeight="1">
      <c r="A916" s="2" t="s">
        <v>1547</v>
      </c>
      <c r="B916" s="5" t="s">
        <v>134</v>
      </c>
      <c r="C916" s="6">
        <v>46103.580555555556</v>
      </c>
      <c r="D916" s="2">
        <v>-12.0</v>
      </c>
      <c r="H916" s="2" t="s">
        <v>599</v>
      </c>
    </row>
    <row r="917" ht="15.75" customHeight="1">
      <c r="A917" s="2" t="s">
        <v>1548</v>
      </c>
      <c r="B917" s="5" t="s">
        <v>14</v>
      </c>
      <c r="C917" s="6">
        <v>46103.58259259259</v>
      </c>
      <c r="D917" s="2">
        <v>-10.0</v>
      </c>
      <c r="H917" s="2" t="s">
        <v>571</v>
      </c>
    </row>
    <row r="918" ht="15.75" customHeight="1">
      <c r="A918" s="2" t="s">
        <v>1549</v>
      </c>
      <c r="B918" s="5" t="s">
        <v>195</v>
      </c>
      <c r="C918" s="6">
        <v>46103.582708333335</v>
      </c>
      <c r="D918" s="2">
        <v>-15.0</v>
      </c>
      <c r="H918" s="2" t="s">
        <v>571</v>
      </c>
    </row>
    <row r="919" ht="15.75" customHeight="1">
      <c r="A919" s="2" t="s">
        <v>1550</v>
      </c>
      <c r="B919" s="2" t="s">
        <v>375</v>
      </c>
      <c r="C919" s="6">
        <v>46103.58305555556</v>
      </c>
      <c r="D919" s="2">
        <v>-6.0</v>
      </c>
      <c r="H919" s="2" t="s">
        <v>599</v>
      </c>
    </row>
    <row r="920" ht="15.75" customHeight="1">
      <c r="A920" s="2" t="s">
        <v>1551</v>
      </c>
      <c r="B920" s="2" t="s">
        <v>384</v>
      </c>
      <c r="C920" s="6">
        <v>46103.583182870374</v>
      </c>
      <c r="D920" s="2">
        <v>-6.0</v>
      </c>
      <c r="H920" s="2" t="s">
        <v>599</v>
      </c>
    </row>
    <row r="921" ht="15.75" customHeight="1">
      <c r="A921" s="5" t="s">
        <v>1552</v>
      </c>
      <c r="B921" s="2" t="s">
        <v>372</v>
      </c>
      <c r="C921" s="6">
        <v>46103.58331018518</v>
      </c>
      <c r="D921" s="2">
        <v>-6.0</v>
      </c>
      <c r="H921" s="2" t="s">
        <v>599</v>
      </c>
    </row>
    <row r="922" ht="15.75" customHeight="1">
      <c r="A922" s="2" t="s">
        <v>1553</v>
      </c>
      <c r="B922" s="5" t="s">
        <v>214</v>
      </c>
      <c r="C922" s="6">
        <v>46103.64530092593</v>
      </c>
      <c r="D922" s="2">
        <v>-24.0</v>
      </c>
      <c r="H922" s="2" t="s">
        <v>599</v>
      </c>
    </row>
    <row r="923" ht="15.75" customHeight="1">
      <c r="A923" s="2" t="s">
        <v>1554</v>
      </c>
      <c r="B923" s="5" t="s">
        <v>192</v>
      </c>
      <c r="C923" s="6">
        <v>46104.49965277778</v>
      </c>
      <c r="D923" s="2">
        <v>72.0</v>
      </c>
      <c r="E923" s="2" t="s">
        <v>1555</v>
      </c>
      <c r="H923" s="2" t="s">
        <v>571</v>
      </c>
    </row>
    <row r="924" ht="15.75" customHeight="1">
      <c r="A924" s="2" t="s">
        <v>1556</v>
      </c>
      <c r="B924" s="5" t="s">
        <v>217</v>
      </c>
      <c r="C924" s="6">
        <v>46104.499756944446</v>
      </c>
      <c r="D924" s="2">
        <v>75.0</v>
      </c>
      <c r="E924" s="2" t="s">
        <v>1555</v>
      </c>
      <c r="H924" s="2" t="s">
        <v>571</v>
      </c>
    </row>
    <row r="925" ht="15.75" customHeight="1">
      <c r="A925" s="2" t="s">
        <v>1557</v>
      </c>
      <c r="B925" s="2" t="s">
        <v>271</v>
      </c>
      <c r="C925" s="6">
        <v>46104.49986111111</v>
      </c>
      <c r="D925" s="2">
        <v>75.0</v>
      </c>
      <c r="E925" s="2" t="s">
        <v>1555</v>
      </c>
      <c r="H925" s="2" t="s">
        <v>571</v>
      </c>
    </row>
    <row r="926" ht="15.75" customHeight="1">
      <c r="A926" s="2" t="s">
        <v>1558</v>
      </c>
      <c r="B926" s="5" t="s">
        <v>142</v>
      </c>
      <c r="C926" s="6">
        <v>46104.49994212963</v>
      </c>
      <c r="D926" s="2">
        <v>48.0</v>
      </c>
      <c r="E926" s="2" t="s">
        <v>1555</v>
      </c>
      <c r="H926" s="2" t="s">
        <v>571</v>
      </c>
    </row>
    <row r="927" ht="15.75" customHeight="1">
      <c r="A927" s="2" t="s">
        <v>1559</v>
      </c>
      <c r="B927" s="5" t="s">
        <v>165</v>
      </c>
      <c r="C927" s="6">
        <v>46104.50003472222</v>
      </c>
      <c r="D927" s="2">
        <v>48.0</v>
      </c>
      <c r="E927" s="2" t="s">
        <v>1555</v>
      </c>
      <c r="H927" s="2" t="s">
        <v>571</v>
      </c>
    </row>
    <row r="928" ht="15.75" customHeight="1">
      <c r="A928" s="2" t="s">
        <v>1560</v>
      </c>
      <c r="B928" s="5" t="s">
        <v>96</v>
      </c>
      <c r="C928" s="6">
        <v>46104.500393518516</v>
      </c>
      <c r="D928" s="2">
        <v>24.0</v>
      </c>
      <c r="E928" s="2" t="s">
        <v>1561</v>
      </c>
      <c r="H928" s="2" t="s">
        <v>571</v>
      </c>
    </row>
    <row r="929" ht="15.75" customHeight="1">
      <c r="A929" s="2" t="s">
        <v>1562</v>
      </c>
      <c r="B929" s="2" t="s">
        <v>369</v>
      </c>
      <c r="C929" s="6">
        <v>46104.500497685185</v>
      </c>
      <c r="D929" s="2">
        <v>12.0</v>
      </c>
      <c r="E929" s="2" t="s">
        <v>1561</v>
      </c>
      <c r="H929" s="2" t="s">
        <v>571</v>
      </c>
    </row>
    <row r="930" ht="15.75" customHeight="1">
      <c r="A930" s="2" t="s">
        <v>1563</v>
      </c>
      <c r="B930" s="2" t="s">
        <v>289</v>
      </c>
      <c r="C930" s="6">
        <v>46104.51325231481</v>
      </c>
      <c r="D930" s="2">
        <v>-18.0</v>
      </c>
      <c r="H930" s="2" t="s">
        <v>599</v>
      </c>
    </row>
    <row r="931" ht="15.75" customHeight="1">
      <c r="A931" s="2" t="s">
        <v>1564</v>
      </c>
      <c r="B931" s="5" t="s">
        <v>217</v>
      </c>
      <c r="C931" s="6">
        <v>46104.51346064815</v>
      </c>
      <c r="D931" s="2">
        <v>-15.0</v>
      </c>
      <c r="H931" s="2" t="s">
        <v>599</v>
      </c>
    </row>
    <row r="932" ht="15.75" customHeight="1">
      <c r="A932" s="2" t="s">
        <v>1565</v>
      </c>
      <c r="B932" s="2" t="s">
        <v>271</v>
      </c>
      <c r="C932" s="6">
        <v>46104.51351851852</v>
      </c>
      <c r="D932" s="2">
        <v>-15.0</v>
      </c>
      <c r="H932" s="2" t="s">
        <v>599</v>
      </c>
    </row>
    <row r="933" ht="15.75" customHeight="1">
      <c r="A933" s="2" t="s">
        <v>1566</v>
      </c>
      <c r="B933" s="2" t="s">
        <v>330</v>
      </c>
      <c r="C933" s="6">
        <v>46104.51443287037</v>
      </c>
      <c r="D933" s="2">
        <v>-15.0</v>
      </c>
      <c r="H933" s="2" t="s">
        <v>599</v>
      </c>
    </row>
    <row r="934" ht="15.75" customHeight="1">
      <c r="A934" s="2" t="s">
        <v>1567</v>
      </c>
      <c r="B934" s="5" t="s">
        <v>192</v>
      </c>
      <c r="C934" s="6">
        <v>46104.5156712963</v>
      </c>
      <c r="D934" s="2">
        <v>-24.0</v>
      </c>
      <c r="H934" s="2" t="s">
        <v>599</v>
      </c>
    </row>
    <row r="935" ht="15.75" customHeight="1">
      <c r="A935" s="2" t="s">
        <v>1568</v>
      </c>
      <c r="B935" s="5" t="s">
        <v>171</v>
      </c>
      <c r="C935" s="6">
        <v>46104.51590277778</v>
      </c>
      <c r="D935" s="2">
        <v>-24.0</v>
      </c>
      <c r="H935" s="2" t="s">
        <v>599</v>
      </c>
    </row>
    <row r="936" ht="15.75" customHeight="1">
      <c r="A936" s="2" t="s">
        <v>1569</v>
      </c>
      <c r="B936" s="5" t="s">
        <v>189</v>
      </c>
      <c r="C936" s="6">
        <v>46104.51626157408</v>
      </c>
      <c r="D936" s="2">
        <v>-21.0</v>
      </c>
      <c r="H936" s="2" t="s">
        <v>599</v>
      </c>
    </row>
    <row r="937" ht="15.75" customHeight="1">
      <c r="A937" s="2" t="s">
        <v>1570</v>
      </c>
      <c r="B937" s="5" t="s">
        <v>59</v>
      </c>
      <c r="C937" s="6">
        <v>46104.51662037037</v>
      </c>
      <c r="D937" s="2">
        <v>-7.0</v>
      </c>
      <c r="H937" s="2" t="s">
        <v>599</v>
      </c>
    </row>
    <row r="938" ht="15.75" customHeight="1">
      <c r="A938" s="2" t="s">
        <v>1571</v>
      </c>
      <c r="B938" s="5" t="s">
        <v>134</v>
      </c>
      <c r="C938" s="6">
        <v>46104.51712962963</v>
      </c>
      <c r="D938" s="2">
        <v>-12.0</v>
      </c>
      <c r="H938" s="2" t="s">
        <v>599</v>
      </c>
    </row>
    <row r="939" ht="15.75" customHeight="1">
      <c r="A939" s="2" t="s">
        <v>1572</v>
      </c>
      <c r="B939" s="5" t="s">
        <v>96</v>
      </c>
      <c r="C939" s="6">
        <v>46104.51894675926</v>
      </c>
      <c r="D939" s="2">
        <v>-12.0</v>
      </c>
      <c r="H939" s="2" t="s">
        <v>599</v>
      </c>
    </row>
    <row r="940" ht="15.75" customHeight="1">
      <c r="A940" s="2" t="s">
        <v>1573</v>
      </c>
      <c r="B940" s="2" t="s">
        <v>378</v>
      </c>
      <c r="C940" s="6">
        <v>46104.520520833335</v>
      </c>
      <c r="D940" s="2">
        <v>-8.0</v>
      </c>
      <c r="H940" s="2" t="s">
        <v>599</v>
      </c>
    </row>
    <row r="941" ht="15.75" customHeight="1">
      <c r="A941" s="2" t="s">
        <v>1574</v>
      </c>
      <c r="B941" s="2" t="s">
        <v>375</v>
      </c>
      <c r="C941" s="6">
        <v>46104.520625</v>
      </c>
      <c r="D941" s="2">
        <v>-8.0</v>
      </c>
      <c r="H941" s="2" t="s">
        <v>599</v>
      </c>
    </row>
    <row r="942" ht="15.75" customHeight="1">
      <c r="A942" s="2" t="s">
        <v>1575</v>
      </c>
      <c r="B942" s="2" t="s">
        <v>372</v>
      </c>
      <c r="C942" s="6">
        <v>46104.52075231481</v>
      </c>
      <c r="D942" s="2">
        <v>-8.0</v>
      </c>
      <c r="H942" s="2" t="s">
        <v>599</v>
      </c>
    </row>
    <row r="943" ht="15.75" customHeight="1">
      <c r="A943" s="2" t="s">
        <v>1576</v>
      </c>
      <c r="B943" s="2" t="s">
        <v>384</v>
      </c>
      <c r="C943" s="6">
        <v>46104.52112268518</v>
      </c>
      <c r="D943" s="2">
        <v>-8.0</v>
      </c>
      <c r="H943" s="2" t="s">
        <v>599</v>
      </c>
    </row>
    <row r="944" ht="15.75" customHeight="1">
      <c r="A944" s="2" t="s">
        <v>1577</v>
      </c>
      <c r="B944" s="5" t="s">
        <v>14</v>
      </c>
      <c r="C944" s="6">
        <v>46104.52174768518</v>
      </c>
      <c r="D944" s="2">
        <v>-10.0</v>
      </c>
      <c r="H944" s="2" t="s">
        <v>599</v>
      </c>
    </row>
    <row r="945" ht="15.75" customHeight="1">
      <c r="A945" s="2" t="s">
        <v>1578</v>
      </c>
      <c r="B945" s="2" t="s">
        <v>369</v>
      </c>
      <c r="C945" s="6">
        <v>46104.522152777776</v>
      </c>
      <c r="D945" s="2">
        <v>-5.0</v>
      </c>
      <c r="H945" s="2" t="s">
        <v>599</v>
      </c>
    </row>
    <row r="946" ht="15.75" customHeight="1">
      <c r="A946" s="2" t="s">
        <v>1579</v>
      </c>
      <c r="B946" s="5" t="s">
        <v>142</v>
      </c>
      <c r="C946" s="6">
        <v>46104.52302083333</v>
      </c>
      <c r="D946" s="2">
        <v>-24.0</v>
      </c>
      <c r="H946" s="2" t="s">
        <v>599</v>
      </c>
    </row>
    <row r="947" ht="15.75" customHeight="1">
      <c r="A947" s="2" t="s">
        <v>1580</v>
      </c>
      <c r="B947" s="5" t="s">
        <v>217</v>
      </c>
      <c r="C947" s="6">
        <v>46104.52605324074</v>
      </c>
      <c r="D947" s="2">
        <v>-30.0</v>
      </c>
      <c r="H947" s="2" t="s">
        <v>599</v>
      </c>
    </row>
    <row r="948" ht="15.75" customHeight="1">
      <c r="A948" s="2" t="s">
        <v>1581</v>
      </c>
      <c r="B948" s="2" t="s">
        <v>271</v>
      </c>
      <c r="C948" s="6">
        <v>46104.52611111111</v>
      </c>
      <c r="D948" s="2">
        <v>-15.0</v>
      </c>
      <c r="H948" s="2" t="s">
        <v>599</v>
      </c>
    </row>
    <row r="949" ht="15.75" customHeight="1">
      <c r="A949" s="2" t="s">
        <v>1582</v>
      </c>
      <c r="B949" s="2" t="s">
        <v>289</v>
      </c>
      <c r="C949" s="6">
        <v>46104.52618055556</v>
      </c>
      <c r="D949" s="2">
        <v>-14.0</v>
      </c>
      <c r="H949" s="2" t="s">
        <v>599</v>
      </c>
    </row>
    <row r="950" ht="15.75" customHeight="1">
      <c r="A950" s="2" t="s">
        <v>1583</v>
      </c>
      <c r="B950" s="2" t="s">
        <v>330</v>
      </c>
      <c r="C950" s="6">
        <v>46104.52622685185</v>
      </c>
      <c r="D950" s="2">
        <v>-7.0</v>
      </c>
      <c r="H950" s="2" t="s">
        <v>599</v>
      </c>
    </row>
    <row r="951" ht="15.75" customHeight="1">
      <c r="A951" s="2" t="s">
        <v>1584</v>
      </c>
      <c r="B951" s="5" t="s">
        <v>171</v>
      </c>
      <c r="C951" s="6">
        <v>46104.526504629626</v>
      </c>
      <c r="D951" s="2">
        <v>-8.0</v>
      </c>
      <c r="H951" s="2" t="s">
        <v>599</v>
      </c>
    </row>
    <row r="952" ht="15.75" customHeight="1">
      <c r="A952" s="2" t="s">
        <v>1585</v>
      </c>
      <c r="B952" s="2" t="s">
        <v>378</v>
      </c>
      <c r="C952" s="6">
        <v>46104.52761574074</v>
      </c>
      <c r="D952" s="2">
        <v>-6.0</v>
      </c>
      <c r="H952" s="2" t="s">
        <v>599</v>
      </c>
    </row>
    <row r="953" ht="15.75" customHeight="1">
      <c r="A953" s="2" t="s">
        <v>1586</v>
      </c>
      <c r="B953" s="2" t="s">
        <v>375</v>
      </c>
      <c r="C953" s="6">
        <v>46104.527708333335</v>
      </c>
      <c r="D953" s="2">
        <v>-6.0</v>
      </c>
      <c r="H953" s="2" t="s">
        <v>599</v>
      </c>
    </row>
    <row r="954" ht="15.75" customHeight="1">
      <c r="A954" s="2" t="s">
        <v>1587</v>
      </c>
      <c r="B954" s="2" t="s">
        <v>384</v>
      </c>
      <c r="C954" s="6">
        <v>46104.52789351852</v>
      </c>
      <c r="D954" s="2">
        <v>-6.0</v>
      </c>
      <c r="H954" s="2" t="s">
        <v>599</v>
      </c>
    </row>
    <row r="955" ht="15.75" customHeight="1">
      <c r="A955" s="2" t="s">
        <v>1588</v>
      </c>
      <c r="B955" s="5" t="s">
        <v>165</v>
      </c>
      <c r="C955" s="6">
        <v>46104.52821759259</v>
      </c>
      <c r="D955" s="2">
        <v>-12.0</v>
      </c>
      <c r="H955" s="2" t="s">
        <v>599</v>
      </c>
    </row>
    <row r="956" ht="15.75" customHeight="1">
      <c r="A956" s="2" t="s">
        <v>1589</v>
      </c>
      <c r="B956" s="2" t="s">
        <v>295</v>
      </c>
      <c r="C956" s="6">
        <v>46104.52880787037</v>
      </c>
      <c r="D956" s="2">
        <v>-12.0</v>
      </c>
      <c r="H956" s="2" t="s">
        <v>599</v>
      </c>
    </row>
    <row r="957" ht="15.75" customHeight="1">
      <c r="A957" s="2" t="s">
        <v>1590</v>
      </c>
      <c r="B957" s="2" t="s">
        <v>295</v>
      </c>
      <c r="C957" s="6">
        <v>46104.52935185185</v>
      </c>
      <c r="D957" s="2">
        <v>6.0</v>
      </c>
      <c r="H957" s="2" t="s">
        <v>599</v>
      </c>
    </row>
    <row r="958" ht="15.75" customHeight="1">
      <c r="A958" s="2" t="s">
        <v>1591</v>
      </c>
      <c r="B958" s="5" t="s">
        <v>56</v>
      </c>
      <c r="C958" s="6">
        <v>46104.52943287037</v>
      </c>
      <c r="D958" s="2">
        <v>-6.0</v>
      </c>
      <c r="H958" s="2" t="s">
        <v>599</v>
      </c>
    </row>
    <row r="959" ht="15.75" customHeight="1">
      <c r="A959" s="2" t="s">
        <v>1592</v>
      </c>
      <c r="B959" s="2" t="s">
        <v>369</v>
      </c>
      <c r="C959" s="6">
        <v>46104.529861111114</v>
      </c>
      <c r="D959" s="2">
        <v>-11.0</v>
      </c>
      <c r="H959" s="2" t="s">
        <v>599</v>
      </c>
    </row>
    <row r="960" ht="15.75" customHeight="1">
      <c r="A960" s="2" t="s">
        <v>1593</v>
      </c>
      <c r="B960" s="2" t="s">
        <v>342</v>
      </c>
      <c r="C960" s="6">
        <v>46104.53055555555</v>
      </c>
      <c r="D960" s="2">
        <v>-3.0</v>
      </c>
      <c r="H960" s="2" t="s">
        <v>599</v>
      </c>
    </row>
    <row r="961" ht="15.75" customHeight="1">
      <c r="A961" s="2" t="s">
        <v>1594</v>
      </c>
      <c r="B961" s="5" t="s">
        <v>96</v>
      </c>
      <c r="C961" s="6">
        <v>46104.53135416667</v>
      </c>
      <c r="D961" s="2">
        <v>-12.0</v>
      </c>
      <c r="H961" s="2" t="s">
        <v>599</v>
      </c>
    </row>
    <row r="962" ht="15.75" customHeight="1">
      <c r="A962" s="2" t="s">
        <v>1595</v>
      </c>
      <c r="B962" s="5" t="s">
        <v>59</v>
      </c>
      <c r="C962" s="6">
        <v>46104.5315625</v>
      </c>
      <c r="D962" s="2">
        <v>-3.0</v>
      </c>
      <c r="H962" s="2" t="s">
        <v>599</v>
      </c>
    </row>
    <row r="963" ht="15.75" customHeight="1">
      <c r="A963" s="2" t="s">
        <v>1596</v>
      </c>
      <c r="B963" s="5" t="s">
        <v>134</v>
      </c>
      <c r="C963" s="6">
        <v>46104.531701388885</v>
      </c>
      <c r="D963" s="2">
        <v>-7.0</v>
      </c>
      <c r="H963" s="2" t="s">
        <v>599</v>
      </c>
    </row>
    <row r="964" ht="15.75" customHeight="1">
      <c r="A964" s="2" t="s">
        <v>1597</v>
      </c>
      <c r="B964" s="5" t="s">
        <v>142</v>
      </c>
      <c r="C964" s="6">
        <v>46104.53240740741</v>
      </c>
      <c r="D964" s="2">
        <v>-21.0</v>
      </c>
      <c r="H964" s="2" t="s">
        <v>599</v>
      </c>
    </row>
    <row r="965" ht="15.75" customHeight="1">
      <c r="A965" s="2" t="s">
        <v>1598</v>
      </c>
      <c r="B965" s="2" t="s">
        <v>381</v>
      </c>
      <c r="C965" s="6">
        <v>46104.53251157407</v>
      </c>
      <c r="D965" s="2">
        <v>-7.0</v>
      </c>
      <c r="H965" s="2" t="s">
        <v>599</v>
      </c>
    </row>
    <row r="966" ht="15.75" customHeight="1">
      <c r="A966" s="2" t="s">
        <v>1599</v>
      </c>
      <c r="B966" s="2" t="s">
        <v>301</v>
      </c>
      <c r="C966" s="6">
        <v>46104.532743055555</v>
      </c>
      <c r="D966" s="2">
        <v>-6.0</v>
      </c>
      <c r="H966" s="2" t="s">
        <v>599</v>
      </c>
    </row>
    <row r="967" ht="15.75" customHeight="1">
      <c r="A967" s="2" t="s">
        <v>1600</v>
      </c>
      <c r="B967" s="5" t="s">
        <v>82</v>
      </c>
      <c r="C967" s="6">
        <v>46104.53287037037</v>
      </c>
      <c r="D967" s="2">
        <v>-7.0</v>
      </c>
      <c r="H967" s="2" t="s">
        <v>599</v>
      </c>
    </row>
    <row r="968" ht="15.75" customHeight="1">
      <c r="A968" s="2" t="s">
        <v>1601</v>
      </c>
      <c r="B968" s="5" t="s">
        <v>82</v>
      </c>
      <c r="C968" s="6">
        <v>46104.53298611111</v>
      </c>
      <c r="D968" s="2">
        <v>-7.0</v>
      </c>
      <c r="H968" s="2" t="s">
        <v>599</v>
      </c>
    </row>
    <row r="969" ht="15.75" customHeight="1">
      <c r="A969" s="2" t="s">
        <v>1602</v>
      </c>
      <c r="B969" s="5" t="s">
        <v>192</v>
      </c>
      <c r="C969" s="6">
        <v>46104.53306712963</v>
      </c>
      <c r="D969" s="2">
        <v>-24.0</v>
      </c>
      <c r="H969" s="2" t="s">
        <v>599</v>
      </c>
    </row>
    <row r="970" ht="15.75" customHeight="1">
      <c r="A970" s="2" t="s">
        <v>1603</v>
      </c>
      <c r="B970" s="5" t="s">
        <v>214</v>
      </c>
      <c r="C970" s="6">
        <v>46104.53488425926</v>
      </c>
      <c r="D970" s="2">
        <v>-120.0</v>
      </c>
      <c r="H970" s="2" t="s">
        <v>599</v>
      </c>
    </row>
    <row r="971" ht="15.75" customHeight="1">
      <c r="A971" s="2" t="s">
        <v>1604</v>
      </c>
      <c r="B971" s="2" t="s">
        <v>289</v>
      </c>
      <c r="C971" s="6">
        <v>46104.53810185185</v>
      </c>
      <c r="D971" s="2">
        <v>-22.0</v>
      </c>
      <c r="H971" s="2" t="s">
        <v>599</v>
      </c>
    </row>
    <row r="972" ht="15.75" customHeight="1">
      <c r="A972" s="2" t="s">
        <v>1605</v>
      </c>
      <c r="B972" s="2" t="s">
        <v>330</v>
      </c>
      <c r="C972" s="6">
        <v>46104.53815972222</v>
      </c>
      <c r="D972" s="2">
        <v>-7.0</v>
      </c>
      <c r="H972" s="2" t="s">
        <v>599</v>
      </c>
    </row>
    <row r="973" ht="15.75" customHeight="1">
      <c r="A973" s="2" t="s">
        <v>1606</v>
      </c>
      <c r="B973" s="5" t="s">
        <v>217</v>
      </c>
      <c r="C973" s="6">
        <v>46104.53828703704</v>
      </c>
      <c r="D973" s="2">
        <v>-15.0</v>
      </c>
      <c r="H973" s="2" t="s">
        <v>599</v>
      </c>
    </row>
    <row r="974" ht="15.75" customHeight="1">
      <c r="A974" s="2" t="s">
        <v>1607</v>
      </c>
      <c r="B974" s="2" t="s">
        <v>271</v>
      </c>
      <c r="C974" s="6">
        <v>46104.53836805555</v>
      </c>
      <c r="D974" s="2">
        <v>-15.0</v>
      </c>
      <c r="H974" s="2" t="s">
        <v>599</v>
      </c>
    </row>
    <row r="975" ht="15.75" customHeight="1">
      <c r="A975" s="2" t="s">
        <v>1608</v>
      </c>
      <c r="B975" s="2" t="s">
        <v>238</v>
      </c>
      <c r="C975" s="6">
        <v>46104.539039351854</v>
      </c>
      <c r="D975" s="2">
        <v>-11.0</v>
      </c>
      <c r="H975" s="2" t="s">
        <v>599</v>
      </c>
    </row>
    <row r="976" ht="15.75" customHeight="1">
      <c r="A976" s="2" t="s">
        <v>1609</v>
      </c>
      <c r="B976" s="5" t="s">
        <v>171</v>
      </c>
      <c r="C976" s="6">
        <v>46104.54068287037</v>
      </c>
      <c r="D976" s="2">
        <v>-24.0</v>
      </c>
      <c r="H976" s="2" t="s">
        <v>599</v>
      </c>
    </row>
    <row r="977" ht="15.75" customHeight="1">
      <c r="A977" s="2" t="s">
        <v>1610</v>
      </c>
      <c r="B977" s="5" t="s">
        <v>171</v>
      </c>
      <c r="C977" s="6">
        <v>46104.54077546296</v>
      </c>
      <c r="D977" s="2">
        <v>-16.0</v>
      </c>
      <c r="H977" s="2" t="s">
        <v>599</v>
      </c>
    </row>
    <row r="978" ht="15.75" customHeight="1">
      <c r="A978" s="2" t="s">
        <v>1611</v>
      </c>
      <c r="B978" s="2" t="s">
        <v>378</v>
      </c>
      <c r="C978" s="6">
        <v>46104.54167824074</v>
      </c>
      <c r="D978" s="2">
        <v>-10.0</v>
      </c>
      <c r="H978" s="2" t="s">
        <v>599</v>
      </c>
    </row>
    <row r="979" ht="15.75" customHeight="1">
      <c r="A979" s="5" t="s">
        <v>1612</v>
      </c>
      <c r="B979" s="2" t="s">
        <v>375</v>
      </c>
      <c r="C979" s="6">
        <v>46104.54175925926</v>
      </c>
      <c r="D979" s="2">
        <v>-4.0</v>
      </c>
      <c r="H979" s="2" t="s">
        <v>599</v>
      </c>
    </row>
    <row r="980" ht="15.75" customHeight="1">
      <c r="A980" s="2" t="s">
        <v>1613</v>
      </c>
      <c r="B980" s="2" t="s">
        <v>384</v>
      </c>
      <c r="C980" s="6">
        <v>46104.54185185185</v>
      </c>
      <c r="D980" s="2">
        <v>-4.0</v>
      </c>
      <c r="H980" s="2" t="s">
        <v>599</v>
      </c>
    </row>
    <row r="981" ht="15.75" customHeight="1">
      <c r="A981" s="2" t="s">
        <v>1614</v>
      </c>
      <c r="B981" s="2" t="s">
        <v>372</v>
      </c>
      <c r="C981" s="6">
        <v>46104.54195601852</v>
      </c>
      <c r="D981" s="2">
        <v>-14.0</v>
      </c>
      <c r="H981" s="2" t="s">
        <v>599</v>
      </c>
    </row>
    <row r="982" ht="15.75" customHeight="1">
      <c r="A982" s="2" t="s">
        <v>1615</v>
      </c>
      <c r="B982" s="5" t="s">
        <v>165</v>
      </c>
      <c r="C982" s="6">
        <v>46104.542650462965</v>
      </c>
      <c r="D982" s="2">
        <v>-12.0</v>
      </c>
      <c r="H982" s="2" t="s">
        <v>599</v>
      </c>
    </row>
    <row r="983" ht="15.75" customHeight="1">
      <c r="A983" s="2" t="s">
        <v>1616</v>
      </c>
      <c r="B983" s="2" t="s">
        <v>295</v>
      </c>
      <c r="C983" s="6">
        <v>46104.54288194444</v>
      </c>
      <c r="D983" s="2">
        <v>-24.0</v>
      </c>
      <c r="H983" s="2" t="s">
        <v>599</v>
      </c>
    </row>
    <row r="984" ht="15.75" customHeight="1">
      <c r="A984" s="2" t="s">
        <v>1617</v>
      </c>
      <c r="B984" s="2" t="s">
        <v>342</v>
      </c>
      <c r="C984" s="6">
        <v>46104.54371527778</v>
      </c>
      <c r="D984" s="2">
        <v>-12.0</v>
      </c>
      <c r="H984" s="2" t="s">
        <v>599</v>
      </c>
    </row>
    <row r="985" ht="15.75" customHeight="1">
      <c r="A985" s="2" t="s">
        <v>1618</v>
      </c>
      <c r="B985" s="5" t="s">
        <v>134</v>
      </c>
      <c r="C985" s="6">
        <v>46104.54386574074</v>
      </c>
      <c r="D985" s="2">
        <v>-14.0</v>
      </c>
      <c r="H985" s="2" t="s">
        <v>599</v>
      </c>
    </row>
    <row r="986" ht="15.75" customHeight="1">
      <c r="A986" s="2" t="s">
        <v>1619</v>
      </c>
      <c r="B986" s="5" t="s">
        <v>214</v>
      </c>
      <c r="C986" s="6">
        <v>46104.544641203705</v>
      </c>
      <c r="D986" s="2">
        <v>-60.0</v>
      </c>
      <c r="H986" s="2" t="s">
        <v>599</v>
      </c>
    </row>
    <row r="987" ht="15.75" customHeight="1">
      <c r="A987" s="2" t="s">
        <v>1620</v>
      </c>
      <c r="B987" s="5" t="s">
        <v>192</v>
      </c>
      <c r="C987" s="6">
        <v>46104.54483796296</v>
      </c>
      <c r="D987" s="2">
        <v>-24.0</v>
      </c>
      <c r="H987" s="2" t="s">
        <v>599</v>
      </c>
    </row>
    <row r="988" ht="15.75" customHeight="1">
      <c r="A988" s="2" t="s">
        <v>1621</v>
      </c>
      <c r="B988" s="5" t="s">
        <v>142</v>
      </c>
      <c r="C988" s="6">
        <v>46104.547638888886</v>
      </c>
      <c r="D988" s="2">
        <v>-10.0</v>
      </c>
      <c r="H988" s="2" t="s">
        <v>599</v>
      </c>
    </row>
    <row r="989" ht="15.75" customHeight="1">
      <c r="A989" s="2" t="s">
        <v>1622</v>
      </c>
      <c r="B989" s="5" t="s">
        <v>82</v>
      </c>
      <c r="C989" s="6">
        <v>46104.547743055555</v>
      </c>
      <c r="D989" s="2">
        <v>-3.0</v>
      </c>
      <c r="H989" s="2" t="s">
        <v>599</v>
      </c>
    </row>
    <row r="990" ht="15.75" customHeight="1">
      <c r="A990" s="2" t="s">
        <v>1623</v>
      </c>
      <c r="B990" s="2" t="s">
        <v>369</v>
      </c>
      <c r="C990" s="6">
        <v>46104.54814814815</v>
      </c>
      <c r="D990" s="2">
        <v>-8.0</v>
      </c>
      <c r="H990" s="2" t="s">
        <v>599</v>
      </c>
    </row>
    <row r="991" ht="15.75" customHeight="1">
      <c r="A991" s="2" t="s">
        <v>1624</v>
      </c>
      <c r="B991" s="5" t="s">
        <v>217</v>
      </c>
      <c r="C991" s="6">
        <v>46104.87693287037</v>
      </c>
      <c r="D991" s="2">
        <v>-30.0</v>
      </c>
      <c r="H991" s="2" t="s">
        <v>599</v>
      </c>
    </row>
    <row r="992" ht="15.75" customHeight="1">
      <c r="A992" s="2" t="s">
        <v>1625</v>
      </c>
      <c r="B992" s="2" t="s">
        <v>271</v>
      </c>
      <c r="C992" s="6">
        <v>46104.877118055556</v>
      </c>
      <c r="D992" s="2">
        <v>-15.0</v>
      </c>
      <c r="H992" s="2" t="s">
        <v>599</v>
      </c>
    </row>
    <row r="993" ht="15.75" customHeight="1">
      <c r="A993" s="2" t="s">
        <v>1626</v>
      </c>
      <c r="B993" s="2" t="s">
        <v>271</v>
      </c>
      <c r="C993" s="6">
        <v>46104.8774537037</v>
      </c>
      <c r="D993" s="2">
        <v>-4.0</v>
      </c>
      <c r="H993" s="2" t="s">
        <v>599</v>
      </c>
    </row>
    <row r="994" ht="15.75" customHeight="1">
      <c r="A994" s="2" t="s">
        <v>1627</v>
      </c>
      <c r="B994" s="5" t="s">
        <v>131</v>
      </c>
      <c r="C994" s="6">
        <v>46104.87758101852</v>
      </c>
      <c r="D994" s="2">
        <v>-5.0</v>
      </c>
      <c r="H994" s="2" t="s">
        <v>599</v>
      </c>
    </row>
    <row r="995" ht="15.75" customHeight="1">
      <c r="A995" s="2" t="s">
        <v>1628</v>
      </c>
      <c r="B995" s="5" t="s">
        <v>148</v>
      </c>
      <c r="C995" s="6">
        <v>46104.87836805556</v>
      </c>
      <c r="D995" s="2">
        <v>-21.0</v>
      </c>
      <c r="H995" s="2" t="s">
        <v>599</v>
      </c>
    </row>
    <row r="996" ht="15.75" customHeight="1">
      <c r="A996" s="2" t="s">
        <v>1629</v>
      </c>
      <c r="B996" s="5" t="s">
        <v>165</v>
      </c>
      <c r="C996" s="6">
        <v>46104.879282407404</v>
      </c>
      <c r="D996" s="2">
        <v>-24.0</v>
      </c>
      <c r="H996" s="2" t="s">
        <v>599</v>
      </c>
    </row>
    <row r="997" ht="15.75" customHeight="1">
      <c r="A997" s="2" t="s">
        <v>1630</v>
      </c>
      <c r="B997" s="5" t="s">
        <v>186</v>
      </c>
      <c r="C997" s="6">
        <v>46104.87945601852</v>
      </c>
      <c r="D997" s="2">
        <v>-10.0</v>
      </c>
      <c r="H997" s="2" t="s">
        <v>599</v>
      </c>
    </row>
    <row r="998" ht="15.75" customHeight="1">
      <c r="A998" s="2" t="s">
        <v>1631</v>
      </c>
      <c r="B998" s="5" t="s">
        <v>171</v>
      </c>
      <c r="C998" s="6">
        <v>46104.88037037037</v>
      </c>
      <c r="D998" s="2">
        <v>-15.0</v>
      </c>
      <c r="H998" s="2" t="s">
        <v>599</v>
      </c>
    </row>
    <row r="999" ht="15.75" customHeight="1">
      <c r="A999" s="2" t="s">
        <v>1632</v>
      </c>
      <c r="B999" s="5" t="s">
        <v>180</v>
      </c>
      <c r="C999" s="6">
        <v>46104.880902777775</v>
      </c>
      <c r="D999" s="2">
        <v>-12.0</v>
      </c>
      <c r="H999" s="2" t="s">
        <v>599</v>
      </c>
    </row>
    <row r="1000" ht="15.75" customHeight="1">
      <c r="A1000" s="2" t="s">
        <v>1633</v>
      </c>
      <c r="B1000" s="2" t="s">
        <v>360</v>
      </c>
      <c r="C1000" s="6">
        <v>46104.88109953704</v>
      </c>
      <c r="D1000" s="2">
        <v>-24.0</v>
      </c>
      <c r="H1000" s="2" t="s">
        <v>599</v>
      </c>
    </row>
    <row r="1001" ht="15.75" customHeight="1">
      <c r="A1001" s="2" t="s">
        <v>1634</v>
      </c>
      <c r="B1001" s="5" t="s">
        <v>214</v>
      </c>
      <c r="C1001" s="6">
        <v>46104.88123842593</v>
      </c>
      <c r="D1001" s="2">
        <v>-60.0</v>
      </c>
      <c r="H1001" s="2" t="s">
        <v>571</v>
      </c>
    </row>
    <row r="1002" ht="15.75" customHeight="1">
      <c r="A1002" s="2" t="s">
        <v>1635</v>
      </c>
      <c r="B1002" s="5" t="s">
        <v>192</v>
      </c>
      <c r="C1002" s="6">
        <v>46104.88140046296</v>
      </c>
      <c r="D1002" s="2">
        <v>-6.0</v>
      </c>
      <c r="H1002" s="2" t="s">
        <v>571</v>
      </c>
    </row>
    <row r="1003" ht="15.75" customHeight="1">
      <c r="A1003" s="2" t="s">
        <v>1636</v>
      </c>
      <c r="B1003" s="5" t="s">
        <v>142</v>
      </c>
      <c r="C1003" s="6">
        <v>46104.88153935185</v>
      </c>
      <c r="D1003" s="2">
        <v>-7.0</v>
      </c>
      <c r="H1003" s="2" t="s">
        <v>571</v>
      </c>
    </row>
    <row r="1004" ht="15.75" customHeight="1">
      <c r="A1004" s="2" t="s">
        <v>1637</v>
      </c>
      <c r="B1004" s="5" t="s">
        <v>134</v>
      </c>
      <c r="C1004" s="6">
        <v>46104.88164351852</v>
      </c>
      <c r="D1004" s="2">
        <v>-6.0</v>
      </c>
      <c r="H1004" s="2" t="s">
        <v>599</v>
      </c>
    </row>
    <row r="1005" ht="15.75" customHeight="1">
      <c r="A1005" s="2" t="s">
        <v>1638</v>
      </c>
      <c r="B1005" s="5" t="s">
        <v>59</v>
      </c>
      <c r="C1005" s="6">
        <v>46104.881886574076</v>
      </c>
      <c r="D1005" s="2">
        <v>-2.0</v>
      </c>
      <c r="H1005" s="2" t="s">
        <v>599</v>
      </c>
    </row>
    <row r="1006" ht="15.75" customHeight="1">
      <c r="A1006" s="2" t="s">
        <v>1639</v>
      </c>
      <c r="B1006" s="5" t="s">
        <v>165</v>
      </c>
      <c r="C1006" s="6">
        <v>46104.88217592592</v>
      </c>
      <c r="D1006" s="2">
        <v>-5.0</v>
      </c>
      <c r="H1006" s="2" t="s">
        <v>571</v>
      </c>
    </row>
    <row r="1007" ht="15.75" customHeight="1">
      <c r="A1007" s="2" t="s">
        <v>1640</v>
      </c>
      <c r="B1007" s="5" t="s">
        <v>217</v>
      </c>
      <c r="C1007" s="6">
        <v>46104.88234953704</v>
      </c>
      <c r="D1007" s="2">
        <v>-15.0</v>
      </c>
      <c r="H1007" s="2" t="s">
        <v>571</v>
      </c>
    </row>
    <row r="1008" ht="15.75" customHeight="1">
      <c r="A1008" s="2" t="s">
        <v>1641</v>
      </c>
      <c r="B1008" s="2" t="s">
        <v>271</v>
      </c>
      <c r="C1008" s="6">
        <v>46104.88244212963</v>
      </c>
      <c r="D1008" s="2">
        <v>-15.0</v>
      </c>
      <c r="H1008" s="2" t="s">
        <v>571</v>
      </c>
    </row>
    <row r="1009" ht="15.75" customHeight="1">
      <c r="A1009" s="2" t="s">
        <v>1642</v>
      </c>
      <c r="B1009" s="2" t="s">
        <v>342</v>
      </c>
      <c r="C1009" s="6">
        <v>46104.88259259259</v>
      </c>
      <c r="D1009" s="2">
        <v>-3.0</v>
      </c>
      <c r="H1009" s="2" t="s">
        <v>571</v>
      </c>
    </row>
    <row r="1010" ht="15.75" customHeight="1">
      <c r="A1010" s="2" t="s">
        <v>1643</v>
      </c>
      <c r="B1010" s="5" t="s">
        <v>148</v>
      </c>
      <c r="C1010" s="6">
        <v>46104.882731481484</v>
      </c>
      <c r="D1010" s="2">
        <v>12.0</v>
      </c>
      <c r="H1010" s="2" t="s">
        <v>571</v>
      </c>
    </row>
    <row r="1011" ht="15.75" customHeight="1">
      <c r="A1011" s="2" t="s">
        <v>1644</v>
      </c>
      <c r="B1011" s="2" t="s">
        <v>369</v>
      </c>
      <c r="C1011" s="6">
        <v>46104.883310185185</v>
      </c>
      <c r="D1011" s="2">
        <v>-6.0</v>
      </c>
      <c r="H1011" s="2" t="s">
        <v>571</v>
      </c>
    </row>
    <row r="1012" ht="15.75" customHeight="1">
      <c r="A1012" s="2" t="s">
        <v>1645</v>
      </c>
      <c r="B1012" s="5" t="s">
        <v>59</v>
      </c>
      <c r="C1012" s="6">
        <v>46104.88365740741</v>
      </c>
      <c r="D1012" s="2">
        <v>-5.0</v>
      </c>
      <c r="H1012" s="2" t="s">
        <v>571</v>
      </c>
    </row>
    <row r="1013" ht="15.75" customHeight="1">
      <c r="A1013" s="2" t="s">
        <v>1646</v>
      </c>
      <c r="B1013" s="2" t="s">
        <v>354</v>
      </c>
      <c r="C1013" s="6">
        <v>46104.8822337963</v>
      </c>
      <c r="D1013" s="2">
        <v>-15.0</v>
      </c>
      <c r="H1013" s="2" t="s">
        <v>599</v>
      </c>
    </row>
    <row r="1014" ht="15.75" customHeight="1">
      <c r="A1014" s="2" t="s">
        <v>1647</v>
      </c>
      <c r="B1014" s="2" t="s">
        <v>310</v>
      </c>
      <c r="C1014" s="6">
        <v>46104.882685185185</v>
      </c>
      <c r="D1014" s="2">
        <v>-6.0</v>
      </c>
      <c r="H1014" s="2" t="s">
        <v>599</v>
      </c>
    </row>
    <row r="1015" ht="15.75" customHeight="1">
      <c r="A1015" s="2" t="s">
        <v>1648</v>
      </c>
      <c r="B1015" s="5" t="s">
        <v>142</v>
      </c>
      <c r="C1015" s="6">
        <v>46104.8865625</v>
      </c>
      <c r="D1015" s="2">
        <v>-23.0</v>
      </c>
      <c r="H1015" s="2" t="s">
        <v>599</v>
      </c>
    </row>
    <row r="1016" ht="15.75" customHeight="1">
      <c r="A1016" s="2" t="s">
        <v>1649</v>
      </c>
      <c r="B1016" s="2" t="s">
        <v>381</v>
      </c>
      <c r="C1016" s="6">
        <v>46104.887708333335</v>
      </c>
      <c r="D1016" s="2">
        <v>-10.0</v>
      </c>
      <c r="H1016" s="2" t="s">
        <v>599</v>
      </c>
    </row>
    <row r="1017" ht="15.75" customHeight="1">
      <c r="A1017" s="2" t="s">
        <v>1650</v>
      </c>
      <c r="B1017" s="5" t="s">
        <v>82</v>
      </c>
      <c r="C1017" s="6">
        <v>46104.8878125</v>
      </c>
      <c r="D1017" s="2">
        <v>-6.0</v>
      </c>
      <c r="H1017" s="2" t="s">
        <v>599</v>
      </c>
    </row>
    <row r="1018" ht="15.75" customHeight="1">
      <c r="A1018" s="2" t="s">
        <v>1651</v>
      </c>
      <c r="B1018" s="5" t="s">
        <v>192</v>
      </c>
      <c r="C1018" s="6">
        <v>46104.888020833336</v>
      </c>
      <c r="D1018" s="2">
        <v>-21.0</v>
      </c>
      <c r="H1018" s="2" t="s">
        <v>599</v>
      </c>
    </row>
    <row r="1019" ht="15.75" customHeight="1">
      <c r="A1019" s="2" t="s">
        <v>1652</v>
      </c>
      <c r="B1019" s="5" t="s">
        <v>214</v>
      </c>
      <c r="C1019" s="6">
        <v>46104.888761574075</v>
      </c>
      <c r="D1019" s="2">
        <v>-60.0</v>
      </c>
      <c r="H1019" s="2" t="s">
        <v>599</v>
      </c>
    </row>
    <row r="1020" ht="15.75" customHeight="1">
      <c r="A1020" s="2" t="s">
        <v>1653</v>
      </c>
      <c r="B1020" s="2" t="s">
        <v>381</v>
      </c>
      <c r="C1020" s="6">
        <v>46104.9509837963</v>
      </c>
      <c r="D1020" s="2">
        <v>7.0</v>
      </c>
      <c r="H1020" s="2" t="s">
        <v>599</v>
      </c>
    </row>
    <row r="1021" ht="15.75" customHeight="1">
      <c r="A1021" s="2" t="s">
        <v>1654</v>
      </c>
      <c r="B1021" s="2" t="s">
        <v>354</v>
      </c>
      <c r="C1021" s="6">
        <v>46104.95108796296</v>
      </c>
      <c r="D1021" s="2">
        <v>3.0</v>
      </c>
      <c r="H1021" s="2" t="s">
        <v>599</v>
      </c>
    </row>
    <row r="1022" ht="15.75" customHeight="1">
      <c r="A1022" s="2" t="s">
        <v>1655</v>
      </c>
      <c r="B1022" s="5" t="s">
        <v>192</v>
      </c>
      <c r="C1022" s="6">
        <v>46105.69493055555</v>
      </c>
      <c r="D1022" s="2">
        <v>-21.0</v>
      </c>
      <c r="H1022" s="2" t="s">
        <v>599</v>
      </c>
    </row>
    <row r="1023" ht="15.75" customHeight="1">
      <c r="A1023" s="2" t="s">
        <v>1656</v>
      </c>
      <c r="B1023" s="2" t="s">
        <v>289</v>
      </c>
      <c r="C1023" s="6">
        <v>46105.69658564815</v>
      </c>
      <c r="D1023" s="2">
        <v>-18.0</v>
      </c>
      <c r="H1023" s="2" t="s">
        <v>599</v>
      </c>
    </row>
    <row r="1024" ht="15.75" customHeight="1">
      <c r="A1024" s="2" t="s">
        <v>1657</v>
      </c>
      <c r="B1024" s="2" t="s">
        <v>295</v>
      </c>
      <c r="C1024" s="6">
        <v>46105.69672453704</v>
      </c>
      <c r="D1024" s="2">
        <v>-24.0</v>
      </c>
      <c r="H1024" s="2" t="s">
        <v>599</v>
      </c>
    </row>
    <row r="1025" ht="15.75" customHeight="1">
      <c r="A1025" s="2" t="s">
        <v>1658</v>
      </c>
      <c r="B1025" s="5" t="s">
        <v>14</v>
      </c>
      <c r="C1025" s="6">
        <v>46105.6971875</v>
      </c>
      <c r="D1025" s="2">
        <v>-20.0</v>
      </c>
      <c r="H1025" s="2" t="s">
        <v>599</v>
      </c>
    </row>
    <row r="1026" ht="15.75" customHeight="1">
      <c r="A1026" s="2" t="s">
        <v>1659</v>
      </c>
      <c r="B1026" s="5" t="s">
        <v>134</v>
      </c>
      <c r="C1026" s="6">
        <v>46105.698229166665</v>
      </c>
      <c r="D1026" s="2">
        <v>-7.0</v>
      </c>
      <c r="H1026" s="2" t="s">
        <v>599</v>
      </c>
    </row>
    <row r="1027" ht="15.75" customHeight="1">
      <c r="A1027" s="2" t="s">
        <v>1660</v>
      </c>
      <c r="B1027" s="5" t="s">
        <v>82</v>
      </c>
      <c r="C1027" s="6">
        <v>46105.69944444444</v>
      </c>
      <c r="D1027" s="2">
        <v>-17.0</v>
      </c>
      <c r="H1027" s="2" t="s">
        <v>599</v>
      </c>
    </row>
    <row r="1028" ht="15.75" customHeight="1">
      <c r="A1028" s="2" t="s">
        <v>1661</v>
      </c>
      <c r="B1028" s="5" t="s">
        <v>59</v>
      </c>
      <c r="C1028" s="6">
        <v>46105.69978009259</v>
      </c>
      <c r="D1028" s="2">
        <v>-2.0</v>
      </c>
      <c r="H1028" s="2" t="s">
        <v>599</v>
      </c>
    </row>
    <row r="1029" ht="15.75" customHeight="1">
      <c r="A1029" s="2" t="s">
        <v>1662</v>
      </c>
      <c r="B1029" s="5" t="s">
        <v>165</v>
      </c>
      <c r="C1029" s="6">
        <v>46105.700949074075</v>
      </c>
      <c r="D1029" s="2">
        <v>-24.0</v>
      </c>
      <c r="H1029" s="2" t="s">
        <v>599</v>
      </c>
    </row>
    <row r="1030" ht="15.75" customHeight="1">
      <c r="A1030" s="2" t="s">
        <v>1663</v>
      </c>
      <c r="B1030" s="5" t="s">
        <v>217</v>
      </c>
      <c r="C1030" s="6">
        <v>46105.701215277775</v>
      </c>
      <c r="D1030" s="2">
        <v>-30.0</v>
      </c>
      <c r="H1030" s="2" t="s">
        <v>599</v>
      </c>
    </row>
    <row r="1031" ht="15.75" customHeight="1">
      <c r="A1031" s="2" t="s">
        <v>1664</v>
      </c>
      <c r="B1031" s="2" t="s">
        <v>271</v>
      </c>
      <c r="C1031" s="6">
        <v>46105.701273148145</v>
      </c>
      <c r="D1031" s="2">
        <v>-15.0</v>
      </c>
      <c r="H1031" s="2" t="s">
        <v>599</v>
      </c>
    </row>
    <row r="1032" ht="15.75" customHeight="1">
      <c r="A1032" s="2" t="s">
        <v>1665</v>
      </c>
      <c r="B1032" s="5" t="s">
        <v>171</v>
      </c>
      <c r="C1032" s="6">
        <v>46105.701736111114</v>
      </c>
      <c r="D1032" s="2">
        <v>-24.0</v>
      </c>
      <c r="H1032" s="2" t="s">
        <v>599</v>
      </c>
    </row>
    <row r="1033" ht="15.75" customHeight="1">
      <c r="A1033" s="2" t="s">
        <v>1666</v>
      </c>
      <c r="B1033" s="2" t="s">
        <v>378</v>
      </c>
      <c r="C1033" s="6">
        <v>46105.702361111114</v>
      </c>
      <c r="D1033" s="2">
        <v>-24.0</v>
      </c>
      <c r="H1033" s="2" t="s">
        <v>599</v>
      </c>
    </row>
    <row r="1034" ht="15.75" customHeight="1">
      <c r="A1034" s="2" t="s">
        <v>1667</v>
      </c>
      <c r="B1034" s="2" t="s">
        <v>384</v>
      </c>
      <c r="C1034" s="6">
        <v>46105.70243055555</v>
      </c>
      <c r="D1034" s="2">
        <v>-24.0</v>
      </c>
      <c r="H1034" s="2" t="s">
        <v>599</v>
      </c>
    </row>
    <row r="1035" ht="15.75" customHeight="1">
      <c r="A1035" s="2" t="s">
        <v>1668</v>
      </c>
      <c r="B1035" s="5" t="s">
        <v>96</v>
      </c>
      <c r="C1035" s="6">
        <v>46105.70266203704</v>
      </c>
      <c r="D1035" s="2">
        <v>-16.0</v>
      </c>
      <c r="H1035" s="2" t="s">
        <v>599</v>
      </c>
    </row>
    <row r="1036" ht="15.75" customHeight="1">
      <c r="A1036" s="2" t="s">
        <v>1669</v>
      </c>
      <c r="B1036" s="2" t="s">
        <v>342</v>
      </c>
      <c r="C1036" s="6">
        <v>46105.70280092592</v>
      </c>
      <c r="D1036" s="2">
        <v>-12.0</v>
      </c>
      <c r="H1036" s="2" t="s">
        <v>599</v>
      </c>
    </row>
    <row r="1037" ht="15.75" customHeight="1">
      <c r="A1037" s="2" t="s">
        <v>1670</v>
      </c>
      <c r="B1037" s="2" t="s">
        <v>369</v>
      </c>
      <c r="C1037" s="6">
        <v>46105.703055555554</v>
      </c>
      <c r="D1037" s="2">
        <v>-12.0</v>
      </c>
      <c r="H1037" s="2" t="s">
        <v>599</v>
      </c>
    </row>
    <row r="1038" ht="15.75" customHeight="1">
      <c r="A1038" s="2" t="s">
        <v>1671</v>
      </c>
      <c r="B1038" s="5" t="s">
        <v>214</v>
      </c>
      <c r="C1038" s="6">
        <v>46105.7031712963</v>
      </c>
      <c r="D1038" s="2">
        <v>-60.0</v>
      </c>
      <c r="H1038" s="2" t="s">
        <v>599</v>
      </c>
    </row>
    <row r="1039" ht="15.75" customHeight="1">
      <c r="A1039" s="2" t="s">
        <v>1672</v>
      </c>
      <c r="B1039" s="2" t="s">
        <v>369</v>
      </c>
      <c r="C1039" s="6">
        <v>46105.79153935185</v>
      </c>
      <c r="D1039" s="2">
        <v>6.0</v>
      </c>
      <c r="H1039" s="2" t="s">
        <v>599</v>
      </c>
    </row>
    <row r="1040" ht="15.75" customHeight="1">
      <c r="A1040" s="2" t="s">
        <v>1673</v>
      </c>
      <c r="B1040" s="2" t="s">
        <v>342</v>
      </c>
      <c r="C1040" s="6">
        <v>46105.79200231482</v>
      </c>
      <c r="D1040" s="2">
        <v>6.0</v>
      </c>
      <c r="H1040" s="2" t="s">
        <v>599</v>
      </c>
    </row>
    <row r="1041" ht="15.75" customHeight="1">
      <c r="A1041" s="2" t="s">
        <v>1674</v>
      </c>
      <c r="B1041" s="5" t="s">
        <v>171</v>
      </c>
      <c r="C1041" s="6">
        <v>46105.793287037035</v>
      </c>
      <c r="D1041" s="2">
        <v>16.0</v>
      </c>
      <c r="H1041" s="2" t="s">
        <v>599</v>
      </c>
    </row>
    <row r="1042" ht="15.75" customHeight="1">
      <c r="A1042" s="2" t="s">
        <v>1675</v>
      </c>
      <c r="B1042" s="2" t="s">
        <v>271</v>
      </c>
      <c r="C1042" s="6">
        <v>46105.82168981482</v>
      </c>
      <c r="D1042" s="2">
        <v>-15.0</v>
      </c>
      <c r="H1042" s="2" t="s">
        <v>599</v>
      </c>
    </row>
    <row r="1043" ht="15.75" customHeight="1">
      <c r="A1043" s="2" t="s">
        <v>1676</v>
      </c>
      <c r="B1043" s="5" t="s">
        <v>217</v>
      </c>
      <c r="C1043" s="6">
        <v>46105.821851851855</v>
      </c>
      <c r="D1043" s="2">
        <v>-30.0</v>
      </c>
      <c r="H1043" s="2" t="s">
        <v>599</v>
      </c>
    </row>
    <row r="1044" ht="15.75" customHeight="1">
      <c r="A1044" s="2" t="s">
        <v>1677</v>
      </c>
      <c r="B1044" s="2" t="s">
        <v>289</v>
      </c>
      <c r="C1044" s="6">
        <v>46105.822071759256</v>
      </c>
      <c r="D1044" s="2">
        <v>-18.0</v>
      </c>
      <c r="H1044" s="2" t="s">
        <v>599</v>
      </c>
    </row>
    <row r="1045" ht="15.75" customHeight="1">
      <c r="A1045" s="2" t="s">
        <v>1678</v>
      </c>
      <c r="B1045" s="5" t="s">
        <v>171</v>
      </c>
      <c r="C1045" s="6">
        <v>46105.8221875</v>
      </c>
      <c r="D1045" s="2">
        <v>-24.0</v>
      </c>
      <c r="H1045" s="2" t="s">
        <v>599</v>
      </c>
    </row>
    <row r="1046" ht="15.75" customHeight="1">
      <c r="A1046" s="2" t="s">
        <v>1679</v>
      </c>
      <c r="B1046" s="2" t="s">
        <v>378</v>
      </c>
      <c r="C1046" s="6">
        <v>46105.8224537037</v>
      </c>
      <c r="D1046" s="2">
        <v>-24.0</v>
      </c>
      <c r="H1046" s="2" t="s">
        <v>599</v>
      </c>
    </row>
    <row r="1047" ht="15.75" customHeight="1">
      <c r="A1047" s="2" t="s">
        <v>1680</v>
      </c>
      <c r="B1047" s="2" t="s">
        <v>372</v>
      </c>
      <c r="C1047" s="6">
        <v>46105.82261574074</v>
      </c>
      <c r="D1047" s="2">
        <v>-24.0</v>
      </c>
      <c r="H1047" s="2" t="s">
        <v>599</v>
      </c>
    </row>
    <row r="1048" ht="15.75" customHeight="1">
      <c r="A1048" s="2" t="s">
        <v>1681</v>
      </c>
      <c r="B1048" s="5" t="s">
        <v>14</v>
      </c>
      <c r="C1048" s="6">
        <v>46105.822858796295</v>
      </c>
      <c r="D1048" s="2">
        <v>-30.0</v>
      </c>
      <c r="H1048" s="2" t="s">
        <v>599</v>
      </c>
    </row>
    <row r="1049" ht="15.75" customHeight="1">
      <c r="A1049" s="2" t="s">
        <v>1682</v>
      </c>
      <c r="B1049" s="5" t="s">
        <v>56</v>
      </c>
      <c r="C1049" s="6">
        <v>46105.82319444444</v>
      </c>
      <c r="D1049" s="2">
        <v>-12.0</v>
      </c>
      <c r="H1049" s="2" t="s">
        <v>599</v>
      </c>
    </row>
    <row r="1050" ht="15.75" customHeight="1">
      <c r="A1050" s="2" t="s">
        <v>1683</v>
      </c>
      <c r="B1050" s="5" t="s">
        <v>96</v>
      </c>
      <c r="C1050" s="6">
        <v>46105.82331018519</v>
      </c>
      <c r="D1050" s="2">
        <v>-24.0</v>
      </c>
      <c r="H1050" s="2" t="s">
        <v>599</v>
      </c>
    </row>
    <row r="1051" ht="15.75" customHeight="1">
      <c r="A1051" s="2" t="s">
        <v>1684</v>
      </c>
      <c r="B1051" s="5" t="s">
        <v>59</v>
      </c>
      <c r="C1051" s="6">
        <v>46105.823645833334</v>
      </c>
      <c r="D1051" s="2">
        <v>-4.0</v>
      </c>
      <c r="H1051" s="2" t="s">
        <v>599</v>
      </c>
    </row>
    <row r="1052" ht="15.75" customHeight="1">
      <c r="A1052" s="2" t="s">
        <v>1685</v>
      </c>
      <c r="B1052" s="5" t="s">
        <v>134</v>
      </c>
      <c r="C1052" s="6">
        <v>46105.82408564815</v>
      </c>
      <c r="D1052" s="2">
        <v>-1.0</v>
      </c>
      <c r="H1052" s="2" t="s">
        <v>599</v>
      </c>
    </row>
    <row r="1053" ht="15.75" customHeight="1">
      <c r="A1053" s="2" t="s">
        <v>1686</v>
      </c>
      <c r="B1053" s="5" t="s">
        <v>59</v>
      </c>
      <c r="C1053" s="6">
        <v>46105.824224537035</v>
      </c>
      <c r="D1053" s="2">
        <v>-6.0</v>
      </c>
      <c r="H1053" s="2" t="s">
        <v>599</v>
      </c>
    </row>
    <row r="1054" ht="15.75" customHeight="1">
      <c r="A1054" s="2" t="s">
        <v>1687</v>
      </c>
      <c r="B1054" s="2" t="s">
        <v>301</v>
      </c>
      <c r="C1054" s="6">
        <v>46105.82494212963</v>
      </c>
      <c r="D1054" s="2">
        <v>-24.0</v>
      </c>
      <c r="H1054" s="2" t="s">
        <v>599</v>
      </c>
    </row>
    <row r="1055" ht="15.75" customHeight="1">
      <c r="A1055" s="2" t="s">
        <v>1688</v>
      </c>
      <c r="B1055" s="5" t="s">
        <v>82</v>
      </c>
      <c r="C1055" s="6">
        <v>46105.82502314815</v>
      </c>
      <c r="D1055" s="2">
        <v>-24.0</v>
      </c>
      <c r="H1055" s="2" t="s">
        <v>599</v>
      </c>
    </row>
    <row r="1056" ht="15.75" customHeight="1">
      <c r="A1056" s="2" t="s">
        <v>1689</v>
      </c>
      <c r="B1056" s="5" t="s">
        <v>192</v>
      </c>
      <c r="C1056" s="6">
        <v>46105.825208333335</v>
      </c>
      <c r="D1056" s="2">
        <v>-24.0</v>
      </c>
      <c r="H1056" s="2" t="s">
        <v>599</v>
      </c>
    </row>
    <row r="1057" ht="15.75" customHeight="1">
      <c r="A1057" s="2" t="s">
        <v>1690</v>
      </c>
      <c r="B1057" s="5" t="s">
        <v>214</v>
      </c>
      <c r="C1057" s="6">
        <v>46105.825370370374</v>
      </c>
      <c r="D1057" s="2">
        <v>-60.0</v>
      </c>
      <c r="H1057" s="2" t="s">
        <v>599</v>
      </c>
    </row>
    <row r="1058" ht="15.75" customHeight="1">
      <c r="A1058" s="2" t="s">
        <v>1691</v>
      </c>
      <c r="B1058" s="5" t="s">
        <v>165</v>
      </c>
      <c r="C1058" s="6">
        <v>46105.8271875</v>
      </c>
      <c r="D1058" s="2">
        <v>-12.0</v>
      </c>
      <c r="H1058" s="2" t="s">
        <v>599</v>
      </c>
    </row>
    <row r="1059" ht="15.75" customHeight="1">
      <c r="A1059" s="2" t="s">
        <v>1692</v>
      </c>
      <c r="B1059" s="2" t="s">
        <v>369</v>
      </c>
      <c r="C1059" s="6">
        <v>46105.82732638889</v>
      </c>
      <c r="D1059" s="2">
        <v>-13.0</v>
      </c>
      <c r="H1059" s="2" t="s">
        <v>599</v>
      </c>
    </row>
    <row r="1060" ht="15.75" customHeight="1">
      <c r="A1060" s="2" t="s">
        <v>1693</v>
      </c>
      <c r="B1060" s="2" t="s">
        <v>342</v>
      </c>
      <c r="C1060" s="6">
        <v>46105.82748842592</v>
      </c>
      <c r="D1060" s="2">
        <v>-3.0</v>
      </c>
      <c r="H1060" s="2" t="s">
        <v>599</v>
      </c>
    </row>
    <row r="1061" ht="15.75" customHeight="1">
      <c r="A1061" s="2" t="s">
        <v>1694</v>
      </c>
      <c r="B1061" s="5" t="s">
        <v>217</v>
      </c>
      <c r="C1061" s="6">
        <v>46105.82826388889</v>
      </c>
      <c r="D1061" s="2">
        <v>-30.0</v>
      </c>
      <c r="H1061" s="2" t="s">
        <v>599</v>
      </c>
    </row>
    <row r="1062" ht="15.75" customHeight="1">
      <c r="A1062" s="2" t="s">
        <v>1695</v>
      </c>
      <c r="B1062" s="2" t="s">
        <v>271</v>
      </c>
      <c r="C1062" s="6">
        <v>46105.82833333333</v>
      </c>
      <c r="D1062" s="2">
        <v>-15.0</v>
      </c>
      <c r="H1062" s="2" t="s">
        <v>599</v>
      </c>
    </row>
    <row r="1063" ht="15.75" customHeight="1">
      <c r="A1063" s="2" t="s">
        <v>1696</v>
      </c>
      <c r="B1063" s="2" t="s">
        <v>289</v>
      </c>
      <c r="C1063" s="6">
        <v>46105.82840277778</v>
      </c>
      <c r="D1063" s="2">
        <v>-18.0</v>
      </c>
      <c r="H1063" s="2" t="s">
        <v>599</v>
      </c>
    </row>
    <row r="1064" ht="15.75" customHeight="1">
      <c r="A1064" s="2" t="s">
        <v>1697</v>
      </c>
      <c r="B1064" s="2" t="s">
        <v>327</v>
      </c>
      <c r="C1064" s="6">
        <v>46105.82846064815</v>
      </c>
      <c r="D1064" s="2">
        <v>-7.0</v>
      </c>
      <c r="H1064" s="2" t="s">
        <v>599</v>
      </c>
    </row>
    <row r="1065" ht="15.75" customHeight="1">
      <c r="A1065" s="2" t="s">
        <v>1698</v>
      </c>
      <c r="B1065" s="2" t="s">
        <v>384</v>
      </c>
      <c r="C1065" s="6">
        <v>46105.828738425924</v>
      </c>
      <c r="D1065" s="2">
        <v>-24.0</v>
      </c>
      <c r="H1065" s="2" t="s">
        <v>599</v>
      </c>
    </row>
    <row r="1066" ht="15.75" customHeight="1">
      <c r="A1066" s="2" t="s">
        <v>1699</v>
      </c>
      <c r="B1066" s="2" t="s">
        <v>372</v>
      </c>
      <c r="C1066" s="6">
        <v>46105.82890046296</v>
      </c>
      <c r="D1066" s="2">
        <v>-24.0</v>
      </c>
      <c r="H1066" s="2" t="s">
        <v>599</v>
      </c>
    </row>
    <row r="1067" ht="15.75" customHeight="1">
      <c r="A1067" s="2" t="s">
        <v>1700</v>
      </c>
      <c r="B1067" s="5" t="s">
        <v>165</v>
      </c>
      <c r="C1067" s="6">
        <v>46105.82916666667</v>
      </c>
      <c r="D1067" s="2">
        <v>-9.0</v>
      </c>
      <c r="H1067" s="2" t="s">
        <v>599</v>
      </c>
    </row>
    <row r="1068" ht="15.75" customHeight="1">
      <c r="A1068" s="2" t="s">
        <v>1701</v>
      </c>
      <c r="B1068" s="2" t="s">
        <v>295</v>
      </c>
      <c r="C1068" s="6">
        <v>46105.82944444445</v>
      </c>
      <c r="D1068" s="2">
        <v>-24.0</v>
      </c>
      <c r="H1068" s="2" t="s">
        <v>599</v>
      </c>
    </row>
    <row r="1069" ht="15.75" customHeight="1">
      <c r="A1069" s="2" t="s">
        <v>1702</v>
      </c>
      <c r="B1069" s="2" t="s">
        <v>369</v>
      </c>
      <c r="C1069" s="6">
        <v>46105.829618055555</v>
      </c>
      <c r="D1069" s="2">
        <v>-7.0</v>
      </c>
      <c r="H1069" s="2" t="s">
        <v>599</v>
      </c>
    </row>
    <row r="1070" ht="15.75" customHeight="1">
      <c r="A1070" s="2" t="s">
        <v>1703</v>
      </c>
      <c r="B1070" s="2" t="s">
        <v>342</v>
      </c>
      <c r="C1070" s="6">
        <v>46105.830196759256</v>
      </c>
      <c r="D1070" s="2">
        <v>-10.0</v>
      </c>
      <c r="H1070" s="2" t="s">
        <v>599</v>
      </c>
    </row>
    <row r="1071" ht="15.75" customHeight="1">
      <c r="A1071" s="2" t="s">
        <v>1704</v>
      </c>
      <c r="B1071" s="5" t="s">
        <v>214</v>
      </c>
      <c r="C1071" s="6">
        <v>46105.830416666664</v>
      </c>
      <c r="D1071" s="2">
        <v>-36.0</v>
      </c>
      <c r="H1071" s="2" t="s">
        <v>599</v>
      </c>
    </row>
    <row r="1072" ht="15.75" customHeight="1">
      <c r="A1072" s="2" t="s">
        <v>1705</v>
      </c>
      <c r="B1072" s="5" t="s">
        <v>142</v>
      </c>
      <c r="C1072" s="6">
        <v>46105.83070601852</v>
      </c>
      <c r="D1072" s="2">
        <v>-11.0</v>
      </c>
      <c r="H1072" s="2" t="s">
        <v>599</v>
      </c>
    </row>
    <row r="1073" ht="15.75" customHeight="1">
      <c r="A1073" s="2" t="s">
        <v>1706</v>
      </c>
      <c r="B1073" s="2" t="s">
        <v>301</v>
      </c>
      <c r="C1073" s="6">
        <v>46105.83082175926</v>
      </c>
      <c r="D1073" s="2">
        <v>-3.0</v>
      </c>
      <c r="H1073" s="2" t="s">
        <v>599</v>
      </c>
    </row>
    <row r="1074" ht="15.75" customHeight="1">
      <c r="A1074" s="2" t="s">
        <v>1707</v>
      </c>
      <c r="B1074" s="2" t="s">
        <v>381</v>
      </c>
      <c r="C1074" s="6">
        <v>46105.83096064815</v>
      </c>
      <c r="D1074" s="2">
        <v>-3.0</v>
      </c>
      <c r="H1074" s="2" t="s">
        <v>599</v>
      </c>
    </row>
    <row r="1075" ht="15.75" customHeight="1">
      <c r="A1075" s="2" t="s">
        <v>1708</v>
      </c>
      <c r="B1075" s="5" t="s">
        <v>206</v>
      </c>
      <c r="C1075" s="6">
        <v>46105.83113425926</v>
      </c>
      <c r="D1075" s="2">
        <v>-4.0</v>
      </c>
      <c r="H1075" s="2" t="s">
        <v>599</v>
      </c>
    </row>
    <row r="1076" ht="15.75" customHeight="1">
      <c r="A1076" s="2" t="s">
        <v>1709</v>
      </c>
      <c r="B1076" s="5" t="s">
        <v>82</v>
      </c>
      <c r="C1076" s="6">
        <v>46105.83163194444</v>
      </c>
      <c r="D1076" s="2">
        <v>-2.0</v>
      </c>
      <c r="H1076" s="2" t="s">
        <v>599</v>
      </c>
    </row>
    <row r="1077" ht="15.75" customHeight="1">
      <c r="A1077" s="2" t="s">
        <v>1710</v>
      </c>
      <c r="B1077" s="2" t="s">
        <v>342</v>
      </c>
      <c r="C1077" s="6">
        <v>46105.92697916667</v>
      </c>
      <c r="D1077" s="2">
        <v>4.0</v>
      </c>
      <c r="H1077" s="2" t="s">
        <v>599</v>
      </c>
    </row>
    <row r="1078" ht="15.75" customHeight="1">
      <c r="A1078" s="2" t="s">
        <v>1711</v>
      </c>
      <c r="B1078" s="5" t="s">
        <v>165</v>
      </c>
      <c r="C1078" s="6">
        <v>46105.92722222222</v>
      </c>
      <c r="D1078" s="2">
        <v>3.0</v>
      </c>
      <c r="H1078" s="2" t="s">
        <v>599</v>
      </c>
    </row>
    <row r="1079" ht="15.75" customHeight="1">
      <c r="A1079" s="2" t="s">
        <v>1712</v>
      </c>
      <c r="B1079" s="5" t="s">
        <v>96</v>
      </c>
      <c r="C1079" s="6">
        <v>46105.92733796296</v>
      </c>
      <c r="D1079" s="2">
        <v>2.0</v>
      </c>
      <c r="H1079" s="2" t="s">
        <v>599</v>
      </c>
    </row>
    <row r="1080" ht="15.75" customHeight="1">
      <c r="A1080" s="2" t="s">
        <v>1713</v>
      </c>
      <c r="B1080" s="2" t="s">
        <v>369</v>
      </c>
      <c r="C1080" s="6">
        <v>46105.927465277775</v>
      </c>
      <c r="D1080" s="2">
        <v>1.0</v>
      </c>
      <c r="H1080" s="2" t="s">
        <v>599</v>
      </c>
    </row>
    <row r="1081" ht="15.75" customHeight="1">
      <c r="A1081" s="2" t="s">
        <v>1714</v>
      </c>
      <c r="B1081" s="5" t="s">
        <v>142</v>
      </c>
      <c r="C1081" s="6">
        <v>46105.9275462963</v>
      </c>
      <c r="D1081" s="2">
        <v>1.0</v>
      </c>
      <c r="H1081" s="2" t="s">
        <v>599</v>
      </c>
    </row>
    <row r="1082" ht="15.75" customHeight="1">
      <c r="A1082" s="2" t="s">
        <v>1715</v>
      </c>
      <c r="B1082" s="2" t="s">
        <v>381</v>
      </c>
      <c r="C1082" s="6">
        <v>46105.927615740744</v>
      </c>
      <c r="D1082" s="2">
        <v>1.0</v>
      </c>
      <c r="H1082" s="2" t="s">
        <v>599</v>
      </c>
    </row>
    <row r="1083" ht="15.75" customHeight="1">
      <c r="A1083" s="2" t="s">
        <v>1716</v>
      </c>
      <c r="B1083" s="2" t="s">
        <v>327</v>
      </c>
      <c r="C1083" s="6">
        <v>46106.481990740744</v>
      </c>
      <c r="D1083" s="2">
        <v>-5.0</v>
      </c>
      <c r="H1083" s="2" t="s">
        <v>599</v>
      </c>
    </row>
    <row r="1084" ht="15.75" customHeight="1">
      <c r="A1084" s="2" t="s">
        <v>1717</v>
      </c>
      <c r="B1084" s="2" t="s">
        <v>289</v>
      </c>
      <c r="C1084" s="6">
        <v>46106.482152777775</v>
      </c>
      <c r="D1084" s="2">
        <v>-14.0</v>
      </c>
      <c r="H1084" s="2" t="s">
        <v>599</v>
      </c>
    </row>
    <row r="1085" ht="15.75" customHeight="1">
      <c r="A1085" s="2" t="s">
        <v>1718</v>
      </c>
      <c r="B1085" s="2" t="s">
        <v>271</v>
      </c>
      <c r="C1085" s="6">
        <v>46106.48221064815</v>
      </c>
      <c r="D1085" s="2">
        <v>-14.0</v>
      </c>
      <c r="H1085" s="2" t="s">
        <v>599</v>
      </c>
    </row>
    <row r="1086" ht="15.75" customHeight="1">
      <c r="A1086" s="2" t="s">
        <v>1719</v>
      </c>
      <c r="B1086" s="5" t="s">
        <v>217</v>
      </c>
      <c r="C1086" s="6">
        <v>46106.48229166667</v>
      </c>
      <c r="D1086" s="2">
        <v>-14.0</v>
      </c>
      <c r="H1086" s="2" t="s">
        <v>599</v>
      </c>
    </row>
    <row r="1087" ht="15.75" customHeight="1">
      <c r="A1087" s="2" t="s">
        <v>1720</v>
      </c>
      <c r="B1087" s="5" t="s">
        <v>120</v>
      </c>
      <c r="C1087" s="6">
        <v>46106.48241898148</v>
      </c>
      <c r="D1087" s="2">
        <v>-5.0</v>
      </c>
      <c r="H1087" s="2" t="s">
        <v>599</v>
      </c>
    </row>
    <row r="1088" ht="15.75" customHeight="1">
      <c r="A1088" s="2" t="s">
        <v>1721</v>
      </c>
      <c r="B1088" s="5" t="s">
        <v>131</v>
      </c>
      <c r="C1088" s="6">
        <v>46106.48253472222</v>
      </c>
      <c r="D1088" s="2">
        <v>-7.0</v>
      </c>
      <c r="H1088" s="2" t="s">
        <v>599</v>
      </c>
    </row>
    <row r="1089" ht="15.75" customHeight="1">
      <c r="A1089" s="2" t="s">
        <v>1722</v>
      </c>
      <c r="B1089" s="5" t="s">
        <v>171</v>
      </c>
      <c r="C1089" s="6">
        <v>46106.48339120371</v>
      </c>
      <c r="D1089" s="2">
        <v>-12.0</v>
      </c>
      <c r="H1089" s="2" t="s">
        <v>599</v>
      </c>
    </row>
    <row r="1090" ht="15.75" customHeight="1">
      <c r="A1090" s="2" t="s">
        <v>1723</v>
      </c>
      <c r="B1090" s="5" t="s">
        <v>186</v>
      </c>
      <c r="C1090" s="6">
        <v>46106.48407407408</v>
      </c>
      <c r="D1090" s="2">
        <v>-10.0</v>
      </c>
      <c r="H1090" s="2" t="s">
        <v>599</v>
      </c>
    </row>
    <row r="1091" ht="15.75" customHeight="1">
      <c r="A1091" s="2" t="s">
        <v>1724</v>
      </c>
      <c r="B1091" s="5" t="s">
        <v>148</v>
      </c>
      <c r="C1091" s="6">
        <v>46106.48434027778</v>
      </c>
      <c r="D1091" s="2">
        <v>-5.0</v>
      </c>
      <c r="H1091" s="2" t="s">
        <v>599</v>
      </c>
    </row>
    <row r="1092" ht="15.75" customHeight="1">
      <c r="A1092" s="2" t="s">
        <v>1725</v>
      </c>
      <c r="B1092" s="5" t="s">
        <v>165</v>
      </c>
      <c r="C1092" s="6">
        <v>46106.48546296296</v>
      </c>
      <c r="D1092" s="2">
        <v>-17.0</v>
      </c>
      <c r="H1092" s="2" t="s">
        <v>599</v>
      </c>
    </row>
    <row r="1093" ht="15.75" customHeight="1">
      <c r="A1093" s="2" t="s">
        <v>1726</v>
      </c>
      <c r="B1093" s="5" t="s">
        <v>180</v>
      </c>
      <c r="C1093" s="6">
        <v>46106.485555555555</v>
      </c>
      <c r="D1093" s="2">
        <v>-16.0</v>
      </c>
      <c r="H1093" s="2" t="s">
        <v>599</v>
      </c>
    </row>
    <row r="1094" ht="15.75" customHeight="1">
      <c r="A1094" s="2" t="s">
        <v>1727</v>
      </c>
      <c r="B1094" s="2" t="s">
        <v>375</v>
      </c>
      <c r="C1094" s="6">
        <v>46106.48741898148</v>
      </c>
      <c r="D1094" s="2">
        <v>-7.0</v>
      </c>
      <c r="H1094" s="2" t="s">
        <v>599</v>
      </c>
    </row>
    <row r="1095" ht="15.75" customHeight="1">
      <c r="A1095" s="2" t="s">
        <v>1728</v>
      </c>
      <c r="B1095" s="2" t="s">
        <v>384</v>
      </c>
      <c r="C1095" s="6">
        <v>46106.48753472222</v>
      </c>
      <c r="D1095" s="2">
        <v>-10.0</v>
      </c>
      <c r="H1095" s="2" t="s">
        <v>599</v>
      </c>
    </row>
    <row r="1096" ht="15.75" customHeight="1">
      <c r="A1096" s="2" t="s">
        <v>1729</v>
      </c>
      <c r="B1096" s="2" t="s">
        <v>372</v>
      </c>
      <c r="C1096" s="6">
        <v>46106.48771990741</v>
      </c>
      <c r="D1096" s="2">
        <v>-24.0</v>
      </c>
      <c r="H1096" s="2" t="s">
        <v>599</v>
      </c>
    </row>
    <row r="1097" ht="15.75" customHeight="1">
      <c r="A1097" s="2" t="s">
        <v>1730</v>
      </c>
      <c r="B1097" s="2" t="s">
        <v>360</v>
      </c>
      <c r="C1097" s="6">
        <v>46106.48814814815</v>
      </c>
      <c r="D1097" s="2">
        <v>-24.0</v>
      </c>
      <c r="H1097" s="2" t="s">
        <v>599</v>
      </c>
    </row>
    <row r="1098" ht="15.75" customHeight="1">
      <c r="A1098" s="2" t="s">
        <v>1731</v>
      </c>
      <c r="B1098" s="5" t="s">
        <v>59</v>
      </c>
      <c r="C1098" s="6">
        <v>46106.48849537037</v>
      </c>
      <c r="D1098" s="2">
        <v>-8.0</v>
      </c>
      <c r="H1098" s="2" t="s">
        <v>599</v>
      </c>
    </row>
    <row r="1099" ht="15.75" customHeight="1">
      <c r="A1099" s="2" t="s">
        <v>1732</v>
      </c>
      <c r="B1099" s="2" t="s">
        <v>301</v>
      </c>
      <c r="C1099" s="6">
        <v>46106.48961805556</v>
      </c>
      <c r="D1099" s="2">
        <v>-21.0</v>
      </c>
      <c r="H1099" s="2" t="s">
        <v>599</v>
      </c>
    </row>
    <row r="1100" ht="15.75" customHeight="1">
      <c r="A1100" s="2" t="s">
        <v>1733</v>
      </c>
      <c r="B1100" s="5" t="s">
        <v>82</v>
      </c>
      <c r="C1100" s="6">
        <v>46106.48983796296</v>
      </c>
      <c r="D1100" s="2">
        <v>-3.0</v>
      </c>
      <c r="H1100" s="2" t="s">
        <v>599</v>
      </c>
    </row>
    <row r="1101" ht="15.75" customHeight="1">
      <c r="A1101" s="2" t="s">
        <v>1734</v>
      </c>
      <c r="B1101" s="2" t="s">
        <v>381</v>
      </c>
      <c r="C1101" s="6">
        <v>46106.490625</v>
      </c>
      <c r="D1101" s="2">
        <v>-7.0</v>
      </c>
      <c r="H1101" s="2" t="s">
        <v>599</v>
      </c>
    </row>
    <row r="1102" ht="15.75" customHeight="1">
      <c r="A1102" s="2" t="s">
        <v>1735</v>
      </c>
      <c r="B1102" s="2" t="s">
        <v>354</v>
      </c>
      <c r="C1102" s="6">
        <v>46106.49101851852</v>
      </c>
      <c r="D1102" s="2">
        <v>-7.0</v>
      </c>
      <c r="H1102" s="2" t="s">
        <v>599</v>
      </c>
    </row>
    <row r="1103" ht="15.75" customHeight="1">
      <c r="A1103" s="2" t="s">
        <v>1736</v>
      </c>
      <c r="B1103" s="5" t="s">
        <v>192</v>
      </c>
      <c r="C1103" s="6">
        <v>46106.491435185184</v>
      </c>
      <c r="D1103" s="2">
        <v>-12.0</v>
      </c>
      <c r="H1103" s="2" t="s">
        <v>599</v>
      </c>
    </row>
    <row r="1104" ht="15.75" customHeight="1">
      <c r="A1104" s="2" t="s">
        <v>1737</v>
      </c>
      <c r="B1104" s="5" t="s">
        <v>214</v>
      </c>
      <c r="C1104" s="6">
        <v>46106.49253472222</v>
      </c>
      <c r="D1104" s="2">
        <v>-48.0</v>
      </c>
      <c r="H1104" s="2" t="s">
        <v>599</v>
      </c>
    </row>
    <row r="1105" ht="15.75" customHeight="1">
      <c r="A1105" s="2" t="s">
        <v>1738</v>
      </c>
      <c r="B1105" s="2" t="s">
        <v>360</v>
      </c>
      <c r="C1105" s="6">
        <v>46106.55856481481</v>
      </c>
      <c r="D1105" s="2">
        <v>3.0</v>
      </c>
      <c r="H1105" s="2" t="s">
        <v>599</v>
      </c>
    </row>
    <row r="1106" ht="15.75" customHeight="1">
      <c r="A1106" s="2" t="s">
        <v>1739</v>
      </c>
      <c r="B1106" s="5" t="s">
        <v>192</v>
      </c>
      <c r="C1106" s="6">
        <v>46106.61373842593</v>
      </c>
      <c r="D1106" s="2">
        <v>240.0</v>
      </c>
      <c r="E1106" s="2" t="s">
        <v>1740</v>
      </c>
      <c r="H1106" s="2" t="s">
        <v>571</v>
      </c>
    </row>
    <row r="1107" ht="15.75" customHeight="1">
      <c r="A1107" s="2" t="s">
        <v>1741</v>
      </c>
      <c r="B1107" s="2" t="s">
        <v>327</v>
      </c>
      <c r="C1107" s="6">
        <v>46106.61381944444</v>
      </c>
      <c r="D1107" s="2">
        <v>140.0</v>
      </c>
      <c r="E1107" s="2" t="s">
        <v>1740</v>
      </c>
      <c r="H1107" s="2" t="s">
        <v>571</v>
      </c>
    </row>
    <row r="1108" ht="15.75" customHeight="1">
      <c r="A1108" s="2" t="s">
        <v>1742</v>
      </c>
      <c r="B1108" s="2" t="s">
        <v>295</v>
      </c>
      <c r="C1108" s="6">
        <v>46106.613912037035</v>
      </c>
      <c r="D1108" s="2">
        <v>240.0</v>
      </c>
      <c r="E1108" s="2" t="s">
        <v>1740</v>
      </c>
      <c r="H1108" s="2" t="s">
        <v>571</v>
      </c>
    </row>
    <row r="1109" ht="15.75" customHeight="1">
      <c r="A1109" s="2" t="s">
        <v>1743</v>
      </c>
      <c r="B1109" s="5" t="s">
        <v>171</v>
      </c>
      <c r="C1109" s="6">
        <v>46106.61400462963</v>
      </c>
      <c r="D1109" s="2">
        <v>72.0</v>
      </c>
      <c r="E1109" s="2" t="s">
        <v>1740</v>
      </c>
      <c r="H1109" s="2" t="s">
        <v>571</v>
      </c>
    </row>
    <row r="1110" ht="15.75" customHeight="1">
      <c r="A1110" s="2" t="s">
        <v>1744</v>
      </c>
      <c r="B1110" s="5" t="s">
        <v>165</v>
      </c>
      <c r="C1110" s="6">
        <v>46106.61505787037</v>
      </c>
      <c r="D1110" s="2">
        <v>120.0</v>
      </c>
      <c r="E1110" s="2" t="s">
        <v>1745</v>
      </c>
      <c r="H1110" s="2" t="s">
        <v>571</v>
      </c>
    </row>
    <row r="1111" ht="15.75" customHeight="1">
      <c r="A1111" s="2" t="s">
        <v>1746</v>
      </c>
      <c r="B1111" s="5" t="s">
        <v>131</v>
      </c>
      <c r="C1111" s="6">
        <v>46106.61515046296</v>
      </c>
      <c r="D1111" s="2">
        <v>24.0</v>
      </c>
      <c r="E1111" s="2" t="s">
        <v>1745</v>
      </c>
      <c r="H1111" s="2" t="s">
        <v>571</v>
      </c>
    </row>
    <row r="1112" ht="15.75" customHeight="1">
      <c r="A1112" s="2" t="s">
        <v>1747</v>
      </c>
      <c r="B1112" s="5" t="s">
        <v>120</v>
      </c>
      <c r="C1112" s="6">
        <v>46106.61524305555</v>
      </c>
      <c r="D1112" s="2">
        <v>16.0</v>
      </c>
      <c r="E1112" s="2" t="s">
        <v>1745</v>
      </c>
      <c r="H1112" s="2" t="s">
        <v>571</v>
      </c>
    </row>
    <row r="1113" ht="15.75" customHeight="1">
      <c r="A1113" s="2" t="s">
        <v>1748</v>
      </c>
      <c r="B1113" s="5" t="s">
        <v>217</v>
      </c>
      <c r="C1113" s="6">
        <v>46106.6153125</v>
      </c>
      <c r="D1113" s="2">
        <v>195.0</v>
      </c>
      <c r="E1113" s="2" t="s">
        <v>1745</v>
      </c>
      <c r="H1113" s="2" t="s">
        <v>571</v>
      </c>
    </row>
    <row r="1114" ht="15.75" customHeight="1">
      <c r="A1114" s="2" t="s">
        <v>1749</v>
      </c>
      <c r="B1114" s="2" t="s">
        <v>271</v>
      </c>
      <c r="C1114" s="6">
        <v>46106.61540509259</v>
      </c>
      <c r="D1114" s="2">
        <v>105.0</v>
      </c>
      <c r="E1114" s="2" t="s">
        <v>1745</v>
      </c>
      <c r="H1114" s="2" t="s">
        <v>571</v>
      </c>
    </row>
    <row r="1115" ht="15.75" customHeight="1">
      <c r="A1115" s="2" t="s">
        <v>1750</v>
      </c>
      <c r="B1115" s="5" t="s">
        <v>82</v>
      </c>
      <c r="C1115" s="6">
        <v>46106.615578703706</v>
      </c>
      <c r="D1115" s="2">
        <v>48.0</v>
      </c>
      <c r="E1115" s="2" t="s">
        <v>1745</v>
      </c>
      <c r="H1115" s="2" t="s">
        <v>571</v>
      </c>
    </row>
    <row r="1116" ht="15.75" customHeight="1">
      <c r="A1116" s="2" t="s">
        <v>1751</v>
      </c>
      <c r="B1116" s="2" t="s">
        <v>301</v>
      </c>
      <c r="C1116" s="6">
        <v>46106.61572916667</v>
      </c>
      <c r="D1116" s="2">
        <v>48.0</v>
      </c>
      <c r="E1116" s="2" t="s">
        <v>1745</v>
      </c>
      <c r="H1116" s="2" t="s">
        <v>571</v>
      </c>
    </row>
    <row r="1117" ht="15.75" customHeight="1">
      <c r="A1117" s="2" t="s">
        <v>1752</v>
      </c>
      <c r="B1117" s="2" t="s">
        <v>381</v>
      </c>
      <c r="C1117" s="6">
        <v>46106.616122685184</v>
      </c>
      <c r="D1117" s="2">
        <v>24.0</v>
      </c>
      <c r="E1117" s="2" t="s">
        <v>1745</v>
      </c>
      <c r="H1117" s="2" t="s">
        <v>571</v>
      </c>
    </row>
    <row r="1118" ht="15.75" customHeight="1">
      <c r="A1118" s="2" t="s">
        <v>1753</v>
      </c>
      <c r="B1118" s="2" t="s">
        <v>289</v>
      </c>
      <c r="C1118" s="6">
        <v>46106.6183912037</v>
      </c>
      <c r="D1118" s="2">
        <v>144.0</v>
      </c>
      <c r="E1118" s="2" t="s">
        <v>1754</v>
      </c>
      <c r="H1118" s="2" t="s">
        <v>571</v>
      </c>
    </row>
    <row r="1119" ht="15.75" customHeight="1">
      <c r="A1119" s="2" t="s">
        <v>1755</v>
      </c>
      <c r="B1119" s="2" t="s">
        <v>384</v>
      </c>
      <c r="C1119" s="6">
        <v>46106.61846064815</v>
      </c>
      <c r="D1119" s="2">
        <v>72.0</v>
      </c>
      <c r="E1119" s="2" t="s">
        <v>1754</v>
      </c>
      <c r="H1119" s="2" t="s">
        <v>571</v>
      </c>
    </row>
    <row r="1120" ht="15.75" customHeight="1">
      <c r="A1120" s="2" t="s">
        <v>1756</v>
      </c>
      <c r="B1120" s="5" t="s">
        <v>206</v>
      </c>
      <c r="C1120" s="6">
        <v>46106.61851851852</v>
      </c>
      <c r="D1120" s="2">
        <v>24.0</v>
      </c>
      <c r="E1120" s="2" t="s">
        <v>1754</v>
      </c>
      <c r="H1120" s="2" t="s">
        <v>571</v>
      </c>
    </row>
    <row r="1121" ht="15.75" customHeight="1">
      <c r="A1121" s="2" t="s">
        <v>1757</v>
      </c>
      <c r="B1121" s="2" t="s">
        <v>372</v>
      </c>
      <c r="C1121" s="6">
        <v>46106.61858796296</v>
      </c>
      <c r="D1121" s="2">
        <v>72.0</v>
      </c>
      <c r="E1121" s="2" t="s">
        <v>1754</v>
      </c>
      <c r="H1121" s="2" t="s">
        <v>571</v>
      </c>
    </row>
    <row r="1122" ht="15.75" customHeight="1">
      <c r="A1122" s="2" t="s">
        <v>1758</v>
      </c>
      <c r="B1122" s="2" t="s">
        <v>378</v>
      </c>
      <c r="C1122" s="6">
        <v>46106.61866898148</v>
      </c>
      <c r="D1122" s="2">
        <v>48.0</v>
      </c>
      <c r="E1122" s="2" t="s">
        <v>1754</v>
      </c>
      <c r="H1122" s="2" t="s">
        <v>571</v>
      </c>
    </row>
    <row r="1123" ht="15.75" customHeight="1">
      <c r="A1123" s="2" t="s">
        <v>1759</v>
      </c>
      <c r="B1123" s="2" t="s">
        <v>375</v>
      </c>
      <c r="C1123" s="6">
        <v>46106.618738425925</v>
      </c>
      <c r="D1123" s="2">
        <v>48.0</v>
      </c>
      <c r="E1123" s="2" t="s">
        <v>1754</v>
      </c>
      <c r="H1123" s="2" t="s">
        <v>571</v>
      </c>
    </row>
    <row r="1124" ht="15.75" customHeight="1">
      <c r="A1124" s="2" t="s">
        <v>1760</v>
      </c>
      <c r="B1124" s="5" t="s">
        <v>186</v>
      </c>
      <c r="C1124" s="6">
        <v>46106.61883101852</v>
      </c>
      <c r="D1124" s="2">
        <v>10.0</v>
      </c>
      <c r="E1124" s="2" t="s">
        <v>1754</v>
      </c>
      <c r="H1124" s="2" t="s">
        <v>571</v>
      </c>
    </row>
    <row r="1125" ht="15.75" customHeight="1">
      <c r="A1125" s="2" t="s">
        <v>1761</v>
      </c>
      <c r="B1125" s="2" t="s">
        <v>369</v>
      </c>
      <c r="C1125" s="6">
        <v>46106.61888888889</v>
      </c>
      <c r="D1125" s="2">
        <v>84.0</v>
      </c>
      <c r="E1125" s="2" t="s">
        <v>1754</v>
      </c>
      <c r="H1125" s="2" t="s">
        <v>571</v>
      </c>
    </row>
    <row r="1126" ht="15.75" customHeight="1">
      <c r="A1126" s="2" t="s">
        <v>1762</v>
      </c>
      <c r="B1126" s="5" t="s">
        <v>96</v>
      </c>
      <c r="C1126" s="6">
        <v>46106.61895833333</v>
      </c>
      <c r="D1126" s="2">
        <v>48.0</v>
      </c>
      <c r="E1126" s="2" t="s">
        <v>1754</v>
      </c>
      <c r="H1126" s="2" t="s">
        <v>571</v>
      </c>
    </row>
    <row r="1127" ht="15.75" customHeight="1">
      <c r="A1127" s="2" t="s">
        <v>1763</v>
      </c>
      <c r="B1127" s="5" t="s">
        <v>14</v>
      </c>
      <c r="C1127" s="6">
        <v>46106.61908564815</v>
      </c>
      <c r="D1127" s="2">
        <v>60.0</v>
      </c>
      <c r="E1127" s="2" t="s">
        <v>1764</v>
      </c>
      <c r="H1127" s="2" t="s">
        <v>571</v>
      </c>
    </row>
    <row r="1128" ht="15.75" customHeight="1">
      <c r="A1128" s="2" t="s">
        <v>1765</v>
      </c>
      <c r="B1128" s="2" t="s">
        <v>342</v>
      </c>
      <c r="C1128" s="6">
        <v>46106.61914351852</v>
      </c>
      <c r="D1128" s="2">
        <v>22.0</v>
      </c>
      <c r="E1128" s="2" t="s">
        <v>1764</v>
      </c>
      <c r="H1128" s="2" t="s">
        <v>571</v>
      </c>
    </row>
    <row r="1129" ht="15.75" customHeight="1">
      <c r="A1129" s="2" t="s">
        <v>1766</v>
      </c>
      <c r="B1129" s="5" t="s">
        <v>142</v>
      </c>
      <c r="C1129" s="6">
        <v>46106.63505787037</v>
      </c>
      <c r="D1129" s="2">
        <v>120.0</v>
      </c>
      <c r="E1129" s="2" t="s">
        <v>1767</v>
      </c>
      <c r="H1129" s="2" t="s">
        <v>571</v>
      </c>
    </row>
    <row r="1130" ht="15.75" customHeight="1">
      <c r="A1130" s="2" t="s">
        <v>1768</v>
      </c>
      <c r="B1130" s="5" t="s">
        <v>82</v>
      </c>
      <c r="C1130" s="6">
        <v>46106.63512731482</v>
      </c>
      <c r="D1130" s="2">
        <v>72.0</v>
      </c>
      <c r="E1130" s="2" t="s">
        <v>1767</v>
      </c>
      <c r="H1130" s="2" t="s">
        <v>571</v>
      </c>
    </row>
    <row r="1131" ht="15.75" customHeight="1">
      <c r="A1131" s="2" t="s">
        <v>1769</v>
      </c>
      <c r="B1131" s="2" t="s">
        <v>301</v>
      </c>
      <c r="C1131" s="6">
        <v>46106.64275462963</v>
      </c>
      <c r="D1131" s="2">
        <v>72.0</v>
      </c>
      <c r="E1131" s="2" t="s">
        <v>1767</v>
      </c>
      <c r="H1131" s="2" t="s">
        <v>571</v>
      </c>
    </row>
    <row r="1132" ht="15.75" customHeight="1">
      <c r="A1132" s="2" t="s">
        <v>1770</v>
      </c>
      <c r="B1132" s="5" t="s">
        <v>85</v>
      </c>
      <c r="C1132" s="6">
        <v>46106.64282407407</v>
      </c>
      <c r="D1132" s="2">
        <v>24.0</v>
      </c>
      <c r="E1132" s="2" t="s">
        <v>1767</v>
      </c>
      <c r="H1132" s="2" t="s">
        <v>571</v>
      </c>
    </row>
    <row r="1133" ht="15.75" customHeight="1">
      <c r="A1133" s="2" t="s">
        <v>1771</v>
      </c>
      <c r="B1133" s="5" t="s">
        <v>214</v>
      </c>
      <c r="C1133" s="6">
        <v>46106.643113425926</v>
      </c>
      <c r="D1133" s="2">
        <v>600.0</v>
      </c>
      <c r="E1133" s="2" t="s">
        <v>1772</v>
      </c>
      <c r="H1133" s="2" t="s">
        <v>571</v>
      </c>
    </row>
    <row r="1134" ht="15.75" customHeight="1">
      <c r="A1134" s="2" t="s">
        <v>1773</v>
      </c>
      <c r="B1134" s="2" t="s">
        <v>327</v>
      </c>
      <c r="C1134" s="6">
        <v>46107.405706018515</v>
      </c>
      <c r="D1134" s="2">
        <v>-7.0</v>
      </c>
      <c r="E1134" s="2"/>
      <c r="H1134" s="2" t="s">
        <v>571</v>
      </c>
    </row>
    <row r="1135" ht="15.75" customHeight="1">
      <c r="A1135" s="2" t="s">
        <v>1774</v>
      </c>
      <c r="B1135" s="2" t="s">
        <v>289</v>
      </c>
      <c r="C1135" s="6">
        <v>46107.40582175926</v>
      </c>
      <c r="D1135" s="2">
        <v>-14.0</v>
      </c>
      <c r="E1135" s="2"/>
      <c r="H1135" s="2" t="s">
        <v>571</v>
      </c>
    </row>
    <row r="1136" ht="15.75" customHeight="1">
      <c r="A1136" s="2" t="s">
        <v>1775</v>
      </c>
      <c r="B1136" s="2" t="s">
        <v>375</v>
      </c>
      <c r="C1136" s="6">
        <v>46107.406006944446</v>
      </c>
      <c r="D1136" s="2">
        <v>-5.0</v>
      </c>
      <c r="E1136" s="2"/>
      <c r="H1136" s="2" t="s">
        <v>571</v>
      </c>
    </row>
    <row r="1137" ht="15.75" customHeight="1">
      <c r="A1137" s="2" t="s">
        <v>1776</v>
      </c>
      <c r="B1137" s="2" t="s">
        <v>384</v>
      </c>
      <c r="C1137" s="6">
        <v>46107.40621527778</v>
      </c>
      <c r="D1137" s="2">
        <v>-5.0</v>
      </c>
      <c r="E1137" s="2"/>
      <c r="H1137" s="2" t="s">
        <v>571</v>
      </c>
    </row>
    <row r="1138" ht="15.75" customHeight="1">
      <c r="A1138" s="2" t="s">
        <v>1777</v>
      </c>
      <c r="B1138" s="2" t="s">
        <v>369</v>
      </c>
      <c r="C1138" s="6">
        <v>46107.40635416667</v>
      </c>
      <c r="D1138" s="2">
        <v>-12.0</v>
      </c>
      <c r="E1138" s="2"/>
      <c r="H1138" s="2" t="s">
        <v>571</v>
      </c>
    </row>
    <row r="1139" ht="15.75" customHeight="1">
      <c r="A1139" s="2" t="s">
        <v>1778</v>
      </c>
      <c r="B1139" s="2" t="s">
        <v>342</v>
      </c>
      <c r="C1139" s="6">
        <v>46107.4065162037</v>
      </c>
      <c r="D1139" s="2">
        <v>-5.0</v>
      </c>
      <c r="E1139" s="2"/>
      <c r="H1139" s="2" t="s">
        <v>571</v>
      </c>
    </row>
    <row r="1140" ht="15.75" customHeight="1">
      <c r="A1140" s="2" t="s">
        <v>1779</v>
      </c>
      <c r="B1140" s="5" t="s">
        <v>142</v>
      </c>
      <c r="C1140" s="6">
        <v>46107.40665509259</v>
      </c>
      <c r="D1140" s="2">
        <v>-3.0</v>
      </c>
      <c r="E1140" s="2"/>
      <c r="H1140" s="2" t="s">
        <v>571</v>
      </c>
    </row>
    <row r="1141" ht="15.75" customHeight="1">
      <c r="A1141" s="2" t="s">
        <v>1780</v>
      </c>
      <c r="B1141" s="5" t="s">
        <v>85</v>
      </c>
      <c r="C1141" s="6">
        <v>46107.4068287037</v>
      </c>
      <c r="D1141" s="2">
        <v>-4.0</v>
      </c>
      <c r="E1141" s="2"/>
      <c r="H1141" s="2" t="s">
        <v>571</v>
      </c>
    </row>
    <row r="1142" ht="15.75" customHeight="1">
      <c r="A1142" s="2" t="s">
        <v>1781</v>
      </c>
      <c r="B1142" s="5" t="s">
        <v>192</v>
      </c>
      <c r="C1142" s="6">
        <v>46107.40696759259</v>
      </c>
      <c r="D1142" s="2">
        <v>-8.0</v>
      </c>
      <c r="E1142" s="2"/>
      <c r="H1142" s="2" t="s">
        <v>571</v>
      </c>
    </row>
    <row r="1143" ht="15.75" customHeight="1">
      <c r="A1143" s="2" t="s">
        <v>1782</v>
      </c>
      <c r="B1143" s="2" t="s">
        <v>327</v>
      </c>
      <c r="C1143" s="6">
        <v>46107.40710648148</v>
      </c>
      <c r="D1143" s="2">
        <v>-14.0</v>
      </c>
      <c r="E1143" s="2"/>
      <c r="H1143" s="2" t="s">
        <v>599</v>
      </c>
    </row>
    <row r="1144" ht="15.75" customHeight="1">
      <c r="A1144" s="2" t="s">
        <v>1783</v>
      </c>
      <c r="B1144" s="2" t="s">
        <v>289</v>
      </c>
      <c r="C1144" s="6">
        <v>46107.4071875</v>
      </c>
      <c r="D1144" s="2">
        <v>-14.0</v>
      </c>
      <c r="E1144" s="2"/>
      <c r="H1144" s="2" t="s">
        <v>599</v>
      </c>
    </row>
    <row r="1145" ht="15.75" customHeight="1">
      <c r="A1145" s="2" t="s">
        <v>1784</v>
      </c>
      <c r="B1145" s="5" t="s">
        <v>217</v>
      </c>
      <c r="C1145" s="6">
        <v>46107.4075</v>
      </c>
      <c r="D1145" s="2">
        <v>-15.0</v>
      </c>
      <c r="E1145" s="2"/>
      <c r="H1145" s="2" t="s">
        <v>599</v>
      </c>
    </row>
    <row r="1146" ht="15.75" customHeight="1">
      <c r="A1146" s="2" t="s">
        <v>1785</v>
      </c>
      <c r="B1146" s="2" t="s">
        <v>271</v>
      </c>
      <c r="C1146" s="6">
        <v>46107.40758101852</v>
      </c>
      <c r="D1146" s="2">
        <v>-15.0</v>
      </c>
      <c r="E1146" s="2"/>
      <c r="H1146" s="2" t="s">
        <v>599</v>
      </c>
    </row>
    <row r="1147" ht="15.75" customHeight="1">
      <c r="A1147" s="2" t="s">
        <v>1786</v>
      </c>
      <c r="B1147" s="2" t="s">
        <v>375</v>
      </c>
      <c r="C1147" s="6">
        <v>46107.40855324074</v>
      </c>
      <c r="D1147" s="2">
        <v>-12.0</v>
      </c>
      <c r="E1147" s="2"/>
      <c r="H1147" s="2" t="s">
        <v>599</v>
      </c>
    </row>
    <row r="1148" ht="15.75" customHeight="1">
      <c r="A1148" s="2" t="s">
        <v>1787</v>
      </c>
      <c r="B1148" s="2" t="s">
        <v>384</v>
      </c>
      <c r="C1148" s="6">
        <v>46107.40864583333</v>
      </c>
      <c r="D1148" s="2">
        <v>-9.0</v>
      </c>
      <c r="E1148" s="2"/>
      <c r="H1148" s="2" t="s">
        <v>599</v>
      </c>
    </row>
    <row r="1149" ht="15.75" customHeight="1">
      <c r="A1149" s="2" t="s">
        <v>1788</v>
      </c>
      <c r="B1149" s="2" t="s">
        <v>375</v>
      </c>
      <c r="C1149" s="6">
        <v>46107.409004629626</v>
      </c>
      <c r="D1149" s="2">
        <v>-24.0</v>
      </c>
      <c r="E1149" s="2"/>
      <c r="H1149" s="2" t="s">
        <v>599</v>
      </c>
    </row>
    <row r="1150" ht="15.75" customHeight="1">
      <c r="A1150" s="2" t="s">
        <v>1789</v>
      </c>
      <c r="B1150" s="5" t="s">
        <v>56</v>
      </c>
      <c r="C1150" s="6">
        <v>46107.409270833334</v>
      </c>
      <c r="D1150" s="2">
        <v>-12.0</v>
      </c>
      <c r="E1150" s="2"/>
      <c r="H1150" s="2" t="s">
        <v>599</v>
      </c>
    </row>
    <row r="1151" ht="15.75" customHeight="1">
      <c r="A1151" s="2" t="s">
        <v>1790</v>
      </c>
      <c r="B1151" s="2" t="s">
        <v>369</v>
      </c>
      <c r="C1151" s="6">
        <v>46107.40943287037</v>
      </c>
      <c r="D1151" s="2">
        <v>-14.0</v>
      </c>
      <c r="E1151" s="2"/>
      <c r="H1151" s="2" t="s">
        <v>599</v>
      </c>
    </row>
    <row r="1152" ht="15.75" customHeight="1">
      <c r="A1152" s="2" t="s">
        <v>1791</v>
      </c>
      <c r="B1152" s="2" t="s">
        <v>342</v>
      </c>
      <c r="C1152" s="6">
        <v>46107.410150462965</v>
      </c>
      <c r="D1152" s="2">
        <v>-5.0</v>
      </c>
      <c r="E1152" s="2"/>
      <c r="H1152" s="2" t="s">
        <v>599</v>
      </c>
    </row>
    <row r="1153" ht="15.75" customHeight="1">
      <c r="A1153" s="2" t="s">
        <v>1792</v>
      </c>
      <c r="B1153" s="5" t="s">
        <v>96</v>
      </c>
      <c r="C1153" s="6">
        <v>46107.41055555556</v>
      </c>
      <c r="D1153" s="2">
        <v>-10.0</v>
      </c>
      <c r="E1153" s="2"/>
      <c r="H1153" s="2" t="s">
        <v>599</v>
      </c>
    </row>
    <row r="1154" ht="15.75" customHeight="1">
      <c r="A1154" s="2" t="s">
        <v>1793</v>
      </c>
      <c r="B1154" s="5" t="s">
        <v>59</v>
      </c>
      <c r="C1154" s="6">
        <v>46107.41149305556</v>
      </c>
      <c r="D1154" s="2">
        <v>-8.0</v>
      </c>
      <c r="E1154" s="2"/>
      <c r="H1154" s="2" t="s">
        <v>599</v>
      </c>
    </row>
    <row r="1155" ht="15.75" customHeight="1">
      <c r="A1155" s="2" t="s">
        <v>1794</v>
      </c>
      <c r="B1155" s="5" t="s">
        <v>142</v>
      </c>
      <c r="C1155" s="6">
        <v>46107.412210648145</v>
      </c>
      <c r="D1155" s="2">
        <v>-21.0</v>
      </c>
      <c r="E1155" s="2"/>
      <c r="H1155" s="2" t="s">
        <v>599</v>
      </c>
    </row>
    <row r="1156" ht="15.75" customHeight="1">
      <c r="A1156" s="2" t="s">
        <v>1795</v>
      </c>
      <c r="B1156" s="5" t="s">
        <v>192</v>
      </c>
      <c r="C1156" s="6">
        <v>46107.41238425926</v>
      </c>
      <c r="D1156" s="2">
        <v>-22.0</v>
      </c>
      <c r="E1156" s="2"/>
      <c r="H1156" s="2" t="s">
        <v>599</v>
      </c>
    </row>
    <row r="1157" ht="15.75" customHeight="1">
      <c r="A1157" s="2" t="s">
        <v>1796</v>
      </c>
      <c r="B1157" s="5" t="s">
        <v>214</v>
      </c>
      <c r="C1157" s="6">
        <v>46107.41289351852</v>
      </c>
      <c r="D1157" s="2">
        <v>-60.0</v>
      </c>
      <c r="E1157" s="2"/>
      <c r="H1157" s="2" t="s">
        <v>599</v>
      </c>
    </row>
    <row r="1158" ht="15.75" customHeight="1">
      <c r="A1158" s="2" t="s">
        <v>1797</v>
      </c>
      <c r="B1158" s="2" t="s">
        <v>289</v>
      </c>
      <c r="C1158" s="6">
        <v>46107.41664351852</v>
      </c>
      <c r="D1158" s="2">
        <v>-13.0</v>
      </c>
      <c r="E1158" s="2"/>
      <c r="H1158" s="2" t="s">
        <v>599</v>
      </c>
    </row>
    <row r="1159" ht="15.75" customHeight="1">
      <c r="A1159" s="2" t="s">
        <v>1798</v>
      </c>
      <c r="B1159" s="5" t="s">
        <v>217</v>
      </c>
      <c r="C1159" s="6">
        <v>46107.41677083333</v>
      </c>
      <c r="D1159" s="2">
        <v>-18.0</v>
      </c>
      <c r="E1159" s="2"/>
      <c r="H1159" s="2" t="s">
        <v>599</v>
      </c>
    </row>
    <row r="1160" ht="15.75" customHeight="1">
      <c r="A1160" s="2" t="s">
        <v>1799</v>
      </c>
      <c r="B1160" s="2" t="s">
        <v>271</v>
      </c>
      <c r="C1160" s="6">
        <v>46107.41684027778</v>
      </c>
      <c r="D1160" s="2">
        <v>-15.0</v>
      </c>
      <c r="E1160" s="2"/>
      <c r="H1160" s="2" t="s">
        <v>599</v>
      </c>
    </row>
    <row r="1161" ht="15.75" customHeight="1">
      <c r="A1161" s="2" t="s">
        <v>1800</v>
      </c>
      <c r="B1161" s="5" t="s">
        <v>171</v>
      </c>
      <c r="C1161" s="6">
        <v>46107.417025462964</v>
      </c>
      <c r="D1161" s="2">
        <v>-24.0</v>
      </c>
      <c r="E1161" s="2"/>
      <c r="H1161" s="2" t="s">
        <v>599</v>
      </c>
    </row>
    <row r="1162" ht="15.75" customHeight="1">
      <c r="A1162" s="2" t="s">
        <v>1801</v>
      </c>
      <c r="B1162" s="5" t="s">
        <v>165</v>
      </c>
      <c r="C1162" s="6">
        <v>46107.41737268519</v>
      </c>
      <c r="D1162" s="2">
        <v>-8.0</v>
      </c>
      <c r="E1162" s="2"/>
      <c r="H1162" s="2" t="s">
        <v>599</v>
      </c>
    </row>
    <row r="1163" ht="15.75" customHeight="1">
      <c r="A1163" s="2" t="s">
        <v>1802</v>
      </c>
      <c r="B1163" s="2" t="s">
        <v>295</v>
      </c>
      <c r="C1163" s="6">
        <v>46107.41763888889</v>
      </c>
      <c r="D1163" s="2">
        <v>-24.0</v>
      </c>
      <c r="E1163" s="2"/>
      <c r="H1163" s="2" t="s">
        <v>599</v>
      </c>
    </row>
    <row r="1164" ht="15.75" customHeight="1">
      <c r="A1164" s="2" t="s">
        <v>1803</v>
      </c>
      <c r="B1164" s="2" t="s">
        <v>369</v>
      </c>
      <c r="C1164" s="6">
        <v>46107.417974537035</v>
      </c>
      <c r="D1164" s="2">
        <v>-8.0</v>
      </c>
      <c r="E1164" s="2"/>
      <c r="H1164" s="2" t="s">
        <v>599</v>
      </c>
    </row>
    <row r="1165" ht="15.75" customHeight="1">
      <c r="A1165" s="2" t="s">
        <v>1804</v>
      </c>
      <c r="B1165" s="2" t="s">
        <v>342</v>
      </c>
      <c r="C1165" s="6">
        <v>46107.4190625</v>
      </c>
      <c r="D1165" s="2">
        <v>-4.0</v>
      </c>
      <c r="E1165" s="2"/>
      <c r="H1165" s="2" t="s">
        <v>599</v>
      </c>
    </row>
    <row r="1166" ht="15.75" customHeight="1">
      <c r="A1166" s="2" t="s">
        <v>1805</v>
      </c>
      <c r="B1166" s="5" t="s">
        <v>59</v>
      </c>
      <c r="C1166" s="6">
        <v>46107.41936342593</v>
      </c>
      <c r="D1166" s="2">
        <v>-3.0</v>
      </c>
      <c r="E1166" s="2"/>
      <c r="H1166" s="2" t="s">
        <v>599</v>
      </c>
    </row>
    <row r="1167" ht="15.75" customHeight="1">
      <c r="A1167" s="2" t="s">
        <v>1806</v>
      </c>
      <c r="B1167" s="5" t="s">
        <v>214</v>
      </c>
      <c r="C1167" s="6">
        <v>46107.419583333336</v>
      </c>
      <c r="D1167" s="2">
        <v>-60.0</v>
      </c>
      <c r="E1167" s="2"/>
      <c r="H1167" s="2" t="s">
        <v>599</v>
      </c>
    </row>
    <row r="1168" ht="15.75" customHeight="1">
      <c r="A1168" s="2" t="s">
        <v>1807</v>
      </c>
      <c r="B1168" s="5" t="s">
        <v>192</v>
      </c>
      <c r="C1168" s="6">
        <v>46107.419699074075</v>
      </c>
      <c r="D1168" s="2">
        <v>-19.0</v>
      </c>
      <c r="E1168" s="2"/>
      <c r="H1168" s="2" t="s">
        <v>599</v>
      </c>
    </row>
    <row r="1169" ht="15.75" customHeight="1">
      <c r="A1169" s="2" t="s">
        <v>1808</v>
      </c>
      <c r="B1169" s="5" t="s">
        <v>142</v>
      </c>
      <c r="C1169" s="6">
        <v>46107.42061342593</v>
      </c>
      <c r="D1169" s="2">
        <v>-1.0</v>
      </c>
      <c r="E1169" s="2"/>
      <c r="H1169" s="2" t="s">
        <v>599</v>
      </c>
    </row>
    <row r="1170" ht="15.75" customHeight="1">
      <c r="A1170" s="2" t="s">
        <v>1809</v>
      </c>
      <c r="B1170" s="5" t="s">
        <v>206</v>
      </c>
      <c r="C1170" s="6">
        <v>46107.42173611111</v>
      </c>
      <c r="D1170" s="2">
        <v>-7.0</v>
      </c>
      <c r="E1170" s="2"/>
      <c r="H1170" s="2" t="s">
        <v>599</v>
      </c>
    </row>
    <row r="1171" ht="15.75" customHeight="1">
      <c r="A1171" s="2" t="s">
        <v>1810</v>
      </c>
      <c r="B1171" s="2" t="s">
        <v>327</v>
      </c>
      <c r="C1171" s="6">
        <v>46107.42364583333</v>
      </c>
      <c r="D1171" s="2">
        <v>-7.0</v>
      </c>
      <c r="E1171" s="2"/>
      <c r="H1171" s="2" t="s">
        <v>599</v>
      </c>
    </row>
    <row r="1172" ht="15.75" customHeight="1">
      <c r="A1172" s="2" t="s">
        <v>1811</v>
      </c>
      <c r="B1172" s="5" t="s">
        <v>217</v>
      </c>
      <c r="C1172" s="6">
        <v>46107.423726851855</v>
      </c>
      <c r="D1172" s="2">
        <v>-5.0</v>
      </c>
      <c r="E1172" s="2"/>
      <c r="H1172" s="2" t="s">
        <v>599</v>
      </c>
    </row>
    <row r="1173" ht="15.75" customHeight="1">
      <c r="A1173" s="2" t="s">
        <v>1812</v>
      </c>
      <c r="B1173" s="2" t="s">
        <v>271</v>
      </c>
      <c r="C1173" s="6">
        <v>46107.423796296294</v>
      </c>
      <c r="D1173" s="2">
        <v>-5.0</v>
      </c>
      <c r="E1173" s="2"/>
      <c r="H1173" s="2" t="s">
        <v>599</v>
      </c>
    </row>
    <row r="1174" ht="15.75" customHeight="1">
      <c r="A1174" s="2" t="s">
        <v>1813</v>
      </c>
      <c r="B1174" s="5" t="s">
        <v>142</v>
      </c>
      <c r="C1174" s="6">
        <v>46107.42458333333</v>
      </c>
      <c r="D1174" s="2">
        <v>-2.0</v>
      </c>
      <c r="E1174" s="2"/>
      <c r="H1174" s="2" t="s">
        <v>599</v>
      </c>
    </row>
    <row r="1175" ht="15.75" customHeight="1">
      <c r="A1175" s="5" t="s">
        <v>1814</v>
      </c>
      <c r="B1175" s="5" t="s">
        <v>82</v>
      </c>
      <c r="C1175" s="6">
        <v>46107.42466435185</v>
      </c>
      <c r="D1175" s="2">
        <v>-1.0</v>
      </c>
      <c r="E1175" s="2"/>
      <c r="H1175" s="2" t="s">
        <v>599</v>
      </c>
    </row>
    <row r="1176" ht="15.75" customHeight="1">
      <c r="A1176" s="2" t="s">
        <v>1815</v>
      </c>
      <c r="B1176" s="2" t="s">
        <v>301</v>
      </c>
      <c r="C1176" s="6">
        <v>46107.424733796295</v>
      </c>
      <c r="D1176" s="2">
        <v>-1.0</v>
      </c>
      <c r="E1176" s="2"/>
      <c r="H1176" s="2" t="s">
        <v>599</v>
      </c>
    </row>
    <row r="1177" ht="15.75" customHeight="1">
      <c r="A1177" s="2" t="s">
        <v>1816</v>
      </c>
      <c r="B1177" s="5" t="s">
        <v>192</v>
      </c>
      <c r="C1177" s="6">
        <v>46107.424988425926</v>
      </c>
      <c r="D1177" s="2">
        <v>-7.0</v>
      </c>
      <c r="E1177" s="2"/>
      <c r="H1177" s="2" t="s">
        <v>599</v>
      </c>
    </row>
    <row r="1178" ht="15.75" customHeight="1">
      <c r="A1178" s="2" t="s">
        <v>1817</v>
      </c>
      <c r="B1178" s="5" t="s">
        <v>214</v>
      </c>
      <c r="C1178" s="6">
        <v>46107.42561342593</v>
      </c>
      <c r="D1178" s="2">
        <v>-12.0</v>
      </c>
      <c r="E1178" s="2"/>
      <c r="H1178" s="2" t="s">
        <v>599</v>
      </c>
    </row>
    <row r="1179" ht="15.75" customHeight="1">
      <c r="A1179" s="2" t="s">
        <v>1818</v>
      </c>
      <c r="B1179" s="2" t="s">
        <v>369</v>
      </c>
      <c r="C1179" s="6">
        <v>46107.42696759259</v>
      </c>
      <c r="D1179" s="2">
        <v>-10.0</v>
      </c>
      <c r="E1179" s="2"/>
      <c r="H1179" s="2" t="s">
        <v>599</v>
      </c>
    </row>
    <row r="1180" ht="15.75" customHeight="1">
      <c r="A1180" s="2" t="s">
        <v>1819</v>
      </c>
      <c r="B1180" s="2" t="s">
        <v>342</v>
      </c>
      <c r="C1180" s="6">
        <v>46107.42707175926</v>
      </c>
      <c r="D1180" s="2">
        <v>-12.0</v>
      </c>
      <c r="E1180" s="2"/>
      <c r="H1180" s="2" t="s">
        <v>599</v>
      </c>
    </row>
    <row r="1181" ht="15.75" customHeight="1">
      <c r="A1181" s="2" t="s">
        <v>1820</v>
      </c>
      <c r="B1181" s="5" t="s">
        <v>148</v>
      </c>
      <c r="C1181" s="6">
        <v>46107.83550925926</v>
      </c>
      <c r="D1181" s="2">
        <v>25.0</v>
      </c>
      <c r="E1181" s="2" t="s">
        <v>1821</v>
      </c>
      <c r="H1181" s="2" t="s">
        <v>571</v>
      </c>
    </row>
    <row r="1182" ht="15.75" customHeight="1">
      <c r="A1182" s="2" t="s">
        <v>1822</v>
      </c>
      <c r="B1182" s="2" t="s">
        <v>342</v>
      </c>
      <c r="C1182" s="6">
        <v>46107.83559027778</v>
      </c>
      <c r="D1182" s="2">
        <v>40.0</v>
      </c>
      <c r="E1182" s="2" t="s">
        <v>1821</v>
      </c>
      <c r="H1182" s="2" t="s">
        <v>571</v>
      </c>
    </row>
    <row r="1183" ht="15.75" customHeight="1">
      <c r="A1183" s="2" t="s">
        <v>1823</v>
      </c>
      <c r="B1183" s="5" t="s">
        <v>96</v>
      </c>
      <c r="C1183" s="6">
        <v>46107.83565972222</v>
      </c>
      <c r="D1183" s="2">
        <v>48.0</v>
      </c>
      <c r="E1183" s="2" t="s">
        <v>1821</v>
      </c>
      <c r="H1183" s="2" t="s">
        <v>571</v>
      </c>
    </row>
    <row r="1184" ht="15.75" customHeight="1">
      <c r="A1184" s="2" t="s">
        <v>1824</v>
      </c>
      <c r="B1184" s="5" t="s">
        <v>14</v>
      </c>
      <c r="C1184" s="6">
        <v>46107.83857638889</v>
      </c>
      <c r="D1184" s="2">
        <v>40.0</v>
      </c>
      <c r="E1184" s="2" t="s">
        <v>1821</v>
      </c>
      <c r="H1184" s="2" t="s">
        <v>571</v>
      </c>
    </row>
    <row r="1185" ht="15.75" customHeight="1">
      <c r="A1185" s="2" t="s">
        <v>1825</v>
      </c>
      <c r="B1185" s="5" t="s">
        <v>154</v>
      </c>
      <c r="C1185" s="6">
        <v>46107.83866898148</v>
      </c>
      <c r="D1185" s="2">
        <v>1.0</v>
      </c>
      <c r="E1185" s="2"/>
      <c r="H1185" s="2" t="s">
        <v>571</v>
      </c>
    </row>
    <row r="1186" ht="15.75" customHeight="1">
      <c r="A1186" s="2" t="s">
        <v>1826</v>
      </c>
      <c r="B1186" s="5" t="s">
        <v>145</v>
      </c>
      <c r="C1186" s="6">
        <v>46107.83875</v>
      </c>
      <c r="D1186" s="2">
        <v>8.0</v>
      </c>
      <c r="E1186" s="2"/>
      <c r="H1186" s="2" t="s">
        <v>571</v>
      </c>
    </row>
    <row r="1187" ht="15.75" customHeight="1">
      <c r="A1187" s="2" t="s">
        <v>1827</v>
      </c>
      <c r="B1187" s="2" t="s">
        <v>351</v>
      </c>
      <c r="C1187" s="6">
        <v>46107.83898148148</v>
      </c>
      <c r="D1187" s="2">
        <v>-6.0</v>
      </c>
      <c r="E1187" s="2"/>
      <c r="H1187" s="2" t="s">
        <v>571</v>
      </c>
    </row>
    <row r="1188" ht="15.75" customHeight="1">
      <c r="A1188" s="2" t="s">
        <v>1828</v>
      </c>
      <c r="B1188" s="2" t="s">
        <v>396</v>
      </c>
      <c r="C1188" s="6">
        <v>46107.83972222222</v>
      </c>
      <c r="D1188" s="2">
        <v>12.0</v>
      </c>
      <c r="E1188" s="2"/>
      <c r="H1188" s="2" t="s">
        <v>571</v>
      </c>
    </row>
    <row r="1189" ht="15.75" customHeight="1">
      <c r="A1189" s="2" t="s">
        <v>1829</v>
      </c>
      <c r="B1189" s="5" t="s">
        <v>217</v>
      </c>
      <c r="C1189" s="6">
        <v>46108.59569444445</v>
      </c>
      <c r="D1189" s="2">
        <v>-21.0</v>
      </c>
      <c r="E1189" s="2"/>
      <c r="H1189" s="2" t="s">
        <v>599</v>
      </c>
    </row>
    <row r="1190" ht="15.75" customHeight="1">
      <c r="A1190" s="2" t="s">
        <v>1830</v>
      </c>
      <c r="B1190" s="2" t="s">
        <v>271</v>
      </c>
      <c r="C1190" s="6">
        <v>46108.59575231482</v>
      </c>
      <c r="D1190" s="2">
        <v>-6.0</v>
      </c>
      <c r="E1190" s="2"/>
      <c r="H1190" s="2" t="s">
        <v>599</v>
      </c>
    </row>
    <row r="1191" ht="15.75" customHeight="1">
      <c r="A1191" s="2" t="s">
        <v>1831</v>
      </c>
      <c r="B1191" s="2" t="s">
        <v>289</v>
      </c>
      <c r="C1191" s="6">
        <v>46108.59579861111</v>
      </c>
      <c r="D1191" s="2">
        <v>-9.0</v>
      </c>
      <c r="E1191" s="2"/>
      <c r="H1191" s="2" t="s">
        <v>599</v>
      </c>
    </row>
    <row r="1192" ht="15.75" customHeight="1">
      <c r="A1192" s="2" t="s">
        <v>1832</v>
      </c>
      <c r="B1192" s="5" t="s">
        <v>171</v>
      </c>
      <c r="C1192" s="6">
        <v>46108.59738425926</v>
      </c>
      <c r="D1192" s="2">
        <v>-20.0</v>
      </c>
      <c r="E1192" s="2"/>
      <c r="H1192" s="2" t="s">
        <v>599</v>
      </c>
    </row>
    <row r="1193" ht="15.75" customHeight="1">
      <c r="A1193" s="2" t="s">
        <v>1833</v>
      </c>
      <c r="B1193" s="5" t="s">
        <v>14</v>
      </c>
      <c r="C1193" s="6">
        <v>46108.59753472222</v>
      </c>
      <c r="D1193" s="2">
        <v>-32.0</v>
      </c>
      <c r="E1193" s="2"/>
      <c r="H1193" s="2" t="s">
        <v>599</v>
      </c>
    </row>
    <row r="1194" ht="15.75" customHeight="1">
      <c r="A1194" s="2" t="s">
        <v>1834</v>
      </c>
      <c r="B1194" s="5" t="s">
        <v>165</v>
      </c>
      <c r="C1194" s="6">
        <v>46108.598344907405</v>
      </c>
      <c r="D1194" s="2">
        <v>-24.0</v>
      </c>
      <c r="E1194" s="2"/>
      <c r="H1194" s="2" t="s">
        <v>599</v>
      </c>
    </row>
    <row r="1195" ht="15.75" customHeight="1">
      <c r="A1195" s="5" t="s">
        <v>1835</v>
      </c>
      <c r="B1195" s="5" t="s">
        <v>56</v>
      </c>
      <c r="C1195" s="6">
        <v>46108.59878472222</v>
      </c>
      <c r="D1195" s="2">
        <v>-10.0</v>
      </c>
      <c r="E1195" s="2"/>
      <c r="H1195" s="2" t="s">
        <v>599</v>
      </c>
    </row>
    <row r="1196" ht="15.75" customHeight="1">
      <c r="A1196" s="2" t="s">
        <v>1836</v>
      </c>
      <c r="B1196" s="2" t="s">
        <v>369</v>
      </c>
      <c r="C1196" s="6">
        <v>46108.599027777775</v>
      </c>
      <c r="D1196" s="2">
        <v>-14.0</v>
      </c>
      <c r="E1196" s="2"/>
      <c r="H1196" s="2" t="s">
        <v>599</v>
      </c>
    </row>
    <row r="1197" ht="15.75" customHeight="1">
      <c r="A1197" s="2" t="s">
        <v>1837</v>
      </c>
      <c r="B1197" s="2" t="s">
        <v>342</v>
      </c>
      <c r="C1197" s="6">
        <v>46108.600798611114</v>
      </c>
      <c r="D1197" s="2">
        <v>-6.0</v>
      </c>
      <c r="E1197" s="2"/>
      <c r="H1197" s="2" t="s">
        <v>599</v>
      </c>
    </row>
    <row r="1198" ht="15.75" customHeight="1">
      <c r="A1198" s="2" t="s">
        <v>1838</v>
      </c>
      <c r="B1198" s="5" t="s">
        <v>96</v>
      </c>
      <c r="C1198" s="6">
        <v>46108.60165509259</v>
      </c>
      <c r="D1198" s="2">
        <v>-14.0</v>
      </c>
      <c r="E1198" s="2"/>
      <c r="H1198" s="2" t="s">
        <v>599</v>
      </c>
    </row>
    <row r="1199" ht="15.75" customHeight="1">
      <c r="A1199" s="2" t="s">
        <v>1839</v>
      </c>
      <c r="B1199" s="5" t="s">
        <v>142</v>
      </c>
      <c r="C1199" s="6">
        <v>46108.60184027778</v>
      </c>
      <c r="D1199" s="2">
        <v>-20.0</v>
      </c>
      <c r="E1199" s="2"/>
      <c r="H1199" s="2" t="s">
        <v>599</v>
      </c>
    </row>
    <row r="1200" ht="15.75" customHeight="1">
      <c r="A1200" s="2" t="s">
        <v>1840</v>
      </c>
      <c r="B1200" s="2" t="s">
        <v>301</v>
      </c>
      <c r="C1200" s="6">
        <v>46108.60497685185</v>
      </c>
      <c r="D1200" s="2">
        <v>-9.0</v>
      </c>
      <c r="E1200" s="2"/>
      <c r="H1200" s="2" t="s">
        <v>599</v>
      </c>
    </row>
    <row r="1201" ht="15.75" customHeight="1">
      <c r="A1201" s="2" t="s">
        <v>1841</v>
      </c>
      <c r="B1201" s="5" t="s">
        <v>82</v>
      </c>
      <c r="C1201" s="6">
        <v>46108.605092592596</v>
      </c>
      <c r="D1201" s="2">
        <v>-14.0</v>
      </c>
      <c r="E1201" s="2"/>
      <c r="H1201" s="2" t="s">
        <v>599</v>
      </c>
    </row>
    <row r="1202" ht="15.75" customHeight="1">
      <c r="A1202" s="2" t="s">
        <v>1842</v>
      </c>
      <c r="B1202" s="5" t="s">
        <v>192</v>
      </c>
      <c r="C1202" s="6">
        <v>46108.60519675926</v>
      </c>
      <c r="D1202" s="2">
        <v>-12.0</v>
      </c>
      <c r="E1202" s="2"/>
      <c r="H1202" s="2" t="s">
        <v>599</v>
      </c>
    </row>
    <row r="1203" ht="15.75" customHeight="1">
      <c r="A1203" s="2" t="s">
        <v>1843</v>
      </c>
      <c r="B1203" s="5" t="s">
        <v>214</v>
      </c>
      <c r="C1203" s="6">
        <v>46108.605266203704</v>
      </c>
      <c r="D1203" s="2">
        <v>-60.0</v>
      </c>
      <c r="E1203" s="2"/>
      <c r="H1203" s="2" t="s">
        <v>599</v>
      </c>
    </row>
    <row r="1204" ht="15.75" customHeight="1">
      <c r="A1204" s="2" t="s">
        <v>1844</v>
      </c>
      <c r="B1204" s="2" t="s">
        <v>369</v>
      </c>
      <c r="C1204" s="6">
        <v>46108.609664351854</v>
      </c>
      <c r="D1204" s="2">
        <v>-5.0</v>
      </c>
      <c r="E1204" s="2"/>
      <c r="H1204" s="2" t="s">
        <v>599</v>
      </c>
    </row>
    <row r="1205" ht="15.75" customHeight="1">
      <c r="A1205" s="2" t="s">
        <v>1845</v>
      </c>
      <c r="B1205" s="2" t="s">
        <v>396</v>
      </c>
      <c r="C1205" s="6">
        <v>46108.60988425926</v>
      </c>
      <c r="D1205" s="2">
        <v>-3.0</v>
      </c>
      <c r="E1205" s="2"/>
      <c r="H1205" s="2" t="s">
        <v>599</v>
      </c>
    </row>
    <row r="1206" ht="15.75" customHeight="1">
      <c r="A1206" s="2" t="s">
        <v>1846</v>
      </c>
      <c r="B1206" s="2" t="s">
        <v>342</v>
      </c>
      <c r="C1206" s="6">
        <v>46108.61</v>
      </c>
      <c r="D1206" s="2">
        <v>-7.0</v>
      </c>
      <c r="E1206" s="2"/>
      <c r="H1206" s="2" t="s">
        <v>599</v>
      </c>
    </row>
    <row r="1207" ht="15.75" customHeight="1">
      <c r="A1207" s="2" t="s">
        <v>1847</v>
      </c>
      <c r="B1207" s="5" t="s">
        <v>96</v>
      </c>
      <c r="C1207" s="6">
        <v>46108.610127314816</v>
      </c>
      <c r="D1207" s="2">
        <v>-7.0</v>
      </c>
      <c r="E1207" s="2"/>
      <c r="H1207" s="2" t="s">
        <v>599</v>
      </c>
    </row>
    <row r="1208" ht="15.75" customHeight="1">
      <c r="A1208" s="2" t="s">
        <v>1848</v>
      </c>
      <c r="B1208" s="2" t="s">
        <v>271</v>
      </c>
      <c r="C1208" s="6">
        <v>46108.61059027778</v>
      </c>
      <c r="D1208" s="2">
        <v>-2.0</v>
      </c>
      <c r="E1208" s="2"/>
      <c r="H1208" s="2" t="s">
        <v>599</v>
      </c>
    </row>
    <row r="1209" ht="15.75" customHeight="1">
      <c r="A1209" s="2" t="s">
        <v>1849</v>
      </c>
      <c r="B1209" s="5" t="s">
        <v>217</v>
      </c>
      <c r="C1209" s="6">
        <v>46108.61070601852</v>
      </c>
      <c r="D1209" s="2">
        <v>-8.0</v>
      </c>
      <c r="E1209" s="2"/>
      <c r="H1209" s="2" t="s">
        <v>599</v>
      </c>
    </row>
    <row r="1210" ht="15.75" customHeight="1">
      <c r="A1210" s="2" t="s">
        <v>1850</v>
      </c>
      <c r="B1210" s="2" t="s">
        <v>289</v>
      </c>
      <c r="C1210" s="6">
        <v>46108.61077546296</v>
      </c>
      <c r="D1210" s="2">
        <v>-2.0</v>
      </c>
      <c r="E1210" s="2"/>
      <c r="H1210" s="2" t="s">
        <v>599</v>
      </c>
    </row>
    <row r="1211" ht="15.75" customHeight="1">
      <c r="A1211" s="2" t="s">
        <v>1851</v>
      </c>
      <c r="B1211" s="5" t="s">
        <v>165</v>
      </c>
      <c r="C1211" s="6">
        <v>46108.61094907407</v>
      </c>
      <c r="D1211" s="2">
        <v>-5.0</v>
      </c>
      <c r="E1211" s="2"/>
      <c r="H1211" s="2" t="s">
        <v>599</v>
      </c>
    </row>
    <row r="1212" ht="15.75" customHeight="1">
      <c r="A1212" s="2" t="s">
        <v>1852</v>
      </c>
      <c r="B1212" s="5" t="s">
        <v>14</v>
      </c>
      <c r="C1212" s="6">
        <v>46108.611296296294</v>
      </c>
      <c r="D1212" s="2">
        <v>-8.0</v>
      </c>
      <c r="E1212" s="2"/>
      <c r="H1212" s="2" t="s">
        <v>599</v>
      </c>
    </row>
    <row r="1213" ht="15.75" customHeight="1">
      <c r="A1213" s="2" t="s">
        <v>1853</v>
      </c>
      <c r="B1213" s="5" t="s">
        <v>192</v>
      </c>
      <c r="C1213" s="6">
        <v>46108.61142361111</v>
      </c>
      <c r="D1213" s="2">
        <v>-16.0</v>
      </c>
      <c r="E1213" s="2"/>
      <c r="H1213" s="2" t="s">
        <v>599</v>
      </c>
    </row>
    <row r="1214" ht="15.75" customHeight="1">
      <c r="A1214" s="2" t="s">
        <v>1854</v>
      </c>
      <c r="B1214" s="2" t="s">
        <v>295</v>
      </c>
      <c r="C1214" s="6">
        <v>46108.61157407407</v>
      </c>
      <c r="D1214" s="2">
        <v>-12.0</v>
      </c>
      <c r="E1214" s="2"/>
      <c r="H1214" s="2" t="s">
        <v>599</v>
      </c>
    </row>
    <row r="1215" ht="15.75" customHeight="1">
      <c r="A1215" s="2" t="s">
        <v>1855</v>
      </c>
      <c r="B1215" s="5" t="s">
        <v>142</v>
      </c>
      <c r="C1215" s="6">
        <v>46108.612175925926</v>
      </c>
      <c r="D1215" s="2">
        <v>-7.0</v>
      </c>
      <c r="E1215" s="2"/>
      <c r="H1215" s="2" t="s">
        <v>599</v>
      </c>
    </row>
    <row r="1216" ht="15.75" customHeight="1">
      <c r="A1216" s="2" t="s">
        <v>1856</v>
      </c>
      <c r="B1216" s="5" t="s">
        <v>214</v>
      </c>
      <c r="C1216" s="6">
        <v>46108.61226851852</v>
      </c>
      <c r="D1216" s="2">
        <v>-60.0</v>
      </c>
      <c r="E1216" s="2"/>
      <c r="H1216" s="2" t="s">
        <v>599</v>
      </c>
    </row>
    <row r="1217" ht="15.75" customHeight="1">
      <c r="A1217" s="2" t="s">
        <v>1857</v>
      </c>
      <c r="B1217" s="2" t="s">
        <v>301</v>
      </c>
      <c r="C1217" s="6">
        <v>46108.61337962963</v>
      </c>
      <c r="D1217" s="2">
        <v>-4.0</v>
      </c>
      <c r="E1217" s="2"/>
      <c r="H1217" s="2" t="s">
        <v>599</v>
      </c>
    </row>
    <row r="1218" ht="15.75" customHeight="1">
      <c r="A1218" s="2" t="s">
        <v>1858</v>
      </c>
      <c r="B1218" s="5" t="s">
        <v>82</v>
      </c>
      <c r="C1218" s="6">
        <v>46108.61347222222</v>
      </c>
      <c r="D1218" s="2">
        <v>-3.0</v>
      </c>
      <c r="E1218" s="2"/>
      <c r="H1218" s="2" t="s">
        <v>599</v>
      </c>
    </row>
    <row r="1219" ht="15.75" customHeight="1">
      <c r="A1219" s="2" t="s">
        <v>1859</v>
      </c>
      <c r="B1219" s="2" t="s">
        <v>369</v>
      </c>
      <c r="C1219" s="6">
        <v>46108.614756944444</v>
      </c>
      <c r="D1219" s="2">
        <v>7.0</v>
      </c>
      <c r="E1219" s="2"/>
      <c r="H1219" s="2" t="s">
        <v>599</v>
      </c>
    </row>
    <row r="1220" ht="15.75" customHeight="1">
      <c r="A1220" s="2" t="s">
        <v>1860</v>
      </c>
      <c r="B1220" s="2" t="s">
        <v>342</v>
      </c>
      <c r="C1220" s="6">
        <v>46108.61505787037</v>
      </c>
      <c r="D1220" s="2">
        <v>12.0</v>
      </c>
      <c r="E1220" s="2"/>
      <c r="H1220" s="2" t="s">
        <v>599</v>
      </c>
    </row>
    <row r="1221" ht="15.75" customHeight="1">
      <c r="A1221" s="2" t="s">
        <v>1861</v>
      </c>
      <c r="B1221" s="2" t="s">
        <v>327</v>
      </c>
      <c r="C1221" s="6">
        <v>46109.151354166665</v>
      </c>
      <c r="D1221" s="2">
        <v>-14.0</v>
      </c>
      <c r="E1221" s="2"/>
      <c r="H1221" s="2" t="s">
        <v>571</v>
      </c>
    </row>
    <row r="1222" ht="15.75" customHeight="1">
      <c r="A1222" s="2" t="s">
        <v>1862</v>
      </c>
      <c r="B1222" s="2" t="s">
        <v>289</v>
      </c>
      <c r="C1222" s="6">
        <v>46109.151655092595</v>
      </c>
      <c r="D1222" s="2">
        <v>-14.0</v>
      </c>
      <c r="E1222" s="2"/>
      <c r="H1222" s="2" t="s">
        <v>571</v>
      </c>
    </row>
    <row r="1223" ht="15.75" customHeight="1">
      <c r="A1223" s="2" t="s">
        <v>1863</v>
      </c>
      <c r="B1223" s="2" t="s">
        <v>271</v>
      </c>
      <c r="C1223" s="6">
        <v>46109.15181712963</v>
      </c>
      <c r="D1223" s="2">
        <v>-7.0</v>
      </c>
      <c r="E1223" s="2"/>
      <c r="H1223" s="2" t="s">
        <v>571</v>
      </c>
    </row>
    <row r="1224" ht="15.75" customHeight="1">
      <c r="A1224" s="2" t="s">
        <v>1864</v>
      </c>
      <c r="B1224" s="5" t="s">
        <v>217</v>
      </c>
      <c r="C1224" s="6">
        <v>46109.15200231481</v>
      </c>
      <c r="D1224" s="2">
        <v>-14.0</v>
      </c>
      <c r="E1224" s="2"/>
      <c r="H1224" s="2" t="s">
        <v>571</v>
      </c>
    </row>
    <row r="1225" ht="15.75" customHeight="1">
      <c r="A1225" s="2" t="s">
        <v>1865</v>
      </c>
      <c r="B1225" s="5" t="s">
        <v>120</v>
      </c>
      <c r="C1225" s="6">
        <v>46109.152291666665</v>
      </c>
      <c r="D1225" s="2">
        <v>-6.0</v>
      </c>
      <c r="E1225" s="2"/>
      <c r="H1225" s="2" t="s">
        <v>571</v>
      </c>
    </row>
    <row r="1226" ht="15.75" customHeight="1">
      <c r="A1226" s="5" t="s">
        <v>1866</v>
      </c>
      <c r="B1226" s="5" t="s">
        <v>131</v>
      </c>
      <c r="C1226" s="6">
        <v>46109.152546296296</v>
      </c>
      <c r="D1226" s="2">
        <v>-3.0</v>
      </c>
      <c r="E1226" s="2"/>
      <c r="H1226" s="2" t="s">
        <v>571</v>
      </c>
    </row>
    <row r="1227" ht="15.75" customHeight="1">
      <c r="A1227" s="2" t="s">
        <v>1867</v>
      </c>
      <c r="B1227" s="5" t="s">
        <v>165</v>
      </c>
      <c r="C1227" s="6">
        <v>46109.15267361111</v>
      </c>
      <c r="D1227" s="2">
        <v>-15.0</v>
      </c>
      <c r="E1227" s="2"/>
      <c r="H1227" s="2" t="s">
        <v>571</v>
      </c>
    </row>
    <row r="1228" ht="15.75" customHeight="1">
      <c r="A1228" s="2" t="s">
        <v>1868</v>
      </c>
      <c r="B1228" s="2" t="s">
        <v>262</v>
      </c>
      <c r="C1228" s="6">
        <v>46109.1528587963</v>
      </c>
      <c r="D1228" s="2">
        <v>-15.0</v>
      </c>
      <c r="E1228" s="2"/>
      <c r="H1228" s="2" t="s">
        <v>571</v>
      </c>
    </row>
    <row r="1229" ht="15.75" customHeight="1">
      <c r="A1229" s="2" t="s">
        <v>1869</v>
      </c>
      <c r="B1229" s="5" t="s">
        <v>186</v>
      </c>
      <c r="C1229" s="6">
        <v>46109.15299768518</v>
      </c>
      <c r="D1229" s="2">
        <v>-5.0</v>
      </c>
      <c r="E1229" s="2"/>
      <c r="H1229" s="2" t="s">
        <v>571</v>
      </c>
    </row>
    <row r="1230" ht="15.75" customHeight="1">
      <c r="A1230" s="2" t="s">
        <v>1870</v>
      </c>
      <c r="B1230" s="2" t="s">
        <v>360</v>
      </c>
      <c r="C1230" s="6">
        <v>46109.15337962963</v>
      </c>
      <c r="D1230" s="2">
        <v>-24.0</v>
      </c>
      <c r="E1230" s="2"/>
      <c r="H1230" s="2" t="s">
        <v>571</v>
      </c>
    </row>
    <row r="1231" ht="15.75" customHeight="1">
      <c r="A1231" s="2" t="s">
        <v>1871</v>
      </c>
      <c r="B1231" s="5" t="s">
        <v>59</v>
      </c>
      <c r="C1231" s="6">
        <v>46109.15363425926</v>
      </c>
      <c r="D1231" s="2">
        <v>-2.0</v>
      </c>
      <c r="E1231" s="2"/>
      <c r="H1231" s="2" t="s">
        <v>571</v>
      </c>
    </row>
    <row r="1232" ht="15.75" customHeight="1">
      <c r="A1232" s="2" t="s">
        <v>1872</v>
      </c>
      <c r="B1232" s="5" t="s">
        <v>142</v>
      </c>
      <c r="C1232" s="6">
        <v>46109.1537962963</v>
      </c>
      <c r="D1232" s="2">
        <v>-10.0</v>
      </c>
      <c r="E1232" s="2"/>
      <c r="H1232" s="2" t="s">
        <v>571</v>
      </c>
    </row>
    <row r="1233" ht="15.75" customHeight="1">
      <c r="A1233" s="2" t="s">
        <v>1873</v>
      </c>
      <c r="B1233" s="5" t="s">
        <v>192</v>
      </c>
      <c r="C1233" s="6">
        <v>46109.153912037036</v>
      </c>
      <c r="D1233" s="2">
        <v>-11.0</v>
      </c>
      <c r="E1233" s="2"/>
      <c r="H1233" s="2" t="s">
        <v>571</v>
      </c>
    </row>
    <row r="1234" ht="15.75" customHeight="1">
      <c r="A1234" s="2" t="s">
        <v>1874</v>
      </c>
      <c r="B1234" s="5" t="s">
        <v>206</v>
      </c>
      <c r="C1234" s="6">
        <v>46109.15408564815</v>
      </c>
      <c r="D1234" s="2">
        <v>-4.0</v>
      </c>
      <c r="E1234" s="2"/>
      <c r="H1234" s="2" t="s">
        <v>571</v>
      </c>
    </row>
    <row r="1235" ht="15.75" customHeight="1">
      <c r="A1235" s="2" t="s">
        <v>1875</v>
      </c>
      <c r="B1235" s="5" t="s">
        <v>214</v>
      </c>
      <c r="C1235" s="6">
        <v>46109.15430555555</v>
      </c>
      <c r="D1235" s="2">
        <v>-48.0</v>
      </c>
      <c r="E1235" s="2"/>
      <c r="H1235" s="2" t="s">
        <v>571</v>
      </c>
    </row>
    <row r="1236" ht="15.75" customHeight="1">
      <c r="A1236" s="2" t="s">
        <v>1876</v>
      </c>
      <c r="B1236" s="5" t="s">
        <v>180</v>
      </c>
      <c r="C1236" s="6">
        <v>46109.154502314814</v>
      </c>
      <c r="D1236" s="2">
        <v>-10.0</v>
      </c>
      <c r="E1236" s="2"/>
      <c r="H1236" s="2" t="s">
        <v>571</v>
      </c>
    </row>
    <row r="1237" ht="15.75" customHeight="1">
      <c r="A1237" s="2" t="s">
        <v>1877</v>
      </c>
      <c r="B1237" s="5" t="s">
        <v>105</v>
      </c>
      <c r="C1237" s="6">
        <v>46109.154652777775</v>
      </c>
      <c r="D1237" s="2">
        <v>-3.0</v>
      </c>
      <c r="E1237" s="2"/>
      <c r="H1237" s="2" t="s">
        <v>571</v>
      </c>
    </row>
    <row r="1238" ht="15.75" customHeight="1">
      <c r="A1238" s="2" t="s">
        <v>1878</v>
      </c>
      <c r="B1238" s="2" t="s">
        <v>283</v>
      </c>
      <c r="C1238" s="6">
        <v>46109.154814814814</v>
      </c>
      <c r="D1238" s="2">
        <v>-4.0</v>
      </c>
      <c r="E1238" s="2"/>
      <c r="H1238" s="2" t="s">
        <v>571</v>
      </c>
    </row>
    <row r="1239" ht="15.75" customHeight="1">
      <c r="A1239" s="2" t="s">
        <v>1879</v>
      </c>
      <c r="B1239" s="2" t="s">
        <v>369</v>
      </c>
      <c r="C1239" s="6">
        <v>46109.15494212963</v>
      </c>
      <c r="D1239" s="2">
        <v>-6.0</v>
      </c>
      <c r="E1239" s="2"/>
      <c r="H1239" s="2" t="s">
        <v>571</v>
      </c>
    </row>
    <row r="1240" ht="15.75" customHeight="1">
      <c r="A1240" s="2" t="s">
        <v>1880</v>
      </c>
      <c r="B1240" s="2" t="s">
        <v>327</v>
      </c>
      <c r="C1240" s="6">
        <v>46109.46878472222</v>
      </c>
      <c r="D1240" s="2">
        <v>-14.0</v>
      </c>
      <c r="E1240" s="2"/>
      <c r="H1240" s="2" t="s">
        <v>599</v>
      </c>
    </row>
    <row r="1241" ht="15.75" customHeight="1">
      <c r="A1241" s="2" t="s">
        <v>1881</v>
      </c>
      <c r="B1241" s="2" t="s">
        <v>289</v>
      </c>
      <c r="C1241" s="6">
        <v>46109.46885416667</v>
      </c>
      <c r="D1241" s="2">
        <v>-10.0</v>
      </c>
      <c r="E1241" s="2"/>
      <c r="H1241" s="2" t="s">
        <v>599</v>
      </c>
    </row>
    <row r="1242" ht="15.75" customHeight="1">
      <c r="A1242" s="2" t="s">
        <v>1882</v>
      </c>
      <c r="B1242" s="5" t="s">
        <v>217</v>
      </c>
      <c r="C1242" s="6">
        <v>46109.46892361111</v>
      </c>
      <c r="D1242" s="2">
        <v>-16.0</v>
      </c>
      <c r="E1242" s="2"/>
      <c r="H1242" s="2" t="s">
        <v>599</v>
      </c>
    </row>
    <row r="1243" ht="15.75" customHeight="1">
      <c r="A1243" s="2" t="s">
        <v>1883</v>
      </c>
      <c r="B1243" s="2" t="s">
        <v>271</v>
      </c>
      <c r="C1243" s="6">
        <v>46109.46902777778</v>
      </c>
      <c r="D1243" s="2">
        <v>-8.0</v>
      </c>
      <c r="E1243" s="2"/>
      <c r="H1243" s="2" t="s">
        <v>599</v>
      </c>
    </row>
    <row r="1244" ht="15.75" customHeight="1">
      <c r="A1244" s="2" t="s">
        <v>1884</v>
      </c>
      <c r="B1244" s="5" t="s">
        <v>165</v>
      </c>
      <c r="C1244" s="6">
        <v>46109.46938657408</v>
      </c>
      <c r="D1244" s="2">
        <v>-11.0</v>
      </c>
      <c r="E1244" s="2"/>
      <c r="H1244" s="2" t="s">
        <v>599</v>
      </c>
    </row>
    <row r="1245" ht="15.75" customHeight="1">
      <c r="A1245" s="2" t="s">
        <v>1885</v>
      </c>
      <c r="B1245" s="5" t="s">
        <v>14</v>
      </c>
      <c r="C1245" s="6">
        <v>46109.46954861111</v>
      </c>
      <c r="D1245" s="2">
        <v>-10.0</v>
      </c>
      <c r="E1245" s="2"/>
      <c r="H1245" s="2" t="s">
        <v>599</v>
      </c>
    </row>
    <row r="1246" ht="15.75" customHeight="1">
      <c r="A1246" s="2" t="s">
        <v>1886</v>
      </c>
      <c r="B1246" s="2" t="s">
        <v>295</v>
      </c>
      <c r="C1246" s="6">
        <v>46109.46983796296</v>
      </c>
      <c r="D1246" s="2">
        <v>-24.0</v>
      </c>
      <c r="E1246" s="2"/>
      <c r="H1246" s="2" t="s">
        <v>599</v>
      </c>
    </row>
    <row r="1247" ht="15.75" customHeight="1">
      <c r="A1247" s="2" t="s">
        <v>1887</v>
      </c>
      <c r="B1247" s="5" t="s">
        <v>96</v>
      </c>
      <c r="C1247" s="6">
        <v>46109.47011574074</v>
      </c>
      <c r="D1247" s="2">
        <v>-7.0</v>
      </c>
      <c r="E1247" s="2"/>
      <c r="H1247" s="2" t="s">
        <v>599</v>
      </c>
    </row>
    <row r="1248" ht="15.75" customHeight="1">
      <c r="A1248" s="5" t="s">
        <v>1888</v>
      </c>
      <c r="B1248" s="2" t="s">
        <v>369</v>
      </c>
      <c r="C1248" s="6">
        <v>46109.47121527778</v>
      </c>
      <c r="D1248" s="2">
        <v>-1.0</v>
      </c>
      <c r="E1248" s="2"/>
      <c r="H1248" s="2" t="s">
        <v>599</v>
      </c>
    </row>
    <row r="1249" ht="15.75" customHeight="1">
      <c r="A1249" s="2" t="s">
        <v>1889</v>
      </c>
      <c r="B1249" s="2" t="s">
        <v>342</v>
      </c>
      <c r="C1249" s="6">
        <v>46109.4715162037</v>
      </c>
      <c r="D1249" s="2">
        <v>-3.0</v>
      </c>
      <c r="E1249" s="2"/>
      <c r="H1249" s="2" t="s">
        <v>599</v>
      </c>
    </row>
    <row r="1250" ht="15.75" customHeight="1">
      <c r="A1250" s="2" t="s">
        <v>1890</v>
      </c>
      <c r="B1250" s="5" t="s">
        <v>192</v>
      </c>
      <c r="C1250" s="6">
        <v>46109.47189814815</v>
      </c>
      <c r="D1250" s="2">
        <v>-12.0</v>
      </c>
      <c r="E1250" s="2"/>
      <c r="H1250" s="2" t="s">
        <v>599</v>
      </c>
    </row>
    <row r="1251" ht="15.75" customHeight="1">
      <c r="A1251" s="2" t="s">
        <v>1891</v>
      </c>
      <c r="B1251" s="5" t="s">
        <v>214</v>
      </c>
      <c r="C1251" s="6">
        <v>46109.47221064815</v>
      </c>
      <c r="D1251" s="2">
        <v>-60.0</v>
      </c>
      <c r="E1251" s="2"/>
      <c r="H1251" s="2" t="s">
        <v>599</v>
      </c>
    </row>
    <row r="1252" ht="15.75" customHeight="1">
      <c r="A1252" s="2" t="s">
        <v>1892</v>
      </c>
      <c r="B1252" s="5" t="s">
        <v>142</v>
      </c>
      <c r="C1252" s="6">
        <v>46109.47368055556</v>
      </c>
      <c r="D1252" s="2">
        <v>-7.0</v>
      </c>
      <c r="E1252" s="2"/>
      <c r="H1252" s="2" t="s">
        <v>599</v>
      </c>
    </row>
    <row r="1253" ht="15.75" customHeight="1">
      <c r="A1253" s="2" t="s">
        <v>1893</v>
      </c>
      <c r="B1253" s="2" t="s">
        <v>301</v>
      </c>
      <c r="C1253" s="6">
        <v>46109.47384259259</v>
      </c>
      <c r="D1253" s="2">
        <v>-3.0</v>
      </c>
      <c r="E1253" s="2"/>
      <c r="H1253" s="2" t="s">
        <v>599</v>
      </c>
    </row>
    <row r="1254" ht="15.75" customHeight="1">
      <c r="A1254" s="2" t="s">
        <v>1894</v>
      </c>
      <c r="B1254" s="5" t="s">
        <v>82</v>
      </c>
      <c r="C1254" s="6">
        <v>46109.47399305556</v>
      </c>
      <c r="D1254" s="2">
        <v>-4.0</v>
      </c>
      <c r="E1254" s="2"/>
      <c r="H1254" s="2" t="s">
        <v>599</v>
      </c>
    </row>
    <row r="1255" ht="15.75" customHeight="1">
      <c r="A1255" s="2" t="s">
        <v>1895</v>
      </c>
      <c r="B1255" s="5" t="s">
        <v>206</v>
      </c>
      <c r="C1255" s="6">
        <v>46109.47408564815</v>
      </c>
      <c r="D1255" s="2">
        <v>-7.0</v>
      </c>
      <c r="E1255" s="2"/>
      <c r="H1255" s="2" t="s">
        <v>599</v>
      </c>
    </row>
    <row r="1256" ht="15.75" customHeight="1">
      <c r="A1256" s="2" t="s">
        <v>1896</v>
      </c>
      <c r="B1256" s="2" t="s">
        <v>327</v>
      </c>
      <c r="C1256" s="6">
        <v>46109.477476851855</v>
      </c>
      <c r="D1256" s="2">
        <v>-20.0</v>
      </c>
      <c r="E1256" s="2"/>
      <c r="H1256" s="2" t="s">
        <v>599</v>
      </c>
    </row>
    <row r="1257" ht="15.75" customHeight="1">
      <c r="A1257" s="2" t="s">
        <v>1897</v>
      </c>
      <c r="B1257" s="2" t="s">
        <v>238</v>
      </c>
      <c r="C1257" s="6">
        <v>46109.47761574074</v>
      </c>
      <c r="D1257" s="2">
        <v>-7.0</v>
      </c>
      <c r="E1257" s="2"/>
      <c r="H1257" s="2" t="s">
        <v>599</v>
      </c>
    </row>
    <row r="1258" ht="15.75" customHeight="1">
      <c r="A1258" s="2" t="s">
        <v>1898</v>
      </c>
      <c r="B1258" s="5" t="s">
        <v>217</v>
      </c>
      <c r="C1258" s="6">
        <v>46109.47769675926</v>
      </c>
      <c r="D1258" s="2">
        <v>-15.0</v>
      </c>
      <c r="E1258" s="2"/>
      <c r="H1258" s="2" t="s">
        <v>599</v>
      </c>
    </row>
    <row r="1259" ht="15.75" customHeight="1">
      <c r="A1259" s="2" t="s">
        <v>1899</v>
      </c>
      <c r="B1259" s="5" t="s">
        <v>214</v>
      </c>
      <c r="C1259" s="6">
        <v>46109.477951388886</v>
      </c>
      <c r="D1259" s="2">
        <v>-60.0</v>
      </c>
      <c r="E1259" s="2"/>
      <c r="H1259" s="2" t="s">
        <v>599</v>
      </c>
    </row>
    <row r="1260" ht="15.75" customHeight="1">
      <c r="A1260" s="2" t="s">
        <v>1900</v>
      </c>
      <c r="B1260" s="2" t="s">
        <v>295</v>
      </c>
      <c r="C1260" s="6">
        <v>46109.47829861111</v>
      </c>
      <c r="D1260" s="2">
        <v>-24.0</v>
      </c>
      <c r="E1260" s="2"/>
      <c r="H1260" s="2" t="s">
        <v>599</v>
      </c>
    </row>
    <row r="1261" ht="15.75" customHeight="1">
      <c r="A1261" s="2" t="s">
        <v>1901</v>
      </c>
      <c r="B1261" s="5" t="s">
        <v>192</v>
      </c>
      <c r="C1261" s="6">
        <v>46109.47849537037</v>
      </c>
      <c r="D1261" s="2">
        <v>-16.0</v>
      </c>
      <c r="E1261" s="2"/>
      <c r="H1261" s="2" t="s">
        <v>599</v>
      </c>
    </row>
    <row r="1262" ht="15.75" customHeight="1">
      <c r="A1262" s="2" t="s">
        <v>1902</v>
      </c>
      <c r="B1262" s="5" t="s">
        <v>96</v>
      </c>
      <c r="C1262" s="6">
        <v>46109.47969907407</v>
      </c>
      <c r="D1262" s="2">
        <v>-5.0</v>
      </c>
      <c r="E1262" s="2"/>
      <c r="H1262" s="2" t="s">
        <v>599</v>
      </c>
    </row>
    <row r="1263" ht="15.75" customHeight="1">
      <c r="A1263" s="2" t="s">
        <v>1903</v>
      </c>
      <c r="B1263" s="2" t="s">
        <v>396</v>
      </c>
      <c r="C1263" s="6">
        <v>46109.479791666665</v>
      </c>
      <c r="D1263" s="2">
        <v>-7.0</v>
      </c>
      <c r="E1263" s="2"/>
      <c r="H1263" s="2" t="s">
        <v>599</v>
      </c>
    </row>
    <row r="1264" ht="15.75" customHeight="1">
      <c r="A1264" s="2" t="s">
        <v>1904</v>
      </c>
      <c r="B1264" s="5" t="s">
        <v>142</v>
      </c>
      <c r="C1264" s="6">
        <v>46109.48048611111</v>
      </c>
      <c r="D1264" s="2">
        <v>-10.0</v>
      </c>
      <c r="E1264" s="2"/>
      <c r="H1264" s="2" t="s">
        <v>599</v>
      </c>
    </row>
    <row r="1265" ht="15.75" customHeight="1">
      <c r="A1265" s="2" t="s">
        <v>1905</v>
      </c>
      <c r="B1265" s="5" t="s">
        <v>154</v>
      </c>
      <c r="C1265" s="6">
        <v>46109.51577546296</v>
      </c>
      <c r="D1265" s="2">
        <v>-5.0</v>
      </c>
      <c r="E1265" s="2"/>
      <c r="H1265" s="2" t="s">
        <v>571</v>
      </c>
    </row>
    <row r="1266" ht="15.75" customHeight="1">
      <c r="A1266" s="2" t="s">
        <v>1906</v>
      </c>
      <c r="B1266" s="5" t="s">
        <v>145</v>
      </c>
      <c r="C1266" s="6">
        <v>46109.5159375</v>
      </c>
      <c r="D1266" s="2">
        <v>-8.0</v>
      </c>
      <c r="E1266" s="2"/>
      <c r="H1266" s="2" t="s">
        <v>571</v>
      </c>
    </row>
    <row r="1267" ht="15.75" customHeight="1">
      <c r="A1267" s="2" t="s">
        <v>1907</v>
      </c>
      <c r="B1267" s="5" t="s">
        <v>206</v>
      </c>
      <c r="C1267" s="6">
        <v>46109.481944444444</v>
      </c>
      <c r="D1267" s="2">
        <v>-2.0</v>
      </c>
      <c r="E1267" s="2"/>
      <c r="H1267" s="2" t="s">
        <v>599</v>
      </c>
    </row>
    <row r="1268" ht="15.75" customHeight="1">
      <c r="A1268" s="2" t="s">
        <v>1908</v>
      </c>
      <c r="B1268" s="5" t="s">
        <v>214</v>
      </c>
      <c r="C1268" s="6">
        <v>46109.63012731481</v>
      </c>
      <c r="D1268" s="2">
        <v>6.0</v>
      </c>
      <c r="E1268" s="2"/>
      <c r="H1268" s="2" t="s">
        <v>571</v>
      </c>
    </row>
    <row r="1269" ht="15.75" customHeight="1">
      <c r="A1269" s="2" t="s">
        <v>1909</v>
      </c>
      <c r="B1269" s="5" t="s">
        <v>217</v>
      </c>
      <c r="C1269" s="6">
        <v>46109.63041666667</v>
      </c>
      <c r="D1269" s="2">
        <v>6.0</v>
      </c>
      <c r="E1269" s="2"/>
      <c r="H1269" s="2" t="s">
        <v>571</v>
      </c>
    </row>
    <row r="1270" ht="15.75" customHeight="1">
      <c r="A1270" s="2" t="s">
        <v>1910</v>
      </c>
      <c r="B1270" s="5" t="s">
        <v>192</v>
      </c>
      <c r="C1270" s="6">
        <v>46110.095034722224</v>
      </c>
      <c r="D1270" s="2">
        <v>48.0</v>
      </c>
      <c r="E1270" s="2" t="s">
        <v>1911</v>
      </c>
      <c r="H1270" s="2" t="s">
        <v>571</v>
      </c>
    </row>
    <row r="1271" ht="15.75" customHeight="1">
      <c r="A1271" s="2" t="s">
        <v>1912</v>
      </c>
      <c r="B1271" s="2" t="s">
        <v>289</v>
      </c>
      <c r="C1271" s="6">
        <v>46110.095138888886</v>
      </c>
      <c r="D1271" s="2">
        <v>36.0</v>
      </c>
      <c r="E1271" s="2" t="s">
        <v>1911</v>
      </c>
      <c r="H1271" s="2" t="s">
        <v>571</v>
      </c>
    </row>
    <row r="1272" ht="15.75" customHeight="1">
      <c r="A1272" s="2" t="s">
        <v>1913</v>
      </c>
      <c r="B1272" s="2" t="s">
        <v>327</v>
      </c>
      <c r="C1272" s="6">
        <v>46110.09521990741</v>
      </c>
      <c r="D1272" s="2">
        <v>80.0</v>
      </c>
      <c r="E1272" s="2" t="s">
        <v>1911</v>
      </c>
      <c r="H1272" s="2" t="s">
        <v>571</v>
      </c>
    </row>
    <row r="1273" ht="15.75" customHeight="1">
      <c r="A1273" s="2" t="s">
        <v>1914</v>
      </c>
      <c r="B1273" s="2" t="s">
        <v>295</v>
      </c>
      <c r="C1273" s="6">
        <v>46110.0953125</v>
      </c>
      <c r="D1273" s="2">
        <v>240.0</v>
      </c>
      <c r="E1273" s="2" t="s">
        <v>1911</v>
      </c>
      <c r="H1273" s="2" t="s">
        <v>571</v>
      </c>
    </row>
    <row r="1274" ht="15.75" customHeight="1">
      <c r="A1274" s="2" t="s">
        <v>1915</v>
      </c>
      <c r="B1274" s="5" t="s">
        <v>217</v>
      </c>
      <c r="C1274" s="6">
        <v>46110.09793981481</v>
      </c>
      <c r="D1274" s="2">
        <v>75.0</v>
      </c>
      <c r="E1274" s="2" t="s">
        <v>1916</v>
      </c>
      <c r="H1274" s="2" t="s">
        <v>571</v>
      </c>
    </row>
    <row r="1275" ht="15.75" customHeight="1">
      <c r="A1275" s="2" t="s">
        <v>1917</v>
      </c>
      <c r="B1275" s="2" t="s">
        <v>271</v>
      </c>
      <c r="C1275" s="6">
        <v>46110.09800925926</v>
      </c>
      <c r="D1275" s="2">
        <v>30.0</v>
      </c>
      <c r="E1275" s="2" t="s">
        <v>1916</v>
      </c>
      <c r="H1275" s="2" t="s">
        <v>571</v>
      </c>
    </row>
    <row r="1276" ht="15.75" customHeight="1">
      <c r="A1276" s="2" t="s">
        <v>1918</v>
      </c>
      <c r="B1276" s="2" t="s">
        <v>286</v>
      </c>
      <c r="C1276" s="6">
        <v>46110.098078703704</v>
      </c>
      <c r="D1276" s="2">
        <v>45.0</v>
      </c>
      <c r="E1276" s="2" t="s">
        <v>1916</v>
      </c>
      <c r="H1276" s="2" t="s">
        <v>571</v>
      </c>
    </row>
    <row r="1277" ht="15.75" customHeight="1">
      <c r="A1277" s="2" t="s">
        <v>1919</v>
      </c>
      <c r="B1277" s="5" t="s">
        <v>171</v>
      </c>
      <c r="C1277" s="6">
        <v>46110.09815972222</v>
      </c>
      <c r="D1277" s="2">
        <v>72.0</v>
      </c>
      <c r="E1277" s="2" t="s">
        <v>1916</v>
      </c>
      <c r="H1277" s="2" t="s">
        <v>571</v>
      </c>
    </row>
    <row r="1278" ht="15.75" customHeight="1">
      <c r="A1278" s="2" t="s">
        <v>1920</v>
      </c>
      <c r="B1278" s="5" t="s">
        <v>165</v>
      </c>
      <c r="C1278" s="6">
        <v>46110.09821759259</v>
      </c>
      <c r="D1278" s="2">
        <v>48.0</v>
      </c>
      <c r="E1278" s="2" t="s">
        <v>1916</v>
      </c>
      <c r="H1278" s="2" t="s">
        <v>571</v>
      </c>
    </row>
    <row r="1279" ht="15.75" customHeight="1">
      <c r="A1279" s="2" t="s">
        <v>1921</v>
      </c>
      <c r="B1279" s="5" t="s">
        <v>142</v>
      </c>
      <c r="C1279" s="6">
        <v>46110.098287037035</v>
      </c>
      <c r="D1279" s="2">
        <v>24.0</v>
      </c>
      <c r="E1279" s="2" t="s">
        <v>1916</v>
      </c>
      <c r="H1279" s="2" t="s">
        <v>571</v>
      </c>
    </row>
    <row r="1280" ht="15.75" customHeight="1">
      <c r="A1280" s="2" t="s">
        <v>1922</v>
      </c>
      <c r="B1280" s="5" t="s">
        <v>206</v>
      </c>
      <c r="C1280" s="6">
        <v>46110.09835648148</v>
      </c>
      <c r="D1280" s="2">
        <v>24.0</v>
      </c>
      <c r="E1280" s="2" t="s">
        <v>1916</v>
      </c>
      <c r="H1280" s="2" t="s">
        <v>571</v>
      </c>
    </row>
    <row r="1281" ht="15.75" customHeight="1">
      <c r="A1281" s="2" t="s">
        <v>1923</v>
      </c>
      <c r="B1281" s="5" t="s">
        <v>59</v>
      </c>
      <c r="C1281" s="6">
        <v>46110.09841435185</v>
      </c>
      <c r="D1281" s="2">
        <v>81.0</v>
      </c>
      <c r="E1281" s="2" t="s">
        <v>1916</v>
      </c>
      <c r="H1281" s="2" t="s">
        <v>571</v>
      </c>
    </row>
    <row r="1282" ht="15.75" customHeight="1">
      <c r="A1282" s="2" t="s">
        <v>1924</v>
      </c>
      <c r="B1282" s="5" t="s">
        <v>134</v>
      </c>
      <c r="C1282" s="6">
        <v>46110.09847222222</v>
      </c>
      <c r="D1282" s="2">
        <v>81.0</v>
      </c>
      <c r="E1282" s="2" t="s">
        <v>1916</v>
      </c>
      <c r="H1282" s="2" t="s">
        <v>571</v>
      </c>
    </row>
    <row r="1283" ht="15.75" customHeight="1">
      <c r="A1283" s="2" t="s">
        <v>1925</v>
      </c>
      <c r="B1283" s="2" t="s">
        <v>360</v>
      </c>
      <c r="C1283" s="6">
        <v>46110.09853009259</v>
      </c>
      <c r="D1283" s="2">
        <v>120.0</v>
      </c>
      <c r="E1283" s="2" t="s">
        <v>1916</v>
      </c>
      <c r="H1283" s="2" t="s">
        <v>571</v>
      </c>
    </row>
    <row r="1284" ht="15.75" customHeight="1">
      <c r="A1284" s="2" t="s">
        <v>1926</v>
      </c>
      <c r="B1284" s="5" t="s">
        <v>120</v>
      </c>
      <c r="C1284" s="6">
        <v>46110.098587962966</v>
      </c>
      <c r="D1284" s="2">
        <v>16.0</v>
      </c>
      <c r="E1284" s="2" t="s">
        <v>1916</v>
      </c>
      <c r="H1284" s="2" t="s">
        <v>571</v>
      </c>
    </row>
    <row r="1285" ht="15.75" customHeight="1">
      <c r="A1285" s="2" t="s">
        <v>1927</v>
      </c>
      <c r="B1285" s="2" t="s">
        <v>289</v>
      </c>
      <c r="C1285" s="6">
        <v>46110.098657407405</v>
      </c>
      <c r="D1285" s="2">
        <v>36.0</v>
      </c>
      <c r="E1285" s="2" t="s">
        <v>1916</v>
      </c>
      <c r="H1285" s="2" t="s">
        <v>571</v>
      </c>
    </row>
    <row r="1286" ht="15.75" customHeight="1">
      <c r="A1286" s="2" t="s">
        <v>1928</v>
      </c>
      <c r="B1286" s="2" t="s">
        <v>369</v>
      </c>
      <c r="C1286" s="6">
        <v>46110.0996875</v>
      </c>
      <c r="D1286" s="2">
        <v>60.0</v>
      </c>
      <c r="E1286" s="2" t="s">
        <v>1929</v>
      </c>
      <c r="H1286" s="2" t="s">
        <v>571</v>
      </c>
    </row>
    <row r="1287" ht="15.75" customHeight="1">
      <c r="A1287" s="2" t="s">
        <v>1930</v>
      </c>
      <c r="B1287" s="2" t="s">
        <v>384</v>
      </c>
      <c r="C1287" s="6">
        <v>46110.09974537037</v>
      </c>
      <c r="D1287" s="2">
        <v>48.0</v>
      </c>
      <c r="E1287" s="2" t="s">
        <v>1929</v>
      </c>
      <c r="H1287" s="2" t="s">
        <v>571</v>
      </c>
    </row>
    <row r="1288" ht="15.75" customHeight="1">
      <c r="A1288" s="2" t="s">
        <v>1931</v>
      </c>
      <c r="B1288" s="2" t="s">
        <v>378</v>
      </c>
      <c r="C1288" s="6">
        <v>46110.09979166667</v>
      </c>
      <c r="D1288" s="2">
        <v>72.0</v>
      </c>
      <c r="E1288" s="2" t="s">
        <v>1929</v>
      </c>
      <c r="H1288" s="2" t="s">
        <v>571</v>
      </c>
    </row>
    <row r="1289" ht="15.75" customHeight="1">
      <c r="A1289" s="2" t="s">
        <v>1932</v>
      </c>
      <c r="B1289" s="2" t="s">
        <v>372</v>
      </c>
      <c r="C1289" s="6">
        <v>46110.09984953704</v>
      </c>
      <c r="D1289" s="2">
        <v>120.0</v>
      </c>
      <c r="E1289" s="2" t="s">
        <v>1929</v>
      </c>
      <c r="H1289" s="2" t="s">
        <v>571</v>
      </c>
    </row>
    <row r="1290" ht="15.75" customHeight="1">
      <c r="A1290" s="2" t="s">
        <v>1933</v>
      </c>
      <c r="B1290" s="5" t="s">
        <v>186</v>
      </c>
      <c r="C1290" s="6">
        <v>46110.10016203704</v>
      </c>
      <c r="D1290" s="2">
        <v>10.0</v>
      </c>
      <c r="E1290" s="2" t="s">
        <v>1934</v>
      </c>
      <c r="H1290" s="2" t="s">
        <v>571</v>
      </c>
    </row>
    <row r="1291" ht="15.75" customHeight="1">
      <c r="A1291" s="2" t="s">
        <v>1935</v>
      </c>
      <c r="B1291" s="5" t="s">
        <v>14</v>
      </c>
      <c r="C1291" s="6">
        <v>46110.10021990741</v>
      </c>
      <c r="D1291" s="2">
        <v>30.0</v>
      </c>
      <c r="E1291" s="2" t="s">
        <v>1934</v>
      </c>
      <c r="H1291" s="2" t="s">
        <v>571</v>
      </c>
    </row>
    <row r="1292" ht="15.75" customHeight="1">
      <c r="A1292" s="2" t="s">
        <v>1936</v>
      </c>
      <c r="B1292" s="2" t="s">
        <v>327</v>
      </c>
      <c r="C1292" s="6">
        <v>46110.48935185185</v>
      </c>
      <c r="D1292" s="2">
        <v>-4.0</v>
      </c>
      <c r="E1292" s="2"/>
      <c r="H1292" s="2" t="s">
        <v>599</v>
      </c>
    </row>
    <row r="1293" ht="15.75" customHeight="1">
      <c r="A1293" s="2" t="s">
        <v>1937</v>
      </c>
      <c r="B1293" s="2" t="s">
        <v>289</v>
      </c>
      <c r="C1293" s="6">
        <v>46110.48940972222</v>
      </c>
      <c r="D1293" s="2">
        <v>-4.0</v>
      </c>
      <c r="E1293" s="2"/>
      <c r="H1293" s="2" t="s">
        <v>599</v>
      </c>
    </row>
    <row r="1294" ht="15.75" customHeight="1">
      <c r="A1294" s="2" t="s">
        <v>1938</v>
      </c>
      <c r="B1294" s="2" t="s">
        <v>286</v>
      </c>
      <c r="C1294" s="6">
        <v>46110.48947916667</v>
      </c>
      <c r="D1294" s="2">
        <v>-7.0</v>
      </c>
      <c r="E1294" s="2"/>
      <c r="H1294" s="2" t="s">
        <v>599</v>
      </c>
    </row>
    <row r="1295" ht="15.75" customHeight="1">
      <c r="A1295" s="2" t="s">
        <v>1939</v>
      </c>
      <c r="B1295" s="2" t="s">
        <v>271</v>
      </c>
      <c r="C1295" s="6">
        <v>46110.48954861111</v>
      </c>
      <c r="D1295" s="2">
        <v>-2.0</v>
      </c>
      <c r="E1295" s="2"/>
      <c r="H1295" s="2" t="s">
        <v>599</v>
      </c>
    </row>
    <row r="1296" ht="15.75" customHeight="1">
      <c r="A1296" s="2" t="s">
        <v>1940</v>
      </c>
      <c r="B1296" s="5" t="s">
        <v>217</v>
      </c>
      <c r="C1296" s="6">
        <v>46110.48961805556</v>
      </c>
      <c r="D1296" s="2">
        <v>-1.0</v>
      </c>
      <c r="E1296" s="2"/>
      <c r="H1296" s="2" t="s">
        <v>599</v>
      </c>
    </row>
    <row r="1297" ht="15.75" customHeight="1">
      <c r="A1297" s="2" t="s">
        <v>1941</v>
      </c>
      <c r="B1297" s="2" t="s">
        <v>378</v>
      </c>
      <c r="C1297" s="6">
        <v>46110.494166666664</v>
      </c>
      <c r="D1297" s="2">
        <v>-16.0</v>
      </c>
      <c r="E1297" s="2"/>
      <c r="H1297" s="2" t="s">
        <v>599</v>
      </c>
    </row>
    <row r="1298" ht="15.75" customHeight="1">
      <c r="A1298" s="2" t="s">
        <v>1942</v>
      </c>
      <c r="B1298" s="2" t="s">
        <v>384</v>
      </c>
      <c r="C1298" s="6">
        <v>46110.49424768519</v>
      </c>
      <c r="D1298" s="2">
        <v>-16.0</v>
      </c>
      <c r="E1298" s="2"/>
      <c r="H1298" s="2" t="s">
        <v>599</v>
      </c>
    </row>
    <row r="1299" ht="15.75" customHeight="1">
      <c r="A1299" s="2" t="s">
        <v>1943</v>
      </c>
      <c r="B1299" s="2" t="s">
        <v>372</v>
      </c>
      <c r="C1299" s="6">
        <v>46110.494363425925</v>
      </c>
      <c r="D1299" s="2">
        <v>-10.0</v>
      </c>
      <c r="E1299" s="2"/>
      <c r="H1299" s="2" t="s">
        <v>599</v>
      </c>
    </row>
    <row r="1300" ht="15.75" customHeight="1">
      <c r="A1300" s="2" t="s">
        <v>1944</v>
      </c>
      <c r="B1300" s="5" t="s">
        <v>148</v>
      </c>
      <c r="C1300" s="6">
        <v>46110.49450231482</v>
      </c>
      <c r="D1300" s="2">
        <v>-5.0</v>
      </c>
      <c r="E1300" s="2"/>
      <c r="H1300" s="2" t="s">
        <v>599</v>
      </c>
    </row>
    <row r="1301" ht="15.75" customHeight="1">
      <c r="A1301" s="2" t="s">
        <v>1945</v>
      </c>
      <c r="B1301" s="5" t="s">
        <v>14</v>
      </c>
      <c r="C1301" s="6">
        <v>46110.494618055556</v>
      </c>
      <c r="D1301" s="2">
        <v>-10.0</v>
      </c>
      <c r="E1301" s="2"/>
      <c r="H1301" s="2" t="s">
        <v>599</v>
      </c>
    </row>
    <row r="1302" ht="15.75" customHeight="1">
      <c r="A1302" s="2" t="s">
        <v>1946</v>
      </c>
      <c r="B1302" s="5" t="s">
        <v>165</v>
      </c>
      <c r="C1302" s="6">
        <v>46110.49591435185</v>
      </c>
      <c r="D1302" s="2">
        <v>-11.0</v>
      </c>
      <c r="E1302" s="2"/>
      <c r="H1302" s="2" t="s">
        <v>599</v>
      </c>
    </row>
    <row r="1303" ht="15.75" customHeight="1">
      <c r="A1303" s="2" t="s">
        <v>1947</v>
      </c>
      <c r="B1303" s="2" t="s">
        <v>369</v>
      </c>
      <c r="C1303" s="6">
        <v>46110.496724537035</v>
      </c>
      <c r="D1303" s="2">
        <v>-14.0</v>
      </c>
      <c r="E1303" s="2"/>
      <c r="H1303" s="2" t="s">
        <v>599</v>
      </c>
    </row>
    <row r="1304" ht="15.75" customHeight="1">
      <c r="A1304" s="2" t="s">
        <v>1948</v>
      </c>
      <c r="B1304" s="5" t="s">
        <v>96</v>
      </c>
      <c r="C1304" s="6">
        <v>46110.49753472222</v>
      </c>
      <c r="D1304" s="2">
        <v>-12.0</v>
      </c>
      <c r="E1304" s="2"/>
      <c r="H1304" s="2" t="s">
        <v>599</v>
      </c>
    </row>
    <row r="1305" ht="15.75" customHeight="1">
      <c r="A1305" s="2" t="s">
        <v>1949</v>
      </c>
      <c r="B1305" s="5" t="s">
        <v>134</v>
      </c>
      <c r="C1305" s="6">
        <v>46110.499386574076</v>
      </c>
      <c r="D1305" s="2">
        <v>-7.0</v>
      </c>
      <c r="E1305" s="2"/>
      <c r="H1305" s="2" t="s">
        <v>599</v>
      </c>
    </row>
    <row r="1306" ht="15.75" customHeight="1">
      <c r="A1306" s="2" t="s">
        <v>1950</v>
      </c>
      <c r="B1306" s="5" t="s">
        <v>59</v>
      </c>
      <c r="C1306" s="6">
        <v>46110.499456018515</v>
      </c>
      <c r="D1306" s="2">
        <v>-1.0</v>
      </c>
      <c r="E1306" s="2"/>
      <c r="H1306" s="2" t="s">
        <v>599</v>
      </c>
    </row>
    <row r="1307" ht="15.75" customHeight="1">
      <c r="A1307" s="2" t="s">
        <v>1951</v>
      </c>
      <c r="B1307" s="5" t="s">
        <v>142</v>
      </c>
      <c r="C1307" s="6">
        <v>46110.5021875</v>
      </c>
      <c r="D1307" s="2">
        <v>-19.0</v>
      </c>
      <c r="E1307" s="2"/>
      <c r="H1307" s="2" t="s">
        <v>599</v>
      </c>
    </row>
    <row r="1308" ht="15.75" customHeight="1">
      <c r="A1308" s="2" t="s">
        <v>1952</v>
      </c>
      <c r="B1308" s="2" t="s">
        <v>381</v>
      </c>
      <c r="C1308" s="6">
        <v>46110.502384259256</v>
      </c>
      <c r="D1308" s="2">
        <v>-3.0</v>
      </c>
      <c r="E1308" s="2"/>
      <c r="H1308" s="2" t="s">
        <v>599</v>
      </c>
    </row>
    <row r="1309" ht="15.75" customHeight="1">
      <c r="A1309" s="2" t="s">
        <v>1953</v>
      </c>
      <c r="B1309" s="5" t="s">
        <v>82</v>
      </c>
      <c r="C1309" s="6">
        <v>46110.502488425926</v>
      </c>
      <c r="D1309" s="2">
        <v>-6.0</v>
      </c>
      <c r="E1309" s="2"/>
      <c r="H1309" s="2" t="s">
        <v>599</v>
      </c>
    </row>
    <row r="1310" ht="15.75" customHeight="1">
      <c r="A1310" s="2" t="s">
        <v>1954</v>
      </c>
      <c r="B1310" s="5" t="s">
        <v>206</v>
      </c>
      <c r="C1310" s="6">
        <v>46110.502604166664</v>
      </c>
      <c r="D1310" s="2">
        <v>-7.0</v>
      </c>
      <c r="E1310" s="2"/>
      <c r="H1310" s="2" t="s">
        <v>599</v>
      </c>
    </row>
    <row r="1311" ht="15.75" customHeight="1">
      <c r="A1311" s="2" t="s">
        <v>1955</v>
      </c>
      <c r="B1311" s="5" t="s">
        <v>192</v>
      </c>
      <c r="C1311" s="6">
        <v>46110.50271990741</v>
      </c>
      <c r="D1311" s="2">
        <v>-10.0</v>
      </c>
      <c r="E1311" s="2"/>
      <c r="H1311" s="2" t="s">
        <v>599</v>
      </c>
    </row>
    <row r="1312" ht="15.75" customHeight="1">
      <c r="A1312" s="2" t="s">
        <v>1956</v>
      </c>
      <c r="B1312" s="5" t="s">
        <v>214</v>
      </c>
      <c r="C1312" s="6">
        <v>46110.502847222226</v>
      </c>
      <c r="D1312" s="2">
        <v>-60.0</v>
      </c>
      <c r="E1312" s="2"/>
      <c r="H1312" s="2" t="s">
        <v>599</v>
      </c>
    </row>
    <row r="1313" ht="15.75" customHeight="1">
      <c r="A1313" s="2" t="s">
        <v>1957</v>
      </c>
      <c r="B1313" s="2" t="s">
        <v>396</v>
      </c>
      <c r="C1313" s="6">
        <v>46110.503703703704</v>
      </c>
      <c r="D1313" s="2">
        <v>1.0</v>
      </c>
      <c r="E1313" s="2"/>
      <c r="H1313" s="2" t="s">
        <v>599</v>
      </c>
    </row>
    <row r="1314" ht="15.75" customHeight="1">
      <c r="A1314" s="2" t="s">
        <v>1958</v>
      </c>
      <c r="B1314" s="5" t="s">
        <v>56</v>
      </c>
      <c r="C1314" s="6">
        <v>46110.50550925926</v>
      </c>
      <c r="D1314" s="2">
        <v>4.0</v>
      </c>
      <c r="E1314" s="2"/>
      <c r="H1314" s="2" t="s">
        <v>599</v>
      </c>
    </row>
    <row r="1315" ht="15.75" customHeight="1">
      <c r="A1315" s="2" t="s">
        <v>1959</v>
      </c>
      <c r="B1315" s="2" t="s">
        <v>393</v>
      </c>
      <c r="C1315" s="6">
        <v>46110.505740740744</v>
      </c>
      <c r="D1315" s="2">
        <v>3.0</v>
      </c>
      <c r="E1315" s="2"/>
      <c r="H1315" s="2" t="s">
        <v>599</v>
      </c>
    </row>
    <row r="1316" ht="15.75" customHeight="1">
      <c r="A1316" s="2" t="s">
        <v>1960</v>
      </c>
      <c r="B1316" s="2" t="s">
        <v>316</v>
      </c>
      <c r="C1316" s="6">
        <v>46110.505891203706</v>
      </c>
      <c r="D1316" s="2">
        <v>1.0</v>
      </c>
      <c r="E1316" s="2"/>
      <c r="H1316" s="2" t="s">
        <v>599</v>
      </c>
    </row>
    <row r="1317" ht="15.75" customHeight="1">
      <c r="A1317" s="2" t="s">
        <v>1961</v>
      </c>
      <c r="B1317" s="2" t="s">
        <v>327</v>
      </c>
      <c r="C1317" s="6">
        <v>46111.44243055556</v>
      </c>
      <c r="D1317" s="2">
        <v>-3.0</v>
      </c>
      <c r="E1317" s="2"/>
      <c r="H1317" s="2" t="s">
        <v>599</v>
      </c>
    </row>
    <row r="1318" ht="15.75" customHeight="1">
      <c r="A1318" s="2" t="s">
        <v>1962</v>
      </c>
      <c r="B1318" s="2" t="s">
        <v>289</v>
      </c>
      <c r="C1318" s="6">
        <v>46111.44247685185</v>
      </c>
      <c r="D1318" s="2">
        <v>-12.0</v>
      </c>
      <c r="E1318" s="2"/>
      <c r="H1318" s="2" t="s">
        <v>599</v>
      </c>
    </row>
    <row r="1319" ht="15.75" customHeight="1">
      <c r="A1319" s="2" t="s">
        <v>1963</v>
      </c>
      <c r="B1319" s="5" t="s">
        <v>131</v>
      </c>
      <c r="C1319" s="6">
        <v>46111.44261574074</v>
      </c>
      <c r="D1319" s="2">
        <v>-6.0</v>
      </c>
      <c r="E1319" s="2"/>
      <c r="H1319" s="2" t="s">
        <v>599</v>
      </c>
    </row>
    <row r="1320" ht="15.75" customHeight="1">
      <c r="A1320" s="2" t="s">
        <v>1964</v>
      </c>
      <c r="B1320" s="2" t="s">
        <v>286</v>
      </c>
      <c r="C1320" s="6">
        <v>46111.442777777775</v>
      </c>
      <c r="D1320" s="2">
        <v>-7.0</v>
      </c>
      <c r="E1320" s="2"/>
      <c r="H1320" s="2" t="s">
        <v>599</v>
      </c>
    </row>
    <row r="1321" ht="15.75" customHeight="1">
      <c r="A1321" s="2" t="s">
        <v>1965</v>
      </c>
      <c r="B1321" s="2" t="s">
        <v>271</v>
      </c>
      <c r="C1321" s="6">
        <v>46111.44284722222</v>
      </c>
      <c r="D1321" s="2">
        <v>-2.0</v>
      </c>
      <c r="E1321" s="2"/>
      <c r="H1321" s="2" t="s">
        <v>599</v>
      </c>
    </row>
    <row r="1322" ht="15.75" customHeight="1">
      <c r="A1322" s="2" t="s">
        <v>1966</v>
      </c>
      <c r="B1322" s="5" t="s">
        <v>217</v>
      </c>
      <c r="C1322" s="6">
        <v>46111.44296296296</v>
      </c>
      <c r="D1322" s="2">
        <v>-8.0</v>
      </c>
      <c r="E1322" s="2"/>
      <c r="H1322" s="2" t="s">
        <v>599</v>
      </c>
    </row>
    <row r="1323" ht="15.75" customHeight="1">
      <c r="A1323" s="2" t="s">
        <v>1967</v>
      </c>
      <c r="B1323" s="5" t="s">
        <v>186</v>
      </c>
      <c r="C1323" s="6">
        <v>46111.44414351852</v>
      </c>
      <c r="D1323" s="2">
        <v>-11.0</v>
      </c>
      <c r="E1323" s="2"/>
      <c r="H1323" s="2" t="s">
        <v>599</v>
      </c>
    </row>
    <row r="1324" ht="15.75" customHeight="1">
      <c r="A1324" s="2" t="s">
        <v>1968</v>
      </c>
      <c r="B1324" s="5" t="s">
        <v>120</v>
      </c>
      <c r="C1324" s="6">
        <v>46111.44431712963</v>
      </c>
      <c r="D1324" s="2">
        <v>-5.0</v>
      </c>
      <c r="E1324" s="2"/>
      <c r="H1324" s="2" t="s">
        <v>599</v>
      </c>
    </row>
    <row r="1325" ht="15.75" customHeight="1">
      <c r="A1325" s="2" t="s">
        <v>1969</v>
      </c>
      <c r="B1325" s="5" t="s">
        <v>148</v>
      </c>
      <c r="C1325" s="6">
        <v>46111.44488425926</v>
      </c>
      <c r="D1325" s="2">
        <v>-10.0</v>
      </c>
      <c r="E1325" s="2"/>
      <c r="H1325" s="2" t="s">
        <v>599</v>
      </c>
    </row>
    <row r="1326" ht="15.75" customHeight="1">
      <c r="A1326" s="2" t="s">
        <v>1970</v>
      </c>
      <c r="B1326" s="2" t="s">
        <v>378</v>
      </c>
      <c r="C1326" s="6">
        <v>46111.445439814815</v>
      </c>
      <c r="D1326" s="2">
        <v>-13.0</v>
      </c>
      <c r="E1326" s="2"/>
      <c r="H1326" s="2" t="s">
        <v>599</v>
      </c>
    </row>
    <row r="1327" ht="15.75" customHeight="1">
      <c r="A1327" s="2" t="s">
        <v>1971</v>
      </c>
      <c r="B1327" s="2" t="s">
        <v>360</v>
      </c>
      <c r="C1327" s="6">
        <v>46111.44621527778</v>
      </c>
      <c r="D1327" s="2">
        <v>-10.0</v>
      </c>
      <c r="E1327" s="2"/>
      <c r="H1327" s="2" t="s">
        <v>599</v>
      </c>
    </row>
    <row r="1328" ht="15.75" customHeight="1">
      <c r="A1328" s="2" t="s">
        <v>1972</v>
      </c>
      <c r="B1328" s="5" t="s">
        <v>134</v>
      </c>
      <c r="C1328" s="6">
        <v>46111.44671296296</v>
      </c>
      <c r="D1328" s="2">
        <v>-7.0</v>
      </c>
      <c r="E1328" s="2"/>
      <c r="H1328" s="2" t="s">
        <v>599</v>
      </c>
    </row>
    <row r="1329" ht="15.75" customHeight="1">
      <c r="A1329" s="2" t="s">
        <v>1973</v>
      </c>
      <c r="B1329" s="5" t="s">
        <v>59</v>
      </c>
      <c r="C1329" s="6">
        <v>46111.447488425925</v>
      </c>
      <c r="D1329" s="2">
        <v>-4.0</v>
      </c>
      <c r="E1329" s="2"/>
      <c r="H1329" s="2" t="s">
        <v>599</v>
      </c>
    </row>
    <row r="1330" ht="15.75" customHeight="1">
      <c r="A1330" s="5" t="s">
        <v>1974</v>
      </c>
      <c r="B1330" s="2" t="s">
        <v>283</v>
      </c>
      <c r="C1330" s="6">
        <v>46111.44767361111</v>
      </c>
      <c r="D1330" s="2">
        <v>-4.0</v>
      </c>
      <c r="E1330" s="2"/>
      <c r="H1330" s="2" t="s">
        <v>599</v>
      </c>
    </row>
    <row r="1331" ht="15.75" customHeight="1">
      <c r="A1331" s="2" t="s">
        <v>1975</v>
      </c>
      <c r="B1331" s="2" t="s">
        <v>316</v>
      </c>
      <c r="C1331" s="6">
        <v>46111.44844907407</v>
      </c>
      <c r="D1331" s="2">
        <v>-1.0</v>
      </c>
      <c r="E1331" s="2"/>
      <c r="H1331" s="2" t="s">
        <v>599</v>
      </c>
    </row>
    <row r="1332" ht="15.75" customHeight="1">
      <c r="A1332" s="2" t="s">
        <v>1976</v>
      </c>
      <c r="B1332" s="5" t="s">
        <v>206</v>
      </c>
      <c r="C1332" s="6">
        <v>46111.44865740741</v>
      </c>
      <c r="D1332" s="2">
        <v>-7.0</v>
      </c>
      <c r="E1332" s="2"/>
      <c r="H1332" s="2" t="s">
        <v>599</v>
      </c>
    </row>
    <row r="1333" ht="15.75" customHeight="1">
      <c r="A1333" s="2" t="s">
        <v>1977</v>
      </c>
      <c r="B1333" s="5" t="s">
        <v>142</v>
      </c>
      <c r="C1333" s="6">
        <v>46111.449421296296</v>
      </c>
      <c r="D1333" s="2">
        <v>-14.0</v>
      </c>
      <c r="E1333" s="2"/>
      <c r="H1333" s="2" t="s">
        <v>599</v>
      </c>
    </row>
    <row r="1334" ht="15.75" customHeight="1">
      <c r="A1334" s="2" t="s">
        <v>1978</v>
      </c>
      <c r="B1334" s="2" t="s">
        <v>301</v>
      </c>
      <c r="C1334" s="6">
        <v>46111.45011574074</v>
      </c>
      <c r="D1334" s="2">
        <v>-1.0</v>
      </c>
      <c r="E1334" s="2"/>
      <c r="H1334" s="2" t="s">
        <v>599</v>
      </c>
    </row>
    <row r="1335" ht="15.75" customHeight="1">
      <c r="A1335" s="2" t="s">
        <v>1979</v>
      </c>
      <c r="B1335" s="5" t="s">
        <v>82</v>
      </c>
      <c r="C1335" s="6">
        <v>46111.450219907405</v>
      </c>
      <c r="D1335" s="2">
        <v>-7.0</v>
      </c>
      <c r="E1335" s="2"/>
      <c r="H1335" s="2" t="s">
        <v>599</v>
      </c>
    </row>
    <row r="1336" ht="15.75" customHeight="1">
      <c r="A1336" s="2" t="s">
        <v>1980</v>
      </c>
      <c r="B1336" s="2" t="s">
        <v>381</v>
      </c>
      <c r="C1336" s="6">
        <v>46111.45079861111</v>
      </c>
      <c r="D1336" s="2">
        <v>-7.0</v>
      </c>
      <c r="E1336" s="2"/>
      <c r="H1336" s="2" t="s">
        <v>599</v>
      </c>
    </row>
    <row r="1337" ht="15.75" customHeight="1">
      <c r="A1337" s="2" t="s">
        <v>1981</v>
      </c>
      <c r="B1337" s="5" t="s">
        <v>192</v>
      </c>
      <c r="C1337" s="6">
        <v>46111.45142361111</v>
      </c>
      <c r="D1337" s="2">
        <v>-16.0</v>
      </c>
      <c r="E1337" s="2"/>
      <c r="H1337" s="2" t="s">
        <v>599</v>
      </c>
    </row>
    <row r="1338" ht="15.75" customHeight="1">
      <c r="A1338" s="2" t="s">
        <v>1982</v>
      </c>
      <c r="B1338" s="2" t="s">
        <v>354</v>
      </c>
      <c r="C1338" s="6">
        <v>46111.45282407408</v>
      </c>
      <c r="D1338" s="2">
        <v>-3.0</v>
      </c>
      <c r="E1338" s="2"/>
      <c r="H1338" s="2" t="s">
        <v>599</v>
      </c>
    </row>
    <row r="1339" ht="15.75" customHeight="1">
      <c r="A1339" s="2" t="s">
        <v>1983</v>
      </c>
      <c r="B1339" s="5" t="s">
        <v>214</v>
      </c>
      <c r="C1339" s="6">
        <v>46111.4540625</v>
      </c>
      <c r="D1339" s="2">
        <v>-51.0</v>
      </c>
      <c r="E1339" s="2"/>
      <c r="H1339" s="2" t="s">
        <v>599</v>
      </c>
    </row>
    <row r="1340" ht="15.75" customHeight="1">
      <c r="A1340" s="2" t="s">
        <v>1984</v>
      </c>
      <c r="B1340" s="2" t="s">
        <v>369</v>
      </c>
      <c r="C1340" s="6">
        <v>46111.45613425926</v>
      </c>
      <c r="D1340" s="2">
        <v>-7.0</v>
      </c>
      <c r="E1340" s="2"/>
      <c r="H1340" s="2" t="s">
        <v>599</v>
      </c>
    </row>
    <row r="1341" ht="15.75" customHeight="1">
      <c r="A1341" s="2" t="s">
        <v>1985</v>
      </c>
      <c r="B1341" s="5" t="s">
        <v>171</v>
      </c>
      <c r="C1341" s="6">
        <v>46112.94590277778</v>
      </c>
      <c r="D1341" s="2">
        <v>20.0</v>
      </c>
      <c r="E1341" s="2"/>
      <c r="H1341" s="2" t="s">
        <v>571</v>
      </c>
    </row>
    <row r="1342" ht="15.75" customHeight="1">
      <c r="A1342" s="2" t="s">
        <v>1986</v>
      </c>
      <c r="B1342" s="2" t="s">
        <v>351</v>
      </c>
      <c r="C1342" s="6">
        <v>46112.94629629629</v>
      </c>
      <c r="D1342" s="2">
        <v>3.0</v>
      </c>
      <c r="E1342" s="2"/>
      <c r="H1342" s="2" t="s">
        <v>571</v>
      </c>
    </row>
    <row r="1343" ht="15.75" customHeight="1">
      <c r="A1343" s="2" t="s">
        <v>1987</v>
      </c>
      <c r="B1343" s="5" t="s">
        <v>192</v>
      </c>
      <c r="C1343" s="6">
        <v>46112.947280092594</v>
      </c>
      <c r="D1343" s="2">
        <v>7.0</v>
      </c>
      <c r="E1343" s="2"/>
      <c r="H1343" s="2" t="s">
        <v>571</v>
      </c>
    </row>
    <row r="1344" ht="15.75" customHeight="1">
      <c r="A1344" s="2" t="s">
        <v>1988</v>
      </c>
      <c r="B1344" s="5" t="s">
        <v>142</v>
      </c>
      <c r="C1344" s="6">
        <v>46112.94832175926</v>
      </c>
      <c r="D1344" s="2">
        <v>10.0</v>
      </c>
      <c r="E1344" s="2"/>
      <c r="H1344" s="2" t="s">
        <v>571</v>
      </c>
    </row>
    <row r="1345" ht="15.75" customHeight="1">
      <c r="A1345" s="2" t="s">
        <v>1989</v>
      </c>
      <c r="B1345" s="5" t="s">
        <v>217</v>
      </c>
      <c r="C1345" s="6">
        <v>46112.94962962963</v>
      </c>
      <c r="D1345" s="2">
        <v>16.0</v>
      </c>
      <c r="E1345" s="2"/>
      <c r="H1345" s="2" t="s">
        <v>571</v>
      </c>
    </row>
    <row r="1346" ht="15.75" customHeight="1">
      <c r="A1346" s="2" t="s">
        <v>1990</v>
      </c>
      <c r="B1346" s="2" t="s">
        <v>271</v>
      </c>
      <c r="C1346" s="6">
        <v>46112.95071759259</v>
      </c>
      <c r="D1346" s="2">
        <v>8.0</v>
      </c>
      <c r="E1346" s="2"/>
      <c r="H1346" s="2" t="s">
        <v>571</v>
      </c>
    </row>
    <row r="1347" ht="15.75" customHeight="1">
      <c r="A1347" s="2" t="s">
        <v>1991</v>
      </c>
      <c r="B1347" s="2" t="s">
        <v>327</v>
      </c>
      <c r="C1347" s="6">
        <v>46112.951898148145</v>
      </c>
      <c r="D1347" s="2">
        <v>21.0</v>
      </c>
      <c r="E1347" s="2"/>
      <c r="H1347" s="2" t="s">
        <v>571</v>
      </c>
    </row>
    <row r="1348" ht="15.75" customHeight="1">
      <c r="A1348" s="2" t="s">
        <v>1992</v>
      </c>
      <c r="B1348" s="2" t="s">
        <v>289</v>
      </c>
      <c r="C1348" s="6">
        <v>46112.95261574074</v>
      </c>
      <c r="D1348" s="2">
        <v>2.0</v>
      </c>
      <c r="E1348" s="2"/>
      <c r="H1348" s="2" t="s">
        <v>571</v>
      </c>
    </row>
    <row r="1349" ht="15.75" customHeight="1">
      <c r="A1349" s="5" t="s">
        <v>1993</v>
      </c>
      <c r="B1349" s="2" t="s">
        <v>342</v>
      </c>
      <c r="C1349" s="6">
        <v>46112.953194444446</v>
      </c>
      <c r="D1349" s="2">
        <v>12.0</v>
      </c>
      <c r="E1349" s="2"/>
      <c r="H1349" s="2" t="s">
        <v>571</v>
      </c>
    </row>
    <row r="1350" ht="15.75" customHeight="1">
      <c r="A1350" s="2" t="s">
        <v>1994</v>
      </c>
      <c r="B1350" s="2" t="s">
        <v>396</v>
      </c>
      <c r="C1350" s="6">
        <v>46112.95350694445</v>
      </c>
      <c r="D1350" s="2">
        <v>8.0</v>
      </c>
      <c r="E1350" s="2"/>
      <c r="H1350" s="2" t="s">
        <v>571</v>
      </c>
    </row>
    <row r="1351" ht="15.75" customHeight="1">
      <c r="A1351" s="2" t="s">
        <v>1995</v>
      </c>
      <c r="B1351" s="5" t="s">
        <v>96</v>
      </c>
      <c r="C1351" s="6">
        <v>46112.953726851854</v>
      </c>
      <c r="D1351" s="2">
        <v>2.0</v>
      </c>
      <c r="E1351" s="2"/>
      <c r="H1351" s="2" t="s">
        <v>571</v>
      </c>
    </row>
    <row r="1352" ht="15.75" customHeight="1">
      <c r="A1352" s="2" t="s">
        <v>1996</v>
      </c>
      <c r="B1352" s="5" t="s">
        <v>59</v>
      </c>
      <c r="C1352" s="6">
        <v>46112.95392361111</v>
      </c>
      <c r="D1352" s="2">
        <v>2.0</v>
      </c>
      <c r="E1352" s="2"/>
      <c r="H1352" s="2" t="s">
        <v>571</v>
      </c>
    </row>
    <row r="1353" ht="15.75" customHeight="1">
      <c r="A1353" s="2" t="s">
        <v>1997</v>
      </c>
      <c r="B1353" s="5" t="s">
        <v>134</v>
      </c>
      <c r="C1353" s="6">
        <v>46112.95412037037</v>
      </c>
      <c r="D1353" s="2">
        <v>7.0</v>
      </c>
      <c r="E1353" s="2"/>
      <c r="H1353" s="2" t="s">
        <v>571</v>
      </c>
    </row>
    <row r="1354" ht="15.75" customHeight="1">
      <c r="A1354" s="2" t="s">
        <v>1998</v>
      </c>
      <c r="B1354" s="5" t="s">
        <v>14</v>
      </c>
      <c r="C1354" s="6">
        <v>46112.954722222225</v>
      </c>
      <c r="D1354" s="2">
        <v>3.0</v>
      </c>
      <c r="E1354" s="2"/>
      <c r="H1354" s="2" t="s">
        <v>571</v>
      </c>
    </row>
    <row r="1355" ht="15.75" customHeight="1">
      <c r="A1355" s="2" t="s">
        <v>1999</v>
      </c>
      <c r="B1355" s="5" t="s">
        <v>165</v>
      </c>
      <c r="C1355" s="6">
        <v>46112.9549537037</v>
      </c>
      <c r="D1355" s="2">
        <v>5.0</v>
      </c>
      <c r="E1355" s="2"/>
      <c r="H1355" s="2" t="s">
        <v>571</v>
      </c>
    </row>
    <row r="1356" ht="15.75" customHeight="1">
      <c r="A1356" s="2" t="s">
        <v>2000</v>
      </c>
      <c r="B1356" s="2" t="s">
        <v>384</v>
      </c>
      <c r="C1356" s="6">
        <v>46112.95542824074</v>
      </c>
      <c r="D1356" s="2">
        <v>2.0</v>
      </c>
      <c r="E1356" s="2"/>
      <c r="H1356" s="2" t="s">
        <v>571</v>
      </c>
    </row>
    <row r="1357" ht="15.75" customHeight="1">
      <c r="A1357" s="2" t="s">
        <v>2001</v>
      </c>
      <c r="B1357" s="2" t="s">
        <v>295</v>
      </c>
      <c r="C1357" s="6">
        <v>46112.9555787037</v>
      </c>
      <c r="D1357" s="2">
        <v>3.0</v>
      </c>
      <c r="E1357" s="2"/>
      <c r="H1357" s="2" t="s">
        <v>571</v>
      </c>
    </row>
    <row r="1358" ht="15.75" customHeight="1">
      <c r="A1358" s="2" t="s">
        <v>2002</v>
      </c>
      <c r="B1358" s="2" t="s">
        <v>327</v>
      </c>
      <c r="C1358" s="6">
        <v>46113.46827546296</v>
      </c>
      <c r="D1358" s="2">
        <v>-14.0</v>
      </c>
      <c r="E1358" s="2"/>
      <c r="H1358" s="2" t="s">
        <v>599</v>
      </c>
    </row>
    <row r="1359" ht="15.75" customHeight="1">
      <c r="A1359" s="2" t="s">
        <v>2003</v>
      </c>
      <c r="B1359" s="2" t="s">
        <v>289</v>
      </c>
      <c r="C1359" s="6">
        <v>46113.46833333333</v>
      </c>
      <c r="D1359" s="2">
        <v>-14.0</v>
      </c>
      <c r="E1359" s="2"/>
      <c r="H1359" s="2" t="s">
        <v>599</v>
      </c>
    </row>
    <row r="1360" ht="15.75" customHeight="1">
      <c r="A1360" s="2" t="s">
        <v>2004</v>
      </c>
      <c r="B1360" s="5" t="s">
        <v>217</v>
      </c>
      <c r="C1360" s="6">
        <v>46113.4684375</v>
      </c>
      <c r="D1360" s="2">
        <v>-14.0</v>
      </c>
      <c r="E1360" s="2"/>
      <c r="H1360" s="2" t="s">
        <v>599</v>
      </c>
    </row>
    <row r="1361" ht="15.75" customHeight="1">
      <c r="A1361" s="2" t="s">
        <v>2005</v>
      </c>
      <c r="B1361" s="2" t="s">
        <v>271</v>
      </c>
      <c r="C1361" s="6">
        <v>46113.46849537037</v>
      </c>
      <c r="D1361" s="2">
        <v>-7.0</v>
      </c>
      <c r="E1361" s="2"/>
      <c r="H1361" s="2" t="s">
        <v>599</v>
      </c>
    </row>
    <row r="1362" ht="15.75" customHeight="1">
      <c r="A1362" s="2" t="s">
        <v>2006</v>
      </c>
      <c r="B1362" s="5" t="s">
        <v>120</v>
      </c>
      <c r="C1362" s="6">
        <v>46113.46916666667</v>
      </c>
      <c r="D1362" s="2">
        <v>-3.0</v>
      </c>
      <c r="E1362" s="2"/>
      <c r="H1362" s="2" t="s">
        <v>599</v>
      </c>
    </row>
    <row r="1363" ht="15.75" customHeight="1">
      <c r="A1363" s="2" t="s">
        <v>2007</v>
      </c>
      <c r="B1363" s="5" t="s">
        <v>131</v>
      </c>
      <c r="C1363" s="6">
        <v>46113.469814814816</v>
      </c>
      <c r="D1363" s="2">
        <v>-7.0</v>
      </c>
      <c r="E1363" s="2"/>
      <c r="H1363" s="2" t="s">
        <v>599</v>
      </c>
    </row>
    <row r="1364" ht="15.75" customHeight="1">
      <c r="A1364" s="2" t="s">
        <v>2008</v>
      </c>
      <c r="B1364" s="5" t="s">
        <v>148</v>
      </c>
      <c r="C1364" s="6">
        <v>46113.47032407407</v>
      </c>
      <c r="D1364" s="2">
        <v>-10.0</v>
      </c>
      <c r="E1364" s="2"/>
      <c r="H1364" s="2" t="s">
        <v>599</v>
      </c>
    </row>
    <row r="1365" ht="15.75" customHeight="1">
      <c r="A1365" s="2" t="s">
        <v>2009</v>
      </c>
      <c r="B1365" s="5" t="s">
        <v>180</v>
      </c>
      <c r="C1365" s="6">
        <v>46113.47078703704</v>
      </c>
      <c r="D1365" s="2">
        <v>-3.0</v>
      </c>
      <c r="E1365" s="2"/>
      <c r="H1365" s="2" t="s">
        <v>599</v>
      </c>
    </row>
    <row r="1366" ht="15.75" customHeight="1">
      <c r="A1366" s="2" t="s">
        <v>2010</v>
      </c>
      <c r="B1366" s="2" t="s">
        <v>262</v>
      </c>
      <c r="C1366" s="6">
        <v>46113.47105324074</v>
      </c>
      <c r="D1366" s="2">
        <v>-5.0</v>
      </c>
      <c r="E1366" s="2"/>
      <c r="H1366" s="2" t="s">
        <v>599</v>
      </c>
    </row>
    <row r="1367" ht="15.75" customHeight="1">
      <c r="A1367" s="2" t="s">
        <v>2011</v>
      </c>
      <c r="B1367" s="5" t="s">
        <v>165</v>
      </c>
      <c r="C1367" s="6">
        <v>46113.47142361111</v>
      </c>
      <c r="D1367" s="2">
        <v>-26.0</v>
      </c>
      <c r="E1367" s="2"/>
      <c r="H1367" s="2" t="s">
        <v>599</v>
      </c>
    </row>
    <row r="1368" ht="15.75" customHeight="1">
      <c r="A1368" s="2" t="s">
        <v>2012</v>
      </c>
      <c r="B1368" s="2" t="s">
        <v>378</v>
      </c>
      <c r="C1368" s="6">
        <v>46113.47237268519</v>
      </c>
      <c r="D1368" s="2">
        <v>-12.0</v>
      </c>
      <c r="E1368" s="2"/>
      <c r="H1368" s="2" t="s">
        <v>599</v>
      </c>
    </row>
    <row r="1369" ht="15.75" customHeight="1">
      <c r="A1369" s="2" t="s">
        <v>2013</v>
      </c>
      <c r="B1369" s="5" t="s">
        <v>171</v>
      </c>
      <c r="C1369" s="6">
        <v>46113.47248842593</v>
      </c>
      <c r="D1369" s="2">
        <v>-12.0</v>
      </c>
      <c r="E1369" s="2"/>
      <c r="H1369" s="2" t="s">
        <v>599</v>
      </c>
    </row>
    <row r="1370" ht="15.75" customHeight="1">
      <c r="A1370" s="2" t="s">
        <v>2014</v>
      </c>
      <c r="B1370" s="2" t="s">
        <v>360</v>
      </c>
      <c r="C1370" s="6">
        <v>46113.4734375</v>
      </c>
      <c r="D1370" s="2">
        <v>-24.0</v>
      </c>
      <c r="E1370" s="2"/>
      <c r="H1370" s="2" t="s">
        <v>599</v>
      </c>
    </row>
    <row r="1371" ht="15.75" customHeight="1">
      <c r="A1371" s="2" t="s">
        <v>2015</v>
      </c>
      <c r="B1371" s="5" t="s">
        <v>59</v>
      </c>
      <c r="C1371" s="6">
        <v>46113.473657407405</v>
      </c>
      <c r="D1371" s="2">
        <v>-5.0</v>
      </c>
      <c r="E1371" s="2"/>
      <c r="H1371" s="2" t="s">
        <v>599</v>
      </c>
    </row>
    <row r="1372" ht="15.75" customHeight="1">
      <c r="A1372" s="2" t="s">
        <v>2016</v>
      </c>
      <c r="B1372" s="2" t="s">
        <v>369</v>
      </c>
      <c r="C1372" s="6">
        <v>46113.473958333336</v>
      </c>
      <c r="D1372" s="2">
        <v>-7.0</v>
      </c>
      <c r="E1372" s="2"/>
      <c r="H1372" s="2" t="s">
        <v>599</v>
      </c>
    </row>
    <row r="1373" ht="15.75" customHeight="1">
      <c r="A1373" s="2" t="s">
        <v>2017</v>
      </c>
      <c r="B1373" s="2" t="s">
        <v>354</v>
      </c>
      <c r="C1373" s="6">
        <v>46113.47493055555</v>
      </c>
      <c r="D1373" s="2">
        <v>-9.0</v>
      </c>
      <c r="E1373" s="2"/>
      <c r="H1373" s="2" t="s">
        <v>599</v>
      </c>
    </row>
    <row r="1374" ht="15.75" customHeight="1">
      <c r="A1374" s="2" t="s">
        <v>2018</v>
      </c>
      <c r="B1374" s="5" t="s">
        <v>142</v>
      </c>
      <c r="C1374" s="6">
        <v>46113.47574074074</v>
      </c>
      <c r="D1374" s="2">
        <v>-13.0</v>
      </c>
      <c r="E1374" s="2"/>
      <c r="H1374" s="2" t="s">
        <v>599</v>
      </c>
    </row>
    <row r="1375" ht="15.75" customHeight="1">
      <c r="A1375" s="2" t="s">
        <v>2019</v>
      </c>
      <c r="B1375" s="5" t="s">
        <v>82</v>
      </c>
      <c r="C1375" s="6">
        <v>46113.476481481484</v>
      </c>
      <c r="D1375" s="2">
        <v>-3.0</v>
      </c>
      <c r="E1375" s="2"/>
      <c r="H1375" s="2" t="s">
        <v>599</v>
      </c>
    </row>
    <row r="1376" ht="15.75" customHeight="1">
      <c r="A1376" s="2" t="s">
        <v>2020</v>
      </c>
      <c r="B1376" s="5" t="s">
        <v>82</v>
      </c>
      <c r="C1376" s="6">
        <v>46113.476689814815</v>
      </c>
      <c r="D1376" s="2">
        <v>-1.0</v>
      </c>
      <c r="E1376" s="2"/>
      <c r="H1376" s="2" t="s">
        <v>599</v>
      </c>
    </row>
    <row r="1377" ht="15.75" customHeight="1">
      <c r="A1377" s="2" t="s">
        <v>2021</v>
      </c>
      <c r="B1377" s="2" t="s">
        <v>381</v>
      </c>
      <c r="C1377" s="6">
        <v>46113.477060185185</v>
      </c>
      <c r="D1377" s="2">
        <v>-3.0</v>
      </c>
      <c r="E1377" s="2"/>
      <c r="H1377" s="2" t="s">
        <v>599</v>
      </c>
    </row>
    <row r="1378" ht="15.75" customHeight="1">
      <c r="A1378" s="2" t="s">
        <v>2022</v>
      </c>
      <c r="B1378" s="5" t="s">
        <v>206</v>
      </c>
      <c r="C1378" s="6">
        <v>46113.47777777778</v>
      </c>
      <c r="D1378" s="2">
        <v>-2.0</v>
      </c>
      <c r="E1378" s="2"/>
      <c r="H1378" s="2" t="s">
        <v>599</v>
      </c>
    </row>
    <row r="1379" ht="15.75" customHeight="1">
      <c r="A1379" s="2" t="s">
        <v>2023</v>
      </c>
      <c r="B1379" s="5" t="s">
        <v>192</v>
      </c>
      <c r="C1379" s="6">
        <v>46113.47806712963</v>
      </c>
      <c r="D1379" s="2">
        <v>-7.0</v>
      </c>
      <c r="E1379" s="2"/>
      <c r="H1379" s="2" t="s">
        <v>599</v>
      </c>
    </row>
    <row r="1380" ht="15.75" customHeight="1">
      <c r="A1380" s="2" t="s">
        <v>2024</v>
      </c>
      <c r="B1380" s="5" t="s">
        <v>214</v>
      </c>
      <c r="C1380" s="6">
        <v>46113.478784722225</v>
      </c>
      <c r="D1380" s="2">
        <v>-60.0</v>
      </c>
      <c r="E1380" s="2"/>
      <c r="H1380" s="2" t="s">
        <v>599</v>
      </c>
    </row>
    <row r="1381" ht="15.75" customHeight="1">
      <c r="A1381" s="2" t="s">
        <v>2025</v>
      </c>
      <c r="B1381" s="2" t="s">
        <v>327</v>
      </c>
      <c r="C1381" s="6">
        <v>46113.48391203704</v>
      </c>
      <c r="D1381" s="2">
        <v>-3.0</v>
      </c>
      <c r="E1381" s="2"/>
      <c r="H1381" s="2" t="s">
        <v>599</v>
      </c>
    </row>
    <row r="1382" ht="15.75" customHeight="1">
      <c r="A1382" s="2" t="s">
        <v>2026</v>
      </c>
      <c r="B1382" s="5" t="s">
        <v>217</v>
      </c>
      <c r="C1382" s="6">
        <v>46113.48401620371</v>
      </c>
      <c r="D1382" s="2">
        <v>-11.0</v>
      </c>
      <c r="E1382" s="2"/>
      <c r="H1382" s="2" t="s">
        <v>599</v>
      </c>
    </row>
    <row r="1383" ht="15.75" customHeight="1">
      <c r="A1383" s="2" t="s">
        <v>2027</v>
      </c>
      <c r="B1383" s="2" t="s">
        <v>286</v>
      </c>
      <c r="C1383" s="6">
        <v>46113.48412037037</v>
      </c>
      <c r="D1383" s="2">
        <v>-14.0</v>
      </c>
      <c r="E1383" s="2"/>
      <c r="H1383" s="2" t="s">
        <v>599</v>
      </c>
    </row>
    <row r="1384" ht="15.75" customHeight="1">
      <c r="A1384" s="2" t="s">
        <v>2028</v>
      </c>
      <c r="B1384" s="5" t="s">
        <v>171</v>
      </c>
      <c r="C1384" s="6">
        <v>46113.48446759259</v>
      </c>
      <c r="D1384" s="2">
        <v>-7.0</v>
      </c>
      <c r="E1384" s="2"/>
      <c r="H1384" s="2" t="s">
        <v>599</v>
      </c>
    </row>
    <row r="1385" ht="15.75" customHeight="1">
      <c r="A1385" s="2" t="s">
        <v>2029</v>
      </c>
      <c r="B1385" s="5" t="s">
        <v>165</v>
      </c>
      <c r="C1385" s="6">
        <v>46113.484930555554</v>
      </c>
      <c r="D1385" s="2">
        <v>-10.0</v>
      </c>
      <c r="E1385" s="2"/>
      <c r="H1385" s="2" t="s">
        <v>599</v>
      </c>
    </row>
    <row r="1386" ht="15.75" customHeight="1">
      <c r="A1386" s="2" t="s">
        <v>2030</v>
      </c>
      <c r="B1386" s="2" t="s">
        <v>384</v>
      </c>
      <c r="C1386" s="6">
        <v>46113.485127314816</v>
      </c>
      <c r="D1386" s="2">
        <v>-5.0</v>
      </c>
      <c r="E1386" s="2"/>
      <c r="H1386" s="2" t="s">
        <v>599</v>
      </c>
    </row>
    <row r="1387" ht="15.75" customHeight="1">
      <c r="A1387" s="2" t="s">
        <v>2031</v>
      </c>
      <c r="B1387" s="5" t="s">
        <v>14</v>
      </c>
      <c r="C1387" s="6">
        <v>46113.48546296296</v>
      </c>
      <c r="D1387" s="2">
        <v>-13.0</v>
      </c>
      <c r="E1387" s="2"/>
      <c r="H1387" s="2" t="s">
        <v>599</v>
      </c>
    </row>
    <row r="1388" ht="15.75" customHeight="1">
      <c r="A1388" s="2" t="s">
        <v>2032</v>
      </c>
      <c r="B1388" s="2" t="s">
        <v>378</v>
      </c>
      <c r="C1388" s="6">
        <v>46113.48572916666</v>
      </c>
      <c r="D1388" s="2">
        <v>-5.0</v>
      </c>
      <c r="E1388" s="2"/>
      <c r="H1388" s="2" t="s">
        <v>599</v>
      </c>
    </row>
    <row r="1389" ht="15.75" customHeight="1">
      <c r="A1389" s="2" t="s">
        <v>2033</v>
      </c>
      <c r="B1389" s="5" t="s">
        <v>56</v>
      </c>
      <c r="C1389" s="6">
        <v>46113.48604166666</v>
      </c>
      <c r="D1389" s="2">
        <v>-2.0</v>
      </c>
      <c r="E1389" s="2"/>
      <c r="H1389" s="2" t="s">
        <v>599</v>
      </c>
    </row>
    <row r="1390" ht="15.75" customHeight="1">
      <c r="A1390" s="2" t="s">
        <v>2034</v>
      </c>
      <c r="B1390" s="2" t="s">
        <v>369</v>
      </c>
      <c r="C1390" s="6">
        <v>46113.48731481482</v>
      </c>
      <c r="D1390" s="2">
        <v>-5.0</v>
      </c>
      <c r="E1390" s="2"/>
      <c r="H1390" s="2" t="s">
        <v>599</v>
      </c>
    </row>
    <row r="1391" ht="15.75" customHeight="1">
      <c r="A1391" s="2" t="s">
        <v>2035</v>
      </c>
      <c r="B1391" s="5" t="s">
        <v>134</v>
      </c>
      <c r="C1391" s="6">
        <v>46113.487650462965</v>
      </c>
      <c r="D1391" s="2">
        <v>-3.0</v>
      </c>
      <c r="E1391" s="2"/>
      <c r="H1391" s="2" t="s">
        <v>599</v>
      </c>
    </row>
    <row r="1392" ht="15.75" customHeight="1">
      <c r="A1392" s="2" t="s">
        <v>2036</v>
      </c>
      <c r="B1392" s="5" t="s">
        <v>59</v>
      </c>
      <c r="C1392" s="6">
        <v>46113.48773148148</v>
      </c>
      <c r="D1392" s="2">
        <v>-1.0</v>
      </c>
      <c r="E1392" s="2"/>
      <c r="H1392" s="2" t="s">
        <v>599</v>
      </c>
    </row>
    <row r="1393" ht="15.75" customHeight="1">
      <c r="A1393" s="2" t="s">
        <v>2037</v>
      </c>
      <c r="B1393" s="5" t="s">
        <v>142</v>
      </c>
      <c r="C1393" s="6">
        <v>46113.48818287037</v>
      </c>
      <c r="D1393" s="2">
        <v>-8.0</v>
      </c>
      <c r="E1393" s="2"/>
      <c r="H1393" s="2" t="s">
        <v>599</v>
      </c>
    </row>
    <row r="1394" ht="15.75" customHeight="1">
      <c r="A1394" s="2" t="s">
        <v>2038</v>
      </c>
      <c r="B1394" s="5" t="s">
        <v>192</v>
      </c>
      <c r="C1394" s="6">
        <v>46113.48987268518</v>
      </c>
      <c r="D1394" s="2">
        <v>-8.0</v>
      </c>
      <c r="E1394" s="2"/>
      <c r="H1394" s="2" t="s">
        <v>599</v>
      </c>
    </row>
    <row r="1395" ht="15.75" customHeight="1">
      <c r="A1395" s="2" t="s">
        <v>2039</v>
      </c>
      <c r="B1395" s="5" t="s">
        <v>82</v>
      </c>
      <c r="C1395" s="6">
        <v>46113.49</v>
      </c>
      <c r="D1395" s="2">
        <v>-2.0</v>
      </c>
      <c r="E1395" s="2"/>
      <c r="H1395" s="2" t="s">
        <v>599</v>
      </c>
    </row>
    <row r="1396" ht="15.75" customHeight="1">
      <c r="A1396" s="2" t="s">
        <v>2040</v>
      </c>
      <c r="B1396" s="2" t="s">
        <v>301</v>
      </c>
      <c r="C1396" s="6">
        <v>46113.49008101852</v>
      </c>
      <c r="D1396" s="2">
        <v>-1.0</v>
      </c>
      <c r="E1396" s="2"/>
      <c r="H1396" s="2" t="s">
        <v>599</v>
      </c>
    </row>
    <row r="1397" ht="15.75" customHeight="1">
      <c r="A1397" s="2" t="s">
        <v>2041</v>
      </c>
      <c r="B1397" s="2" t="s">
        <v>381</v>
      </c>
      <c r="C1397" s="6">
        <v>46113.49016203704</v>
      </c>
      <c r="D1397" s="2">
        <v>-1.0</v>
      </c>
      <c r="E1397" s="2"/>
      <c r="H1397" s="2" t="s">
        <v>599</v>
      </c>
    </row>
    <row r="1398" ht="15.75" customHeight="1">
      <c r="A1398" s="2" t="s">
        <v>2042</v>
      </c>
      <c r="B1398" s="5" t="s">
        <v>214</v>
      </c>
      <c r="C1398" s="6">
        <v>46113.490636574075</v>
      </c>
      <c r="D1398" s="2">
        <v>-60.0</v>
      </c>
      <c r="E1398" s="2"/>
      <c r="H1398" s="2" t="s">
        <v>599</v>
      </c>
    </row>
    <row r="1399" ht="15.75" customHeight="1">
      <c r="A1399" s="2" t="s">
        <v>2043</v>
      </c>
      <c r="B1399" s="5" t="s">
        <v>217</v>
      </c>
      <c r="C1399" s="6">
        <v>46113.49146990741</v>
      </c>
      <c r="D1399" s="2">
        <v>-8.0</v>
      </c>
      <c r="E1399" s="2"/>
      <c r="H1399" s="2" t="s">
        <v>599</v>
      </c>
    </row>
    <row r="1400" ht="15.75" customHeight="1">
      <c r="A1400" s="2" t="s">
        <v>2044</v>
      </c>
      <c r="B1400" s="2" t="s">
        <v>271</v>
      </c>
      <c r="C1400" s="6">
        <v>46113.49153935185</v>
      </c>
      <c r="D1400" s="2">
        <v>-2.0</v>
      </c>
      <c r="E1400" s="2"/>
      <c r="H1400" s="2" t="s">
        <v>599</v>
      </c>
    </row>
    <row r="1401" ht="15.75" customHeight="1">
      <c r="A1401" s="2" t="s">
        <v>2045</v>
      </c>
      <c r="B1401" s="2" t="s">
        <v>271</v>
      </c>
      <c r="C1401" s="6">
        <v>46113.49340277778</v>
      </c>
      <c r="D1401" s="2">
        <v>-8.0</v>
      </c>
      <c r="E1401" s="2"/>
      <c r="H1401" s="2" t="s">
        <v>599</v>
      </c>
    </row>
    <row r="1402" ht="15.75" customHeight="1">
      <c r="A1402" s="2" t="s">
        <v>2046</v>
      </c>
      <c r="B1402" s="2" t="s">
        <v>286</v>
      </c>
      <c r="C1402" s="6">
        <v>46113.49346064815</v>
      </c>
      <c r="D1402" s="2">
        <v>-3.0</v>
      </c>
      <c r="E1402" s="2"/>
      <c r="H1402" s="2" t="s">
        <v>599</v>
      </c>
    </row>
    <row r="1403" ht="15.75" customHeight="1">
      <c r="A1403" s="2" t="s">
        <v>2047</v>
      </c>
      <c r="B1403" s="2" t="s">
        <v>289</v>
      </c>
      <c r="C1403" s="6">
        <v>46113.49353009259</v>
      </c>
      <c r="D1403" s="2">
        <v>-13.0</v>
      </c>
      <c r="E1403" s="2"/>
      <c r="H1403" s="2" t="s">
        <v>599</v>
      </c>
    </row>
    <row r="1404" ht="15.75" customHeight="1">
      <c r="A1404" s="2" t="s">
        <v>2048</v>
      </c>
      <c r="B1404" s="5" t="s">
        <v>171</v>
      </c>
      <c r="C1404" s="6">
        <v>46113.493993055556</v>
      </c>
      <c r="D1404" s="2">
        <v>-24.0</v>
      </c>
      <c r="E1404" s="2"/>
      <c r="H1404" s="2" t="s">
        <v>599</v>
      </c>
    </row>
    <row r="1405" ht="15.75" customHeight="1">
      <c r="A1405" s="2" t="s">
        <v>2049</v>
      </c>
      <c r="B1405" s="2" t="s">
        <v>372</v>
      </c>
      <c r="C1405" s="6">
        <v>46113.49424768519</v>
      </c>
      <c r="D1405" s="2">
        <v>-24.0</v>
      </c>
      <c r="E1405" s="2"/>
      <c r="H1405" s="2" t="s">
        <v>599</v>
      </c>
    </row>
    <row r="1406" ht="15.75" customHeight="1">
      <c r="A1406" s="2" t="s">
        <v>2050</v>
      </c>
      <c r="B1406" s="2" t="s">
        <v>384</v>
      </c>
      <c r="C1406" s="6">
        <v>46113.494780092595</v>
      </c>
      <c r="D1406" s="2">
        <v>-16.0</v>
      </c>
      <c r="E1406" s="2"/>
      <c r="H1406" s="2" t="s">
        <v>599</v>
      </c>
    </row>
    <row r="1407" ht="15.75" customHeight="1">
      <c r="A1407" s="2" t="s">
        <v>2051</v>
      </c>
      <c r="B1407" s="2" t="s">
        <v>295</v>
      </c>
      <c r="C1407" s="6">
        <v>46113.49521990741</v>
      </c>
      <c r="D1407" s="2">
        <v>-24.0</v>
      </c>
      <c r="E1407" s="2"/>
      <c r="H1407" s="2" t="s">
        <v>599</v>
      </c>
    </row>
    <row r="1408" ht="15.75" customHeight="1">
      <c r="A1408" s="2" t="s">
        <v>2052</v>
      </c>
      <c r="B1408" s="2" t="s">
        <v>369</v>
      </c>
      <c r="C1408" s="6">
        <v>46113.495462962965</v>
      </c>
      <c r="D1408" s="2">
        <v>-7.0</v>
      </c>
      <c r="E1408" s="2"/>
      <c r="H1408" s="2" t="s">
        <v>599</v>
      </c>
    </row>
    <row r="1409" ht="15.75" customHeight="1">
      <c r="A1409" s="2" t="s">
        <v>2053</v>
      </c>
      <c r="B1409" s="5" t="s">
        <v>96</v>
      </c>
      <c r="C1409" s="6">
        <v>46113.49582175926</v>
      </c>
      <c r="D1409" s="2">
        <v>-5.0</v>
      </c>
      <c r="E1409" s="2"/>
      <c r="H1409" s="2" t="s">
        <v>599</v>
      </c>
    </row>
    <row r="1410" ht="15.75" customHeight="1">
      <c r="A1410" s="2" t="s">
        <v>2054</v>
      </c>
      <c r="B1410" s="5" t="s">
        <v>134</v>
      </c>
      <c r="C1410" s="6">
        <v>46113.49626157407</v>
      </c>
      <c r="D1410" s="2">
        <v>-8.0</v>
      </c>
      <c r="E1410" s="2"/>
      <c r="H1410" s="2" t="s">
        <v>599</v>
      </c>
    </row>
    <row r="1411" ht="15.75" customHeight="1">
      <c r="A1411" s="2" t="s">
        <v>2055</v>
      </c>
      <c r="B1411" s="5" t="s">
        <v>214</v>
      </c>
      <c r="C1411" s="6">
        <v>46113.49689814815</v>
      </c>
      <c r="D1411" s="2">
        <v>-48.0</v>
      </c>
      <c r="E1411" s="2"/>
      <c r="H1411" s="2" t="s">
        <v>599</v>
      </c>
    </row>
    <row r="1412" ht="15.75" customHeight="1">
      <c r="A1412" s="2" t="s">
        <v>2056</v>
      </c>
      <c r="B1412" s="5" t="s">
        <v>192</v>
      </c>
      <c r="C1412" s="6">
        <v>46113.49748842593</v>
      </c>
      <c r="D1412" s="2">
        <v>-10.0</v>
      </c>
      <c r="E1412" s="2"/>
      <c r="H1412" s="2" t="s">
        <v>599</v>
      </c>
    </row>
    <row r="1413" ht="15.75" customHeight="1">
      <c r="A1413" s="2" t="s">
        <v>2057</v>
      </c>
      <c r="B1413" s="2" t="s">
        <v>301</v>
      </c>
      <c r="C1413" s="6">
        <v>46113.49836805555</v>
      </c>
      <c r="D1413" s="2">
        <v>-1.0</v>
      </c>
      <c r="E1413" s="2"/>
      <c r="H1413" s="2" t="s">
        <v>599</v>
      </c>
    </row>
    <row r="1414" ht="15.75" customHeight="1">
      <c r="A1414" s="2" t="s">
        <v>2058</v>
      </c>
      <c r="B1414" s="5" t="s">
        <v>82</v>
      </c>
      <c r="C1414" s="6">
        <v>46113.4984375</v>
      </c>
      <c r="D1414" s="2">
        <v>-1.0</v>
      </c>
      <c r="E1414" s="2"/>
      <c r="H1414" s="2" t="s">
        <v>599</v>
      </c>
    </row>
    <row r="1415" ht="15.75" customHeight="1">
      <c r="A1415" s="2" t="s">
        <v>2059</v>
      </c>
      <c r="B1415" s="5" t="s">
        <v>142</v>
      </c>
      <c r="C1415" s="6">
        <v>46113.49851851852</v>
      </c>
      <c r="D1415" s="2">
        <v>-2.0</v>
      </c>
      <c r="E1415" s="2"/>
      <c r="H1415" s="2" t="s">
        <v>599</v>
      </c>
    </row>
    <row r="1416" ht="15.75" customHeight="1">
      <c r="A1416" s="2" t="s">
        <v>2060</v>
      </c>
      <c r="B1416" s="2" t="s">
        <v>286</v>
      </c>
      <c r="C1416" s="6">
        <v>46114.46994212963</v>
      </c>
      <c r="D1416" s="2">
        <v>-7.0</v>
      </c>
      <c r="E1416" s="2"/>
      <c r="H1416" s="2" t="s">
        <v>571</v>
      </c>
    </row>
    <row r="1417" ht="15.75" customHeight="1">
      <c r="A1417" s="2" t="s">
        <v>2061</v>
      </c>
      <c r="B1417" s="2" t="s">
        <v>327</v>
      </c>
      <c r="C1417" s="6">
        <v>46114.47015046296</v>
      </c>
      <c r="D1417" s="2">
        <v>-28.0</v>
      </c>
      <c r="E1417" s="2"/>
      <c r="H1417" s="2" t="s">
        <v>571</v>
      </c>
    </row>
    <row r="1418" ht="15.75" customHeight="1">
      <c r="A1418" s="2" t="s">
        <v>2062</v>
      </c>
      <c r="B1418" s="5" t="s">
        <v>217</v>
      </c>
      <c r="C1418" s="6">
        <v>46114.470555555556</v>
      </c>
      <c r="D1418" s="2">
        <v>-9.0</v>
      </c>
      <c r="E1418" s="2"/>
      <c r="H1418" s="2" t="s">
        <v>571</v>
      </c>
    </row>
    <row r="1419" ht="15.75" customHeight="1">
      <c r="A1419" s="2" t="s">
        <v>2063</v>
      </c>
      <c r="B1419" s="2" t="s">
        <v>289</v>
      </c>
      <c r="C1419" s="6">
        <v>46114.47081018519</v>
      </c>
      <c r="D1419" s="2">
        <v>-18.0</v>
      </c>
      <c r="E1419" s="2"/>
      <c r="H1419" s="2" t="s">
        <v>571</v>
      </c>
    </row>
    <row r="1420" ht="15.75" customHeight="1">
      <c r="A1420" s="2" t="s">
        <v>2064</v>
      </c>
      <c r="B1420" s="2" t="s">
        <v>271</v>
      </c>
      <c r="C1420" s="6">
        <v>46114.47100694444</v>
      </c>
      <c r="D1420" s="2">
        <v>-5.0</v>
      </c>
      <c r="E1420" s="2"/>
      <c r="H1420" s="2" t="s">
        <v>571</v>
      </c>
    </row>
    <row r="1421" ht="15.75" customHeight="1">
      <c r="A1421" s="2" t="s">
        <v>2065</v>
      </c>
      <c r="B1421" s="2" t="s">
        <v>342</v>
      </c>
      <c r="C1421" s="6">
        <v>46114.47121527778</v>
      </c>
      <c r="D1421" s="2">
        <v>-3.0</v>
      </c>
      <c r="E1421" s="2"/>
      <c r="H1421" s="2" t="s">
        <v>571</v>
      </c>
    </row>
    <row r="1422" ht="15.75" customHeight="1">
      <c r="A1422" s="2" t="s">
        <v>2066</v>
      </c>
      <c r="B1422" s="5" t="s">
        <v>59</v>
      </c>
      <c r="C1422" s="6">
        <v>46114.471354166664</v>
      </c>
      <c r="D1422" s="2">
        <v>-3.0</v>
      </c>
      <c r="E1422" s="2"/>
      <c r="H1422" s="2" t="s">
        <v>571</v>
      </c>
    </row>
    <row r="1423" ht="15.75" customHeight="1">
      <c r="A1423" s="2" t="s">
        <v>2067</v>
      </c>
      <c r="B1423" s="2" t="s">
        <v>298</v>
      </c>
      <c r="C1423" s="6">
        <v>46114.47353009259</v>
      </c>
      <c r="D1423" s="2">
        <v>-1.0</v>
      </c>
      <c r="E1423" s="2"/>
      <c r="H1423" s="2" t="s">
        <v>571</v>
      </c>
    </row>
    <row r="1424" ht="15.75" customHeight="1">
      <c r="A1424" s="5" t="s">
        <v>2068</v>
      </c>
      <c r="B1424" s="2" t="s">
        <v>327</v>
      </c>
      <c r="C1424" s="6">
        <v>46114.52422453704</v>
      </c>
      <c r="D1424" s="2">
        <v>2.0</v>
      </c>
      <c r="E1424" s="2"/>
      <c r="H1424" s="2" t="s">
        <v>571</v>
      </c>
    </row>
    <row r="1425" ht="15.75" customHeight="1">
      <c r="A1425" s="2" t="s">
        <v>2069</v>
      </c>
      <c r="B1425" s="5" t="s">
        <v>217</v>
      </c>
      <c r="C1425" s="6">
        <v>46114.52434027778</v>
      </c>
      <c r="D1425" s="2">
        <v>1.0</v>
      </c>
      <c r="E1425" s="2"/>
      <c r="H1425" s="2" t="s">
        <v>571</v>
      </c>
    </row>
    <row r="1426" ht="15.75" customHeight="1">
      <c r="A1426" s="2" t="s">
        <v>2070</v>
      </c>
      <c r="B1426" s="5" t="s">
        <v>192</v>
      </c>
      <c r="C1426" s="6">
        <v>46114.60025462963</v>
      </c>
      <c r="D1426" s="2">
        <v>72.0</v>
      </c>
      <c r="E1426" s="2" t="s">
        <v>2071</v>
      </c>
      <c r="H1426" s="2" t="s">
        <v>571</v>
      </c>
    </row>
    <row r="1427" ht="15.75" customHeight="1">
      <c r="A1427" s="2" t="s">
        <v>2072</v>
      </c>
      <c r="B1427" s="5" t="s">
        <v>165</v>
      </c>
      <c r="C1427" s="6">
        <v>46114.60037037037</v>
      </c>
      <c r="D1427" s="2">
        <v>120.0</v>
      </c>
      <c r="E1427" s="2" t="s">
        <v>2071</v>
      </c>
      <c r="H1427" s="2" t="s">
        <v>571</v>
      </c>
    </row>
    <row r="1428" ht="15.75" customHeight="1">
      <c r="A1428" s="2" t="s">
        <v>2073</v>
      </c>
      <c r="B1428" s="2" t="s">
        <v>289</v>
      </c>
      <c r="C1428" s="6">
        <v>46114.60053240741</v>
      </c>
      <c r="D1428" s="2">
        <v>36.0</v>
      </c>
      <c r="E1428" s="2" t="s">
        <v>2071</v>
      </c>
      <c r="H1428" s="2" t="s">
        <v>571</v>
      </c>
    </row>
    <row r="1429" ht="15.75" customHeight="1">
      <c r="A1429" s="2" t="s">
        <v>2074</v>
      </c>
      <c r="B1429" s="5" t="s">
        <v>142</v>
      </c>
      <c r="C1429" s="6">
        <v>46114.60065972222</v>
      </c>
      <c r="D1429" s="2">
        <v>96.0</v>
      </c>
      <c r="E1429" s="2" t="s">
        <v>2071</v>
      </c>
      <c r="H1429" s="2" t="s">
        <v>571</v>
      </c>
    </row>
    <row r="1430" ht="15.75" customHeight="1">
      <c r="A1430" s="2" t="s">
        <v>2075</v>
      </c>
      <c r="B1430" s="5" t="s">
        <v>82</v>
      </c>
      <c r="C1430" s="6">
        <v>46114.60083333333</v>
      </c>
      <c r="D1430" s="2">
        <v>24.0</v>
      </c>
      <c r="E1430" s="2" t="s">
        <v>2071</v>
      </c>
      <c r="H1430" s="2" t="s">
        <v>571</v>
      </c>
    </row>
    <row r="1431" ht="15.75" customHeight="1">
      <c r="A1431" s="2" t="s">
        <v>2076</v>
      </c>
      <c r="B1431" s="2" t="s">
        <v>313</v>
      </c>
      <c r="C1431" s="6">
        <v>46114.600949074076</v>
      </c>
      <c r="D1431" s="2">
        <v>48.0</v>
      </c>
      <c r="E1431" s="2" t="s">
        <v>2071</v>
      </c>
      <c r="H1431" s="2" t="s">
        <v>571</v>
      </c>
    </row>
    <row r="1432" ht="15.75" customHeight="1">
      <c r="A1432" s="2" t="s">
        <v>2077</v>
      </c>
      <c r="B1432" s="5" t="s">
        <v>217</v>
      </c>
      <c r="C1432" s="6">
        <v>46114.60104166667</v>
      </c>
      <c r="D1432" s="2">
        <v>150.0</v>
      </c>
      <c r="E1432" s="2" t="s">
        <v>2071</v>
      </c>
      <c r="H1432" s="2" t="s">
        <v>571</v>
      </c>
    </row>
    <row r="1433" ht="15.75" customHeight="1">
      <c r="A1433" s="2" t="s">
        <v>2078</v>
      </c>
      <c r="B1433" s="5" t="s">
        <v>171</v>
      </c>
      <c r="C1433" s="6">
        <v>46114.601168981484</v>
      </c>
      <c r="D1433" s="2">
        <v>48.0</v>
      </c>
      <c r="E1433" s="2" t="s">
        <v>2071</v>
      </c>
      <c r="H1433" s="2" t="s">
        <v>571</v>
      </c>
    </row>
    <row r="1434" ht="15.75" customHeight="1">
      <c r="A1434" s="2" t="s">
        <v>2079</v>
      </c>
      <c r="B1434" s="2" t="s">
        <v>402</v>
      </c>
      <c r="C1434" s="6">
        <v>46114.6012962963</v>
      </c>
      <c r="D1434" s="2">
        <v>20.0</v>
      </c>
      <c r="E1434" s="2" t="s">
        <v>2071</v>
      </c>
      <c r="H1434" s="2" t="s">
        <v>571</v>
      </c>
    </row>
    <row r="1435" ht="15.75" customHeight="1">
      <c r="A1435" s="2" t="s">
        <v>2080</v>
      </c>
      <c r="B1435" s="2" t="s">
        <v>399</v>
      </c>
      <c r="C1435" s="6">
        <v>46114.601377314815</v>
      </c>
      <c r="D1435" s="2">
        <v>12.0</v>
      </c>
      <c r="E1435" s="2" t="s">
        <v>2071</v>
      </c>
      <c r="H1435" s="2" t="s">
        <v>571</v>
      </c>
    </row>
    <row r="1436" ht="15.75" customHeight="1">
      <c r="A1436" s="2" t="s">
        <v>2081</v>
      </c>
      <c r="B1436" s="2" t="s">
        <v>369</v>
      </c>
      <c r="C1436" s="6">
        <v>46114.60152777778</v>
      </c>
      <c r="D1436" s="2">
        <v>60.0</v>
      </c>
      <c r="E1436" s="2" t="s">
        <v>2082</v>
      </c>
      <c r="H1436" s="2" t="s">
        <v>571</v>
      </c>
    </row>
    <row r="1437" ht="15.75" customHeight="1">
      <c r="A1437" s="2" t="s">
        <v>2083</v>
      </c>
      <c r="B1437" s="5" t="s">
        <v>96</v>
      </c>
      <c r="C1437" s="6">
        <v>46114.6016087963</v>
      </c>
      <c r="D1437" s="2">
        <v>48.0</v>
      </c>
      <c r="E1437" s="2" t="s">
        <v>2082</v>
      </c>
      <c r="H1437" s="2" t="s">
        <v>571</v>
      </c>
    </row>
    <row r="1438" ht="15.75" customHeight="1">
      <c r="A1438" s="2" t="s">
        <v>2084</v>
      </c>
      <c r="B1438" s="2" t="s">
        <v>375</v>
      </c>
      <c r="C1438" s="6">
        <v>46114.601689814815</v>
      </c>
      <c r="D1438" s="2">
        <v>72.0</v>
      </c>
      <c r="E1438" s="2" t="s">
        <v>2082</v>
      </c>
      <c r="H1438" s="2" t="s">
        <v>571</v>
      </c>
    </row>
    <row r="1439" ht="15.75" customHeight="1">
      <c r="A1439" s="2" t="s">
        <v>2085</v>
      </c>
      <c r="B1439" s="2" t="s">
        <v>372</v>
      </c>
      <c r="C1439" s="6">
        <v>46114.60177083333</v>
      </c>
      <c r="D1439" s="2">
        <v>72.0</v>
      </c>
      <c r="E1439" s="2" t="s">
        <v>2082</v>
      </c>
      <c r="H1439" s="2" t="s">
        <v>571</v>
      </c>
    </row>
    <row r="1440" ht="15.75" customHeight="1">
      <c r="A1440" s="2" t="s">
        <v>2086</v>
      </c>
      <c r="B1440" s="2" t="s">
        <v>384</v>
      </c>
      <c r="C1440" s="6">
        <v>46114.601875</v>
      </c>
      <c r="D1440" s="2">
        <v>96.0</v>
      </c>
      <c r="E1440" s="2" t="s">
        <v>2082</v>
      </c>
      <c r="H1440" s="2" t="s">
        <v>571</v>
      </c>
    </row>
    <row r="1441" ht="15.75" customHeight="1">
      <c r="A1441" s="2" t="s">
        <v>2087</v>
      </c>
      <c r="B1441" s="5" t="s">
        <v>14</v>
      </c>
      <c r="C1441" s="6">
        <v>46114.60265046296</v>
      </c>
      <c r="D1441" s="2">
        <v>20.0</v>
      </c>
      <c r="E1441" s="2" t="s">
        <v>2088</v>
      </c>
      <c r="H1441" s="2" t="s">
        <v>571</v>
      </c>
    </row>
    <row r="1442" ht="15.75" customHeight="1">
      <c r="A1442" s="2" t="s">
        <v>2089</v>
      </c>
      <c r="B1442" s="2" t="s">
        <v>363</v>
      </c>
      <c r="C1442" s="6">
        <v>46114.60273148148</v>
      </c>
      <c r="D1442" s="2">
        <v>12.0</v>
      </c>
      <c r="E1442" s="2" t="s">
        <v>2088</v>
      </c>
      <c r="H1442" s="2" t="s">
        <v>571</v>
      </c>
    </row>
    <row r="1443" ht="15.75" customHeight="1">
      <c r="A1443" s="2" t="s">
        <v>2090</v>
      </c>
      <c r="B1443" s="5" t="s">
        <v>186</v>
      </c>
      <c r="C1443" s="6">
        <v>46114.6028125</v>
      </c>
      <c r="D1443" s="2">
        <v>10.0</v>
      </c>
      <c r="E1443" s="2" t="s">
        <v>2088</v>
      </c>
      <c r="H1443" s="2" t="s">
        <v>571</v>
      </c>
    </row>
    <row r="1444" ht="15.75" customHeight="1">
      <c r="A1444" s="5" t="s">
        <v>2091</v>
      </c>
      <c r="B1444" s="5" t="s">
        <v>174</v>
      </c>
      <c r="C1444" s="6">
        <v>46114.60291666666</v>
      </c>
      <c r="D1444" s="2">
        <v>7.0</v>
      </c>
      <c r="E1444" s="2" t="s">
        <v>2088</v>
      </c>
      <c r="H1444" s="2" t="s">
        <v>571</v>
      </c>
    </row>
    <row r="1445" ht="15.75" customHeight="1">
      <c r="A1445" s="2" t="s">
        <v>2092</v>
      </c>
      <c r="B1445" s="2" t="s">
        <v>289</v>
      </c>
      <c r="C1445" s="6">
        <v>46114.60302083333</v>
      </c>
      <c r="D1445" s="2">
        <v>180.0</v>
      </c>
      <c r="E1445" s="2" t="s">
        <v>2088</v>
      </c>
      <c r="H1445" s="2" t="s">
        <v>571</v>
      </c>
    </row>
    <row r="1446" ht="15.75" customHeight="1">
      <c r="A1446" s="2" t="s">
        <v>2093</v>
      </c>
      <c r="B1446" s="2" t="s">
        <v>342</v>
      </c>
      <c r="C1446" s="6">
        <v>46114.60309027778</v>
      </c>
      <c r="D1446" s="2">
        <v>10.0</v>
      </c>
      <c r="E1446" s="2" t="s">
        <v>2088</v>
      </c>
      <c r="H1446" s="2" t="s">
        <v>571</v>
      </c>
    </row>
    <row r="1447" ht="15.75" customHeight="1">
      <c r="A1447" s="5" t="s">
        <v>2094</v>
      </c>
      <c r="B1447" s="5" t="s">
        <v>214</v>
      </c>
      <c r="C1447" s="6">
        <v>46114.60324074074</v>
      </c>
      <c r="D1447" s="2">
        <v>720.0</v>
      </c>
      <c r="E1447" s="2" t="s">
        <v>2095</v>
      </c>
      <c r="H1447" s="2" t="s">
        <v>571</v>
      </c>
    </row>
    <row r="1448" ht="15.75" customHeight="1">
      <c r="A1448" s="2" t="s">
        <v>2096</v>
      </c>
      <c r="B1448" s="2" t="s">
        <v>289</v>
      </c>
      <c r="C1448" s="6">
        <v>46115.598761574074</v>
      </c>
      <c r="D1448" s="2">
        <v>-8.0</v>
      </c>
      <c r="E1448" s="2"/>
      <c r="H1448" s="2" t="s">
        <v>599</v>
      </c>
    </row>
    <row r="1449" ht="15.75" customHeight="1">
      <c r="A1449" s="2" t="s">
        <v>2097</v>
      </c>
      <c r="B1449" s="2" t="s">
        <v>327</v>
      </c>
      <c r="C1449" s="6">
        <v>46115.598807870374</v>
      </c>
      <c r="D1449" s="2">
        <v>-4.0</v>
      </c>
      <c r="E1449" s="2"/>
      <c r="H1449" s="2" t="s">
        <v>599</v>
      </c>
    </row>
    <row r="1450" ht="15.75" customHeight="1">
      <c r="A1450" s="2" t="s">
        <v>2098</v>
      </c>
      <c r="B1450" s="5" t="s">
        <v>217</v>
      </c>
      <c r="C1450" s="6">
        <v>46115.59892361111</v>
      </c>
      <c r="D1450" s="2">
        <v>-26.0</v>
      </c>
      <c r="E1450" s="2"/>
      <c r="H1450" s="2" t="s">
        <v>599</v>
      </c>
    </row>
    <row r="1451" ht="15.75" customHeight="1">
      <c r="A1451" s="2" t="s">
        <v>2099</v>
      </c>
      <c r="B1451" s="2" t="s">
        <v>271</v>
      </c>
      <c r="C1451" s="6">
        <v>46115.59912037037</v>
      </c>
      <c r="D1451" s="2">
        <v>-8.0</v>
      </c>
      <c r="E1451" s="2"/>
      <c r="H1451" s="2" t="s">
        <v>599</v>
      </c>
    </row>
    <row r="1452" ht="15.75" customHeight="1">
      <c r="A1452" s="2" t="s">
        <v>2100</v>
      </c>
      <c r="B1452" s="2" t="s">
        <v>286</v>
      </c>
      <c r="C1452" s="6">
        <v>46115.59920138889</v>
      </c>
      <c r="D1452" s="2">
        <v>-7.0</v>
      </c>
      <c r="E1452" s="2"/>
      <c r="H1452" s="2" t="s">
        <v>599</v>
      </c>
    </row>
    <row r="1453" ht="15.75" customHeight="1">
      <c r="A1453" s="2" t="s">
        <v>2101</v>
      </c>
      <c r="B1453" s="5" t="s">
        <v>165</v>
      </c>
      <c r="C1453" s="6">
        <v>46115.59936342593</v>
      </c>
      <c r="D1453" s="2">
        <v>-4.0</v>
      </c>
      <c r="E1453" s="2"/>
      <c r="H1453" s="2" t="s">
        <v>599</v>
      </c>
    </row>
    <row r="1454" ht="15.75" customHeight="1">
      <c r="A1454" s="2" t="s">
        <v>2102</v>
      </c>
      <c r="B1454" s="5" t="s">
        <v>14</v>
      </c>
      <c r="C1454" s="6">
        <v>46115.599444444444</v>
      </c>
      <c r="D1454" s="2">
        <v>-5.0</v>
      </c>
      <c r="E1454" s="2"/>
      <c r="H1454" s="2" t="s">
        <v>599</v>
      </c>
    </row>
    <row r="1455" ht="15.75" customHeight="1">
      <c r="A1455" s="2" t="s">
        <v>2103</v>
      </c>
      <c r="B1455" s="5" t="s">
        <v>56</v>
      </c>
      <c r="C1455" s="6">
        <v>46115.599652777775</v>
      </c>
      <c r="D1455" s="2">
        <v>-2.0</v>
      </c>
      <c r="E1455" s="2"/>
      <c r="H1455" s="2" t="s">
        <v>599</v>
      </c>
    </row>
    <row r="1456" ht="15.75" customHeight="1">
      <c r="A1456" s="5" t="s">
        <v>2104</v>
      </c>
      <c r="B1456" s="2" t="s">
        <v>369</v>
      </c>
      <c r="C1456" s="6">
        <v>46115.6</v>
      </c>
      <c r="D1456" s="2">
        <v>-4.0</v>
      </c>
      <c r="E1456" s="2"/>
      <c r="H1456" s="2" t="s">
        <v>599</v>
      </c>
    </row>
    <row r="1457" ht="15.75" customHeight="1">
      <c r="A1457" s="2" t="s">
        <v>2105</v>
      </c>
      <c r="B1457" s="2" t="s">
        <v>342</v>
      </c>
      <c r="C1457" s="6">
        <v>46115.60010416667</v>
      </c>
      <c r="D1457" s="2">
        <v>-6.0</v>
      </c>
      <c r="E1457" s="2"/>
      <c r="H1457" s="2" t="s">
        <v>599</v>
      </c>
    </row>
    <row r="1458" ht="15.75" customHeight="1">
      <c r="A1458" s="2" t="s">
        <v>2106</v>
      </c>
      <c r="B1458" s="5" t="s">
        <v>96</v>
      </c>
      <c r="C1458" s="6">
        <v>46115.600324074076</v>
      </c>
      <c r="D1458" s="2">
        <v>-14.0</v>
      </c>
      <c r="E1458" s="2"/>
      <c r="H1458" s="2" t="s">
        <v>599</v>
      </c>
    </row>
    <row r="1459" ht="15.75" customHeight="1">
      <c r="A1459" s="2" t="s">
        <v>2107</v>
      </c>
      <c r="B1459" s="5" t="s">
        <v>59</v>
      </c>
      <c r="C1459" s="6">
        <v>46115.60076388889</v>
      </c>
      <c r="D1459" s="2">
        <v>-2.0</v>
      </c>
      <c r="E1459" s="2"/>
      <c r="H1459" s="2" t="s">
        <v>599</v>
      </c>
    </row>
    <row r="1460" ht="15.75" customHeight="1">
      <c r="A1460" s="2" t="s">
        <v>2108</v>
      </c>
      <c r="B1460" s="5" t="s">
        <v>134</v>
      </c>
      <c r="C1460" s="6">
        <v>46115.60083333333</v>
      </c>
      <c r="D1460" s="2">
        <v>-2.0</v>
      </c>
      <c r="E1460" s="2"/>
      <c r="H1460" s="2" t="s">
        <v>599</v>
      </c>
    </row>
    <row r="1461" ht="15.75" customHeight="1">
      <c r="A1461" s="2" t="s">
        <v>2109</v>
      </c>
      <c r="B1461" s="5" t="s">
        <v>142</v>
      </c>
      <c r="C1461" s="6">
        <v>46115.60119212963</v>
      </c>
      <c r="D1461" s="2">
        <v>-14.0</v>
      </c>
      <c r="E1461" s="2"/>
      <c r="H1461" s="2" t="s">
        <v>599</v>
      </c>
    </row>
    <row r="1462" ht="15.75" customHeight="1">
      <c r="A1462" s="2" t="s">
        <v>2110</v>
      </c>
      <c r="B1462" s="2" t="s">
        <v>301</v>
      </c>
      <c r="C1462" s="6">
        <v>46115.60162037037</v>
      </c>
      <c r="D1462" s="2">
        <v>-3.0</v>
      </c>
      <c r="E1462" s="2"/>
      <c r="H1462" s="2" t="s">
        <v>599</v>
      </c>
    </row>
    <row r="1463" ht="15.75" customHeight="1">
      <c r="A1463" s="2" t="s">
        <v>2111</v>
      </c>
      <c r="B1463" s="2" t="s">
        <v>381</v>
      </c>
      <c r="C1463" s="6">
        <v>46115.601793981485</v>
      </c>
      <c r="D1463" s="2">
        <v>-2.0</v>
      </c>
      <c r="E1463" s="2"/>
      <c r="H1463" s="2" t="s">
        <v>599</v>
      </c>
    </row>
    <row r="1464" ht="15.75" customHeight="1">
      <c r="A1464" s="2" t="s">
        <v>2112</v>
      </c>
      <c r="B1464" s="5" t="s">
        <v>82</v>
      </c>
      <c r="C1464" s="6">
        <v>46115.602060185185</v>
      </c>
      <c r="D1464" s="2">
        <v>-7.0</v>
      </c>
      <c r="E1464" s="2"/>
      <c r="H1464" s="2" t="s">
        <v>599</v>
      </c>
    </row>
    <row r="1465" ht="15.75" customHeight="1">
      <c r="A1465" s="2" t="s">
        <v>2113</v>
      </c>
      <c r="B1465" s="2" t="s">
        <v>313</v>
      </c>
      <c r="C1465" s="6">
        <v>46115.60277777778</v>
      </c>
      <c r="D1465" s="2">
        <v>-4.0</v>
      </c>
      <c r="E1465" s="2"/>
      <c r="H1465" s="2" t="s">
        <v>599</v>
      </c>
    </row>
    <row r="1466" ht="15.75" customHeight="1">
      <c r="A1466" s="2" t="s">
        <v>2114</v>
      </c>
      <c r="B1466" s="5" t="s">
        <v>192</v>
      </c>
      <c r="C1466" s="6">
        <v>46115.603125</v>
      </c>
      <c r="D1466" s="2">
        <v>-12.0</v>
      </c>
      <c r="E1466" s="2"/>
      <c r="H1466" s="2" t="s">
        <v>599</v>
      </c>
    </row>
    <row r="1467" ht="15.75" customHeight="1">
      <c r="A1467" s="2" t="s">
        <v>2115</v>
      </c>
      <c r="B1467" s="5" t="s">
        <v>214</v>
      </c>
      <c r="C1467" s="6">
        <v>46115.60324074074</v>
      </c>
      <c r="D1467" s="2">
        <v>-60.0</v>
      </c>
      <c r="E1467" s="2"/>
      <c r="H1467" s="2" t="s">
        <v>599</v>
      </c>
    </row>
    <row r="1468" ht="15.75" customHeight="1">
      <c r="A1468" s="2" t="s">
        <v>2116</v>
      </c>
      <c r="B1468" s="5" t="s">
        <v>192</v>
      </c>
      <c r="C1468" s="6">
        <v>46115.60359953704</v>
      </c>
      <c r="D1468" s="2">
        <v>-12.0</v>
      </c>
      <c r="E1468" s="2"/>
      <c r="H1468" s="2" t="s">
        <v>599</v>
      </c>
    </row>
    <row r="1469" ht="15.75" customHeight="1">
      <c r="A1469" s="2" t="s">
        <v>2117</v>
      </c>
      <c r="B1469" s="5" t="s">
        <v>214</v>
      </c>
      <c r="C1469" s="6">
        <v>46115.60508101852</v>
      </c>
      <c r="D1469" s="2">
        <v>-60.0</v>
      </c>
      <c r="E1469" s="2"/>
      <c r="H1469" s="2" t="s">
        <v>599</v>
      </c>
    </row>
    <row r="1470" ht="15.75" customHeight="1">
      <c r="A1470" s="2" t="s">
        <v>2118</v>
      </c>
      <c r="B1470" s="5" t="s">
        <v>174</v>
      </c>
      <c r="C1470" s="6">
        <v>46115.605162037034</v>
      </c>
      <c r="D1470" s="2">
        <v>-7.0</v>
      </c>
      <c r="E1470" s="2"/>
      <c r="H1470" s="2" t="s">
        <v>599</v>
      </c>
    </row>
    <row r="1471" ht="15.75" customHeight="1">
      <c r="A1471" s="2" t="s">
        <v>2119</v>
      </c>
      <c r="B1471" s="5" t="s">
        <v>214</v>
      </c>
      <c r="C1471" s="6">
        <v>46115.607835648145</v>
      </c>
      <c r="D1471" s="2">
        <v>24.0</v>
      </c>
      <c r="E1471" s="2"/>
      <c r="H1471" s="2" t="s">
        <v>599</v>
      </c>
    </row>
    <row r="1472" ht="15.75" customHeight="1">
      <c r="A1472" s="2" t="s">
        <v>2120</v>
      </c>
      <c r="B1472" s="2" t="s">
        <v>289</v>
      </c>
      <c r="C1472" s="6">
        <v>46116.518854166665</v>
      </c>
      <c r="D1472" s="2">
        <v>-15.0</v>
      </c>
      <c r="E1472" s="2"/>
      <c r="H1472" s="2" t="s">
        <v>599</v>
      </c>
    </row>
    <row r="1473" ht="15.75" customHeight="1">
      <c r="A1473" s="2" t="s">
        <v>2121</v>
      </c>
      <c r="B1473" s="2" t="s">
        <v>327</v>
      </c>
      <c r="C1473" s="6">
        <v>46116.518912037034</v>
      </c>
      <c r="D1473" s="2">
        <v>-12.0</v>
      </c>
      <c r="E1473" s="2"/>
      <c r="H1473" s="2" t="s">
        <v>599</v>
      </c>
    </row>
    <row r="1474" ht="15.75" customHeight="1">
      <c r="A1474" s="2" t="s">
        <v>2122</v>
      </c>
      <c r="B1474" s="5" t="s">
        <v>217</v>
      </c>
      <c r="C1474" s="6">
        <v>46116.51903935185</v>
      </c>
      <c r="D1474" s="2">
        <v>-35.0</v>
      </c>
      <c r="E1474" s="2"/>
      <c r="H1474" s="2" t="s">
        <v>599</v>
      </c>
    </row>
    <row r="1475" ht="15.75" customHeight="1">
      <c r="A1475" s="2" t="s">
        <v>2123</v>
      </c>
      <c r="B1475" s="5" t="s">
        <v>171</v>
      </c>
      <c r="C1475" s="6">
        <v>46116.51936342593</v>
      </c>
      <c r="D1475" s="2">
        <v>-7.0</v>
      </c>
      <c r="E1475" s="2"/>
      <c r="H1475" s="2" t="s">
        <v>599</v>
      </c>
    </row>
    <row r="1476" ht="15.75" customHeight="1">
      <c r="A1476" s="2" t="s">
        <v>2124</v>
      </c>
      <c r="B1476" s="2" t="s">
        <v>384</v>
      </c>
      <c r="C1476" s="6">
        <v>46116.52024305556</v>
      </c>
      <c r="D1476" s="2">
        <v>-24.0</v>
      </c>
      <c r="E1476" s="2"/>
      <c r="H1476" s="2" t="s">
        <v>599</v>
      </c>
    </row>
    <row r="1477" ht="15.75" customHeight="1">
      <c r="A1477" s="2" t="s">
        <v>2125</v>
      </c>
      <c r="B1477" s="2" t="s">
        <v>372</v>
      </c>
      <c r="C1477" s="6">
        <v>46116.52034722222</v>
      </c>
      <c r="D1477" s="2">
        <v>-10.0</v>
      </c>
      <c r="E1477" s="2"/>
      <c r="H1477" s="2" t="s">
        <v>599</v>
      </c>
    </row>
    <row r="1478" ht="15.75" customHeight="1">
      <c r="A1478" s="2" t="s">
        <v>2126</v>
      </c>
      <c r="B1478" s="5" t="s">
        <v>14</v>
      </c>
      <c r="C1478" s="6">
        <v>46116.520625</v>
      </c>
      <c r="D1478" s="2">
        <v>-25.0</v>
      </c>
      <c r="E1478" s="2"/>
      <c r="H1478" s="2" t="s">
        <v>599</v>
      </c>
    </row>
    <row r="1479" ht="15.75" customHeight="1">
      <c r="A1479" s="2" t="s">
        <v>2127</v>
      </c>
      <c r="B1479" s="5" t="s">
        <v>165</v>
      </c>
      <c r="C1479" s="6">
        <v>46116.52092592593</v>
      </c>
      <c r="D1479" s="2">
        <v>-7.0</v>
      </c>
      <c r="E1479" s="2"/>
      <c r="H1479" s="2" t="s">
        <v>599</v>
      </c>
    </row>
    <row r="1480" ht="15.75" customHeight="1">
      <c r="A1480" s="2" t="s">
        <v>2128</v>
      </c>
      <c r="B1480" s="2" t="s">
        <v>295</v>
      </c>
      <c r="C1480" s="6">
        <v>46116.521157407406</v>
      </c>
      <c r="D1480" s="2">
        <v>-24.0</v>
      </c>
      <c r="E1480" s="2"/>
      <c r="H1480" s="2" t="s">
        <v>599</v>
      </c>
    </row>
    <row r="1481" ht="15.75" customHeight="1">
      <c r="A1481" s="2" t="s">
        <v>2129</v>
      </c>
      <c r="B1481" s="5" t="s">
        <v>96</v>
      </c>
      <c r="C1481" s="6">
        <v>46116.52135416667</v>
      </c>
      <c r="D1481" s="2">
        <v>-8.0</v>
      </c>
      <c r="E1481" s="2"/>
      <c r="H1481" s="2" t="s">
        <v>599</v>
      </c>
    </row>
    <row r="1482" ht="15.75" customHeight="1">
      <c r="A1482" s="2" t="s">
        <v>2130</v>
      </c>
      <c r="B1482" s="2" t="s">
        <v>369</v>
      </c>
      <c r="C1482" s="6">
        <v>46116.521631944444</v>
      </c>
      <c r="D1482" s="2">
        <v>-8.0</v>
      </c>
      <c r="E1482" s="2"/>
      <c r="H1482" s="2" t="s">
        <v>599</v>
      </c>
    </row>
    <row r="1483" ht="15.75" customHeight="1">
      <c r="A1483" s="2" t="s">
        <v>2131</v>
      </c>
      <c r="B1483" s="2" t="s">
        <v>342</v>
      </c>
      <c r="C1483" s="6">
        <v>46116.522210648145</v>
      </c>
      <c r="D1483" s="2">
        <v>-5.0</v>
      </c>
      <c r="E1483" s="2"/>
      <c r="H1483" s="2" t="s">
        <v>599</v>
      </c>
    </row>
    <row r="1484" ht="15.75" customHeight="1">
      <c r="A1484" s="2" t="s">
        <v>2132</v>
      </c>
      <c r="B1484" s="2" t="s">
        <v>369</v>
      </c>
      <c r="C1484" s="6">
        <v>46116.52260416667</v>
      </c>
      <c r="D1484" s="2">
        <v>-8.0</v>
      </c>
      <c r="E1484" s="2"/>
      <c r="H1484" s="2" t="s">
        <v>599</v>
      </c>
    </row>
    <row r="1485" ht="15.75" customHeight="1">
      <c r="A1485" s="2" t="s">
        <v>2133</v>
      </c>
      <c r="B1485" s="5" t="s">
        <v>134</v>
      </c>
      <c r="C1485" s="6">
        <v>46116.52337962963</v>
      </c>
      <c r="D1485" s="2">
        <v>-3.0</v>
      </c>
      <c r="E1485" s="2"/>
      <c r="H1485" s="2" t="s">
        <v>599</v>
      </c>
    </row>
    <row r="1486" ht="15.75" customHeight="1">
      <c r="A1486" s="2" t="s">
        <v>2134</v>
      </c>
      <c r="B1486" s="5" t="s">
        <v>214</v>
      </c>
      <c r="C1486" s="6">
        <v>46116.52365740741</v>
      </c>
      <c r="D1486" s="2">
        <v>-60.0</v>
      </c>
      <c r="E1486" s="2"/>
      <c r="H1486" s="2" t="s">
        <v>599</v>
      </c>
    </row>
    <row r="1487" ht="15.75" customHeight="1">
      <c r="A1487" s="2" t="s">
        <v>2135</v>
      </c>
      <c r="B1487" s="5" t="s">
        <v>192</v>
      </c>
      <c r="C1487" s="6">
        <v>46116.523993055554</v>
      </c>
      <c r="D1487" s="2">
        <v>-1.0</v>
      </c>
      <c r="E1487" s="2"/>
      <c r="H1487" s="2" t="s">
        <v>599</v>
      </c>
    </row>
    <row r="1488" ht="15.75" customHeight="1">
      <c r="A1488" s="2" t="s">
        <v>2136</v>
      </c>
      <c r="B1488" s="2" t="s">
        <v>301</v>
      </c>
      <c r="C1488" s="6">
        <v>46116.52425925926</v>
      </c>
      <c r="D1488" s="2">
        <v>-3.0</v>
      </c>
      <c r="E1488" s="2"/>
      <c r="H1488" s="2" t="s">
        <v>599</v>
      </c>
    </row>
    <row r="1489" ht="15.75" customHeight="1">
      <c r="A1489" s="2" t="s">
        <v>2137</v>
      </c>
      <c r="B1489" s="5" t="s">
        <v>82</v>
      </c>
      <c r="C1489" s="6">
        <v>46116.524826388886</v>
      </c>
      <c r="D1489" s="2">
        <v>-2.0</v>
      </c>
      <c r="E1489" s="2"/>
      <c r="H1489" s="2" t="s">
        <v>599</v>
      </c>
    </row>
    <row r="1490" ht="15.75" customHeight="1">
      <c r="A1490" s="2" t="s">
        <v>2138</v>
      </c>
      <c r="B1490" s="5" t="s">
        <v>142</v>
      </c>
      <c r="C1490" s="6">
        <v>46116.52510416666</v>
      </c>
      <c r="D1490" s="2">
        <v>-7.0</v>
      </c>
      <c r="E1490" s="2"/>
      <c r="H1490" s="2" t="s">
        <v>599</v>
      </c>
    </row>
    <row r="1491" ht="15.75" customHeight="1">
      <c r="A1491" s="2" t="s">
        <v>2139</v>
      </c>
      <c r="B1491" s="2" t="s">
        <v>313</v>
      </c>
      <c r="C1491" s="6">
        <v>46116.5258912037</v>
      </c>
      <c r="D1491" s="2">
        <v>-6.0</v>
      </c>
      <c r="E1491" s="2"/>
      <c r="H1491" s="2" t="s">
        <v>599</v>
      </c>
    </row>
    <row r="1492" ht="15.75" customHeight="1">
      <c r="A1492" s="2" t="s">
        <v>2140</v>
      </c>
      <c r="B1492" s="2" t="s">
        <v>289</v>
      </c>
      <c r="C1492" s="6">
        <v>46116.52993055555</v>
      </c>
      <c r="D1492" s="2">
        <v>-14.0</v>
      </c>
      <c r="E1492" s="2"/>
      <c r="H1492" s="2" t="s">
        <v>599</v>
      </c>
    </row>
    <row r="1493" ht="15.75" customHeight="1">
      <c r="A1493" s="2" t="s">
        <v>2141</v>
      </c>
      <c r="B1493" s="2" t="s">
        <v>327</v>
      </c>
      <c r="C1493" s="6">
        <v>46116.52998842593</v>
      </c>
      <c r="D1493" s="2">
        <v>-13.0</v>
      </c>
      <c r="E1493" s="2"/>
      <c r="H1493" s="2" t="s">
        <v>599</v>
      </c>
    </row>
    <row r="1494" ht="15.75" customHeight="1">
      <c r="A1494" s="2" t="s">
        <v>2142</v>
      </c>
      <c r="B1494" s="5" t="s">
        <v>217</v>
      </c>
      <c r="C1494" s="6">
        <v>46116.53019675926</v>
      </c>
      <c r="D1494" s="2">
        <v>-13.0</v>
      </c>
      <c r="E1494" s="2"/>
      <c r="H1494" s="2" t="s">
        <v>599</v>
      </c>
    </row>
    <row r="1495" ht="15.75" customHeight="1">
      <c r="A1495" s="2" t="s">
        <v>2143</v>
      </c>
      <c r="B1495" s="5" t="s">
        <v>131</v>
      </c>
      <c r="C1495" s="6">
        <v>46116.56148148148</v>
      </c>
      <c r="D1495" s="2">
        <v>-3.0</v>
      </c>
      <c r="E1495" s="2"/>
      <c r="H1495" s="2" t="s">
        <v>599</v>
      </c>
    </row>
    <row r="1496" ht="15.75" customHeight="1">
      <c r="A1496" s="2" t="s">
        <v>2144</v>
      </c>
      <c r="B1496" s="5" t="s">
        <v>171</v>
      </c>
      <c r="C1496" s="6">
        <v>46116.56159722222</v>
      </c>
      <c r="D1496" s="2">
        <v>-4.0</v>
      </c>
      <c r="E1496" s="2"/>
      <c r="H1496" s="2" t="s">
        <v>599</v>
      </c>
    </row>
    <row r="1497" ht="15.75" customHeight="1">
      <c r="A1497" s="2" t="s">
        <v>2145</v>
      </c>
      <c r="B1497" s="5" t="s">
        <v>186</v>
      </c>
      <c r="C1497" s="6">
        <v>46116.56190972222</v>
      </c>
      <c r="D1497" s="2">
        <v>-10.0</v>
      </c>
      <c r="E1497" s="2"/>
      <c r="H1497" s="2" t="s">
        <v>599</v>
      </c>
    </row>
    <row r="1498" ht="15.75" customHeight="1">
      <c r="A1498" s="2" t="s">
        <v>2146</v>
      </c>
      <c r="B1498" s="5" t="s">
        <v>120</v>
      </c>
      <c r="C1498" s="6">
        <v>46116.562476851854</v>
      </c>
      <c r="D1498" s="2">
        <v>-4.0</v>
      </c>
      <c r="E1498" s="2"/>
      <c r="H1498" s="2" t="s">
        <v>599</v>
      </c>
    </row>
    <row r="1499" ht="15.75" customHeight="1">
      <c r="A1499" s="2" t="s">
        <v>2147</v>
      </c>
      <c r="B1499" s="5" t="s">
        <v>165</v>
      </c>
      <c r="C1499" s="6">
        <v>46116.5630787037</v>
      </c>
      <c r="D1499" s="2">
        <v>-18.0</v>
      </c>
      <c r="E1499" s="2"/>
      <c r="H1499" s="2" t="s">
        <v>599</v>
      </c>
    </row>
    <row r="1500" ht="15.75" customHeight="1">
      <c r="A1500" s="2" t="s">
        <v>2148</v>
      </c>
      <c r="B1500" s="2" t="s">
        <v>384</v>
      </c>
      <c r="C1500" s="6">
        <v>46116.56431712963</v>
      </c>
      <c r="D1500" s="2">
        <v>-24.0</v>
      </c>
      <c r="E1500" s="2"/>
      <c r="H1500" s="2" t="s">
        <v>599</v>
      </c>
    </row>
    <row r="1501" ht="15.75" customHeight="1">
      <c r="A1501" s="2" t="s">
        <v>2149</v>
      </c>
      <c r="B1501" s="2" t="s">
        <v>372</v>
      </c>
      <c r="C1501" s="6">
        <v>46116.564421296294</v>
      </c>
      <c r="D1501" s="2">
        <v>-24.0</v>
      </c>
      <c r="E1501" s="2"/>
      <c r="H1501" s="2" t="s">
        <v>599</v>
      </c>
    </row>
    <row r="1502" ht="15.75" customHeight="1">
      <c r="A1502" s="2" t="s">
        <v>2150</v>
      </c>
      <c r="B1502" s="2" t="s">
        <v>360</v>
      </c>
      <c r="C1502" s="6">
        <v>46116.564571759256</v>
      </c>
      <c r="D1502" s="2">
        <v>-21.0</v>
      </c>
      <c r="E1502" s="2"/>
      <c r="H1502" s="2" t="s">
        <v>599</v>
      </c>
    </row>
    <row r="1503" ht="15.75" customHeight="1">
      <c r="A1503" s="2" t="s">
        <v>2151</v>
      </c>
      <c r="B1503" s="5" t="s">
        <v>59</v>
      </c>
      <c r="C1503" s="6">
        <v>46116.56496527778</v>
      </c>
      <c r="D1503" s="2">
        <v>-7.0</v>
      </c>
      <c r="E1503" s="2"/>
      <c r="H1503" s="2" t="s">
        <v>599</v>
      </c>
    </row>
    <row r="1504" ht="15.75" customHeight="1">
      <c r="A1504" s="2" t="s">
        <v>2152</v>
      </c>
      <c r="B1504" s="5" t="s">
        <v>134</v>
      </c>
      <c r="C1504" s="6">
        <v>46116.565034722225</v>
      </c>
      <c r="D1504" s="2">
        <v>-6.0</v>
      </c>
      <c r="E1504" s="2"/>
      <c r="H1504" s="2" t="s">
        <v>599</v>
      </c>
    </row>
    <row r="1505" ht="15.75" customHeight="1">
      <c r="A1505" s="2" t="s">
        <v>2153</v>
      </c>
      <c r="B1505" s="2" t="s">
        <v>283</v>
      </c>
      <c r="C1505" s="6">
        <v>46116.565775462965</v>
      </c>
      <c r="D1505" s="2">
        <v>-2.0</v>
      </c>
      <c r="E1505" s="2"/>
      <c r="H1505" s="2" t="s">
        <v>599</v>
      </c>
    </row>
    <row r="1506" ht="15.75" customHeight="1">
      <c r="A1506" s="2" t="s">
        <v>2154</v>
      </c>
      <c r="B1506" s="2" t="s">
        <v>369</v>
      </c>
      <c r="C1506" s="6">
        <v>46116.56613425926</v>
      </c>
      <c r="D1506" s="2">
        <v>-5.0</v>
      </c>
      <c r="E1506" s="2"/>
      <c r="H1506" s="2" t="s">
        <v>599</v>
      </c>
    </row>
    <row r="1507" ht="15.75" customHeight="1">
      <c r="A1507" s="2" t="s">
        <v>2155</v>
      </c>
      <c r="B1507" s="5" t="s">
        <v>142</v>
      </c>
      <c r="C1507" s="6">
        <v>46116.5672337963</v>
      </c>
      <c r="D1507" s="2">
        <v>-21.0</v>
      </c>
      <c r="E1507" s="2"/>
      <c r="H1507" s="2" t="s">
        <v>599</v>
      </c>
    </row>
    <row r="1508" ht="15.75" customHeight="1">
      <c r="A1508" s="2" t="s">
        <v>2156</v>
      </c>
      <c r="B1508" s="2" t="s">
        <v>301</v>
      </c>
      <c r="C1508" s="6">
        <v>46116.567395833335</v>
      </c>
      <c r="D1508" s="2">
        <v>-7.0</v>
      </c>
      <c r="E1508" s="2"/>
      <c r="H1508" s="2" t="s">
        <v>599</v>
      </c>
    </row>
    <row r="1509" ht="15.75" customHeight="1">
      <c r="A1509" s="2" t="s">
        <v>2157</v>
      </c>
      <c r="B1509" s="5" t="s">
        <v>82</v>
      </c>
      <c r="C1509" s="6">
        <v>46116.5694212963</v>
      </c>
      <c r="D1509" s="2">
        <v>-7.0</v>
      </c>
      <c r="E1509" s="2"/>
      <c r="H1509" s="2" t="s">
        <v>599</v>
      </c>
    </row>
    <row r="1510" ht="15.75" customHeight="1">
      <c r="A1510" s="2" t="s">
        <v>2158</v>
      </c>
      <c r="B1510" s="2" t="s">
        <v>381</v>
      </c>
      <c r="C1510" s="6">
        <v>46116.56951388889</v>
      </c>
      <c r="D1510" s="2">
        <v>-7.0</v>
      </c>
      <c r="E1510" s="2"/>
      <c r="H1510" s="2" t="s">
        <v>599</v>
      </c>
    </row>
    <row r="1511" ht="15.75" customHeight="1">
      <c r="A1511" s="2" t="s">
        <v>2159</v>
      </c>
      <c r="B1511" s="2" t="s">
        <v>354</v>
      </c>
      <c r="C1511" s="6">
        <v>46116.56964120371</v>
      </c>
      <c r="D1511" s="2">
        <v>-6.0</v>
      </c>
      <c r="E1511" s="2"/>
      <c r="H1511" s="2" t="s">
        <v>599</v>
      </c>
    </row>
    <row r="1512" ht="15.75" customHeight="1">
      <c r="A1512" s="2" t="s">
        <v>2160</v>
      </c>
      <c r="B1512" s="5" t="s">
        <v>126</v>
      </c>
      <c r="C1512" s="6">
        <v>46116.56979166667</v>
      </c>
      <c r="D1512" s="2">
        <v>-4.0</v>
      </c>
      <c r="E1512" s="2"/>
      <c r="H1512" s="2" t="s">
        <v>599</v>
      </c>
    </row>
    <row r="1513" ht="15.75" customHeight="1">
      <c r="A1513" s="2" t="s">
        <v>2161</v>
      </c>
      <c r="B1513" s="5" t="s">
        <v>192</v>
      </c>
      <c r="C1513" s="6">
        <v>46116.570706018516</v>
      </c>
      <c r="D1513" s="2">
        <v>-13.0</v>
      </c>
      <c r="E1513" s="2"/>
      <c r="H1513" s="2" t="s">
        <v>599</v>
      </c>
    </row>
    <row r="1514" ht="15.75" customHeight="1">
      <c r="A1514" s="2" t="s">
        <v>2162</v>
      </c>
      <c r="B1514" s="2" t="s">
        <v>313</v>
      </c>
      <c r="C1514" s="6">
        <v>46116.57209490741</v>
      </c>
      <c r="D1514" s="2">
        <v>-7.0</v>
      </c>
      <c r="E1514" s="2"/>
      <c r="H1514" s="2" t="s">
        <v>599</v>
      </c>
    </row>
    <row r="1515" ht="15.75" customHeight="1">
      <c r="A1515" s="2" t="s">
        <v>2163</v>
      </c>
      <c r="B1515" s="5" t="s">
        <v>214</v>
      </c>
      <c r="C1515" s="6">
        <v>46116.57219907407</v>
      </c>
      <c r="D1515" s="2">
        <v>-24.0</v>
      </c>
      <c r="E1515" s="2"/>
      <c r="H1515" s="2" t="s">
        <v>599</v>
      </c>
    </row>
    <row r="1516" ht="15.75" customHeight="1">
      <c r="A1516" s="2" t="s">
        <v>2164</v>
      </c>
      <c r="B1516" s="2" t="s">
        <v>289</v>
      </c>
      <c r="C1516" s="6">
        <v>46116.718043981484</v>
      </c>
      <c r="D1516" s="2">
        <v>-7.0</v>
      </c>
      <c r="E1516" s="2"/>
      <c r="H1516" s="2" t="s">
        <v>571</v>
      </c>
    </row>
    <row r="1517" ht="15.75" customHeight="1">
      <c r="A1517" s="2" t="s">
        <v>2165</v>
      </c>
      <c r="B1517" s="5" t="s">
        <v>134</v>
      </c>
      <c r="C1517" s="6">
        <v>46116.71828703704</v>
      </c>
      <c r="D1517" s="2">
        <v>-3.0</v>
      </c>
      <c r="E1517" s="2"/>
      <c r="H1517" s="2" t="s">
        <v>571</v>
      </c>
    </row>
    <row r="1518" ht="15.75" customHeight="1">
      <c r="A1518" s="5" t="s">
        <v>2166</v>
      </c>
      <c r="B1518" s="5" t="s">
        <v>192</v>
      </c>
      <c r="C1518" s="6">
        <v>46116.71837962963</v>
      </c>
      <c r="D1518" s="2">
        <v>-4.0</v>
      </c>
      <c r="E1518" s="2"/>
      <c r="H1518" s="2" t="s">
        <v>571</v>
      </c>
    </row>
    <row r="1519" ht="15.75" customHeight="1">
      <c r="A1519" s="2" t="s">
        <v>2167</v>
      </c>
      <c r="B1519" s="5" t="s">
        <v>214</v>
      </c>
      <c r="C1519" s="6">
        <v>46116.7184837963</v>
      </c>
      <c r="D1519" s="2">
        <v>-12.0</v>
      </c>
      <c r="E1519" s="2"/>
      <c r="H1519" s="2" t="s">
        <v>571</v>
      </c>
    </row>
    <row r="1520" ht="15.75" customHeight="1">
      <c r="A1520" s="2" t="s">
        <v>2168</v>
      </c>
      <c r="B1520" s="5" t="s">
        <v>174</v>
      </c>
      <c r="C1520" s="6">
        <v>46116.950324074074</v>
      </c>
      <c r="D1520" s="2">
        <v>5.0</v>
      </c>
      <c r="E1520" s="2" t="s">
        <v>2169</v>
      </c>
      <c r="H1520" s="2" t="s">
        <v>571</v>
      </c>
    </row>
    <row r="1521" ht="15.75" customHeight="1">
      <c r="A1521" s="2" t="s">
        <v>2170</v>
      </c>
      <c r="B1521" s="5" t="s">
        <v>157</v>
      </c>
      <c r="C1521" s="6">
        <v>46116.951828703706</v>
      </c>
      <c r="D1521" s="2">
        <v>10.0</v>
      </c>
      <c r="E1521" s="2" t="s">
        <v>2169</v>
      </c>
      <c r="H1521" s="2" t="s">
        <v>571</v>
      </c>
    </row>
    <row r="1522" ht="15.75" customHeight="1">
      <c r="A1522" s="2" t="s">
        <v>2171</v>
      </c>
      <c r="B1522" s="2" t="s">
        <v>354</v>
      </c>
      <c r="C1522" s="6">
        <v>46116.952673611115</v>
      </c>
      <c r="D1522" s="2">
        <v>48.0</v>
      </c>
      <c r="E1522" s="2" t="s">
        <v>2172</v>
      </c>
      <c r="H1522" s="2" t="s">
        <v>571</v>
      </c>
    </row>
    <row r="1523" ht="15.75" customHeight="1">
      <c r="A1523" s="2" t="s">
        <v>2173</v>
      </c>
      <c r="B1523" s="5" t="s">
        <v>186</v>
      </c>
      <c r="C1523" s="6">
        <v>46116.95290509259</v>
      </c>
      <c r="D1523" s="2">
        <v>30.0</v>
      </c>
      <c r="E1523" s="2" t="s">
        <v>2174</v>
      </c>
      <c r="H1523" s="2" t="s">
        <v>571</v>
      </c>
    </row>
    <row r="1524" ht="15.75" customHeight="1">
      <c r="A1524" s="2" t="s">
        <v>2175</v>
      </c>
      <c r="B1524" s="2" t="s">
        <v>286</v>
      </c>
      <c r="C1524" s="6">
        <v>46116.95428240741</v>
      </c>
      <c r="D1524" s="2">
        <v>90.0</v>
      </c>
      <c r="E1524" s="2" t="s">
        <v>2176</v>
      </c>
      <c r="H1524" s="2" t="s">
        <v>571</v>
      </c>
    </row>
    <row r="1525" ht="15.75" customHeight="1">
      <c r="A1525" s="2" t="s">
        <v>2177</v>
      </c>
      <c r="B1525" s="5" t="s">
        <v>217</v>
      </c>
      <c r="C1525" s="6">
        <v>46116.954560185186</v>
      </c>
      <c r="D1525" s="2">
        <v>60.0</v>
      </c>
      <c r="E1525" s="2" t="s">
        <v>2176</v>
      </c>
      <c r="H1525" s="2" t="s">
        <v>571</v>
      </c>
    </row>
    <row r="1526" ht="15.75" customHeight="1">
      <c r="A1526" s="2" t="s">
        <v>2178</v>
      </c>
      <c r="B1526" s="5" t="s">
        <v>148</v>
      </c>
      <c r="C1526" s="6">
        <v>46116.95547453704</v>
      </c>
      <c r="D1526" s="2">
        <v>50.0</v>
      </c>
      <c r="E1526" s="2" t="s">
        <v>2179</v>
      </c>
      <c r="H1526" s="2" t="s">
        <v>571</v>
      </c>
    </row>
    <row r="1527" ht="15.75" customHeight="1">
      <c r="A1527" s="2" t="s">
        <v>2180</v>
      </c>
      <c r="B1527" s="2" t="s">
        <v>289</v>
      </c>
      <c r="C1527" s="6">
        <v>46116.955625</v>
      </c>
      <c r="D1527" s="2">
        <v>-23.0</v>
      </c>
      <c r="E1527" s="2"/>
      <c r="H1527" s="2" t="s">
        <v>571</v>
      </c>
    </row>
    <row r="1528" ht="15.75" customHeight="1">
      <c r="A1528" s="2" t="s">
        <v>2181</v>
      </c>
      <c r="B1528" s="2" t="s">
        <v>327</v>
      </c>
      <c r="C1528" s="6">
        <v>46116.95618055556</v>
      </c>
      <c r="D1528" s="2">
        <v>-18.0</v>
      </c>
      <c r="E1528" s="2"/>
      <c r="H1528" s="2" t="s">
        <v>571</v>
      </c>
    </row>
    <row r="1529" ht="15.75" customHeight="1">
      <c r="A1529" s="2" t="s">
        <v>2182</v>
      </c>
      <c r="B1529" s="2" t="s">
        <v>363</v>
      </c>
      <c r="C1529" s="6">
        <v>46116.95630787037</v>
      </c>
      <c r="D1529" s="2">
        <v>-12.0</v>
      </c>
      <c r="E1529" s="2"/>
      <c r="H1529" s="2" t="s">
        <v>571</v>
      </c>
    </row>
    <row r="1530" ht="15.75" customHeight="1">
      <c r="A1530" s="2" t="s">
        <v>2183</v>
      </c>
      <c r="B1530" s="5" t="s">
        <v>217</v>
      </c>
      <c r="C1530" s="6">
        <v>46116.95655092593</v>
      </c>
      <c r="D1530" s="2">
        <v>-15.0</v>
      </c>
      <c r="E1530" s="2"/>
      <c r="H1530" s="2" t="s">
        <v>571</v>
      </c>
    </row>
    <row r="1531" ht="15.75" customHeight="1">
      <c r="A1531" s="2" t="s">
        <v>2184</v>
      </c>
      <c r="B1531" s="2" t="s">
        <v>286</v>
      </c>
      <c r="C1531" s="6">
        <v>46116.95668981481</v>
      </c>
      <c r="D1531" s="2">
        <v>-15.0</v>
      </c>
      <c r="E1531" s="2"/>
      <c r="H1531" s="2" t="s">
        <v>571</v>
      </c>
    </row>
    <row r="1532" ht="15.75" customHeight="1">
      <c r="A1532" s="2" t="s">
        <v>2185</v>
      </c>
      <c r="B1532" s="2" t="s">
        <v>372</v>
      </c>
      <c r="C1532" s="6">
        <v>46116.95689814815</v>
      </c>
      <c r="D1532" s="2">
        <v>-14.0</v>
      </c>
      <c r="E1532" s="2"/>
      <c r="H1532" s="2" t="s">
        <v>571</v>
      </c>
    </row>
    <row r="1533" ht="15.75" customHeight="1">
      <c r="A1533" s="2" t="s">
        <v>2186</v>
      </c>
      <c r="B1533" s="5" t="s">
        <v>157</v>
      </c>
      <c r="C1533" s="6">
        <v>46116.957233796296</v>
      </c>
      <c r="D1533" s="2">
        <v>-10.0</v>
      </c>
      <c r="E1533" s="2"/>
      <c r="H1533" s="2" t="s">
        <v>571</v>
      </c>
    </row>
    <row r="1534" ht="15.75" customHeight="1">
      <c r="A1534" s="2" t="s">
        <v>2187</v>
      </c>
      <c r="B1534" s="5" t="s">
        <v>96</v>
      </c>
      <c r="C1534" s="6">
        <v>46116.95755787037</v>
      </c>
      <c r="D1534" s="2">
        <v>-11.0</v>
      </c>
      <c r="E1534" s="2"/>
      <c r="H1534" s="2" t="s">
        <v>571</v>
      </c>
    </row>
    <row r="1535" ht="15.75" customHeight="1">
      <c r="A1535" s="2" t="s">
        <v>2188</v>
      </c>
      <c r="B1535" s="2" t="s">
        <v>369</v>
      </c>
      <c r="C1535" s="6">
        <v>46116.957974537036</v>
      </c>
      <c r="D1535" s="2">
        <v>-4.0</v>
      </c>
      <c r="E1535" s="2"/>
      <c r="H1535" s="2" t="s">
        <v>571</v>
      </c>
    </row>
    <row r="1536" ht="15.75" customHeight="1">
      <c r="A1536" s="2" t="s">
        <v>2189</v>
      </c>
      <c r="B1536" s="5" t="s">
        <v>142</v>
      </c>
      <c r="C1536" s="6">
        <v>46116.958078703705</v>
      </c>
      <c r="D1536" s="2">
        <v>-4.0</v>
      </c>
      <c r="E1536" s="2"/>
      <c r="H1536" s="2" t="s">
        <v>571</v>
      </c>
    </row>
    <row r="1537" ht="15.75" customHeight="1">
      <c r="A1537" s="2" t="s">
        <v>2190</v>
      </c>
      <c r="B1537" s="2" t="s">
        <v>313</v>
      </c>
      <c r="C1537" s="6">
        <v>46116.95826388889</v>
      </c>
      <c r="D1537" s="2">
        <v>-5.0</v>
      </c>
      <c r="E1537" s="2"/>
      <c r="H1537" s="2" t="s">
        <v>571</v>
      </c>
    </row>
    <row r="1538" ht="15.75" customHeight="1">
      <c r="A1538" s="2" t="s">
        <v>2191</v>
      </c>
      <c r="B1538" s="5" t="s">
        <v>214</v>
      </c>
      <c r="C1538" s="6">
        <v>46116.95903935185</v>
      </c>
      <c r="D1538" s="2">
        <v>-12.0</v>
      </c>
      <c r="E1538" s="2"/>
      <c r="H1538" s="2" t="s">
        <v>571</v>
      </c>
    </row>
    <row r="1539" ht="15.75" customHeight="1">
      <c r="A1539" s="2" t="s">
        <v>2192</v>
      </c>
      <c r="B1539" s="5" t="s">
        <v>214</v>
      </c>
      <c r="C1539" s="6">
        <v>46116.959189814814</v>
      </c>
      <c r="D1539" s="2">
        <v>-60.0</v>
      </c>
      <c r="E1539" s="2"/>
      <c r="H1539" s="2" t="s">
        <v>571</v>
      </c>
    </row>
    <row r="1540" ht="15.75" customHeight="1">
      <c r="A1540" s="2" t="s">
        <v>2193</v>
      </c>
      <c r="B1540" s="5" t="s">
        <v>120</v>
      </c>
      <c r="C1540" s="6">
        <v>46116.9594212963</v>
      </c>
      <c r="D1540" s="2">
        <v>-4.0</v>
      </c>
      <c r="E1540" s="2"/>
      <c r="H1540" s="2" t="s">
        <v>571</v>
      </c>
    </row>
    <row r="1541" ht="15.75" customHeight="1">
      <c r="A1541" s="2" t="s">
        <v>2194</v>
      </c>
      <c r="B1541" s="5" t="s">
        <v>174</v>
      </c>
      <c r="C1541" s="6">
        <v>46116.95958333334</v>
      </c>
      <c r="D1541" s="2">
        <v>-5.0</v>
      </c>
      <c r="E1541" s="2"/>
      <c r="H1541" s="2" t="s">
        <v>571</v>
      </c>
    </row>
    <row r="1542" ht="15.75" customHeight="1">
      <c r="A1542" s="2" t="s">
        <v>2195</v>
      </c>
      <c r="B1542" s="5" t="s">
        <v>171</v>
      </c>
      <c r="C1542" s="6">
        <v>46116.95995370371</v>
      </c>
      <c r="D1542" s="2">
        <v>-12.0</v>
      </c>
      <c r="E1542" s="2"/>
      <c r="H1542" s="2" t="s">
        <v>571</v>
      </c>
    </row>
    <row r="1543" ht="15.75" customHeight="1">
      <c r="A1543" s="2" t="s">
        <v>2196</v>
      </c>
      <c r="B1543" s="2" t="s">
        <v>384</v>
      </c>
      <c r="C1543" s="6">
        <v>46116.960185185184</v>
      </c>
      <c r="D1543" s="2">
        <v>-12.0</v>
      </c>
      <c r="E1543" s="2"/>
      <c r="H1543" s="2" t="s">
        <v>571</v>
      </c>
    </row>
    <row r="1544" ht="15.75" customHeight="1">
      <c r="A1544" s="2" t="s">
        <v>2197</v>
      </c>
      <c r="B1544" s="2" t="s">
        <v>375</v>
      </c>
      <c r="C1544" s="6">
        <v>46116.96047453704</v>
      </c>
      <c r="D1544" s="2">
        <v>-10.0</v>
      </c>
      <c r="E1544" s="2"/>
      <c r="H1544" s="2" t="s">
        <v>571</v>
      </c>
    </row>
    <row r="1545" ht="15.75" customHeight="1">
      <c r="A1545" s="2" t="s">
        <v>2198</v>
      </c>
      <c r="B1545" s="2" t="s">
        <v>378</v>
      </c>
      <c r="C1545" s="6">
        <v>46116.960648148146</v>
      </c>
      <c r="D1545" s="2">
        <v>-6.0</v>
      </c>
      <c r="E1545" s="2"/>
      <c r="H1545" s="2" t="s">
        <v>571</v>
      </c>
    </row>
    <row r="1546" ht="15.75" customHeight="1">
      <c r="A1546" s="2" t="s">
        <v>2199</v>
      </c>
      <c r="B1546" s="5" t="s">
        <v>186</v>
      </c>
      <c r="C1546" s="6">
        <v>46116.96078703704</v>
      </c>
      <c r="D1546" s="2">
        <v>-10.0</v>
      </c>
      <c r="E1546" s="2"/>
      <c r="H1546" s="2" t="s">
        <v>571</v>
      </c>
    </row>
    <row r="1547" ht="15.75" customHeight="1">
      <c r="A1547" s="2" t="s">
        <v>2200</v>
      </c>
      <c r="B1547" s="5" t="s">
        <v>134</v>
      </c>
      <c r="C1547" s="6">
        <v>46116.96141203704</v>
      </c>
      <c r="D1547" s="2">
        <v>-12.0</v>
      </c>
      <c r="E1547" s="2"/>
      <c r="H1547" s="2" t="s">
        <v>571</v>
      </c>
    </row>
    <row r="1548" ht="15.75" customHeight="1">
      <c r="A1548" s="2" t="s">
        <v>2201</v>
      </c>
      <c r="B1548" s="5" t="s">
        <v>59</v>
      </c>
      <c r="C1548" s="6">
        <v>46116.961597222224</v>
      </c>
      <c r="D1548" s="2">
        <v>-12.0</v>
      </c>
      <c r="E1548" s="2"/>
      <c r="H1548" s="2" t="s">
        <v>571</v>
      </c>
    </row>
    <row r="1549" ht="15.75" customHeight="1">
      <c r="A1549" s="2" t="s">
        <v>2202</v>
      </c>
      <c r="B1549" s="2" t="s">
        <v>342</v>
      </c>
      <c r="C1549" s="6">
        <v>46116.96175925926</v>
      </c>
      <c r="D1549" s="2">
        <v>-6.0</v>
      </c>
      <c r="E1549" s="2"/>
      <c r="H1549" s="2" t="s">
        <v>571</v>
      </c>
    </row>
    <row r="1550" ht="15.75" customHeight="1">
      <c r="A1550" s="2" t="s">
        <v>2203</v>
      </c>
      <c r="B1550" s="2" t="s">
        <v>369</v>
      </c>
      <c r="C1550" s="6">
        <v>46116.96189814815</v>
      </c>
      <c r="D1550" s="2">
        <v>-12.0</v>
      </c>
      <c r="E1550" s="2"/>
      <c r="H1550" s="2" t="s">
        <v>571</v>
      </c>
    </row>
    <row r="1551" ht="15.75" customHeight="1">
      <c r="A1551" s="2" t="s">
        <v>2204</v>
      </c>
      <c r="B1551" s="5" t="s">
        <v>142</v>
      </c>
      <c r="C1551" s="6">
        <v>46116.962175925924</v>
      </c>
      <c r="D1551" s="2">
        <v>-6.0</v>
      </c>
      <c r="E1551" s="2"/>
      <c r="H1551" s="2" t="s">
        <v>571</v>
      </c>
    </row>
    <row r="1552" ht="15.75" customHeight="1">
      <c r="A1552" s="2" t="s">
        <v>2205</v>
      </c>
      <c r="B1552" s="5" t="s">
        <v>82</v>
      </c>
      <c r="C1552" s="6">
        <v>46116.96226851852</v>
      </c>
      <c r="D1552" s="2">
        <v>-6.0</v>
      </c>
      <c r="E1552" s="2"/>
      <c r="H1552" s="2" t="s">
        <v>571</v>
      </c>
    </row>
    <row r="1553" ht="15.75" customHeight="1">
      <c r="A1553" s="2" t="s">
        <v>2206</v>
      </c>
      <c r="B1553" s="2" t="s">
        <v>301</v>
      </c>
      <c r="C1553" s="6">
        <v>46116.96238425926</v>
      </c>
      <c r="D1553" s="2">
        <v>-6.0</v>
      </c>
      <c r="E1553" s="2"/>
      <c r="H1553" s="2" t="s">
        <v>571</v>
      </c>
    </row>
    <row r="1554" ht="15.75" customHeight="1">
      <c r="A1554" s="2" t="s">
        <v>2207</v>
      </c>
      <c r="B1554" s="2" t="s">
        <v>313</v>
      </c>
      <c r="C1554" s="6">
        <v>46116.96252314815</v>
      </c>
      <c r="D1554" s="2">
        <v>-6.0</v>
      </c>
      <c r="E1554" s="2"/>
      <c r="H1554" s="2" t="s">
        <v>571</v>
      </c>
    </row>
    <row r="1555" ht="15.75" customHeight="1">
      <c r="A1555" s="2" t="s">
        <v>2208</v>
      </c>
      <c r="B1555" s="5" t="s">
        <v>192</v>
      </c>
      <c r="C1555" s="6">
        <v>46116.96265046296</v>
      </c>
      <c r="D1555" s="2">
        <v>-20.0</v>
      </c>
      <c r="E1555" s="2"/>
      <c r="H1555" s="2" t="s">
        <v>571</v>
      </c>
    </row>
    <row r="1556" ht="15.75" customHeight="1">
      <c r="A1556" s="2" t="s">
        <v>2209</v>
      </c>
      <c r="B1556" s="5" t="s">
        <v>165</v>
      </c>
      <c r="C1556" s="6">
        <v>46116.96392361111</v>
      </c>
      <c r="D1556" s="2">
        <v>-12.0</v>
      </c>
      <c r="E1556" s="2"/>
      <c r="H1556" s="2" t="s">
        <v>571</v>
      </c>
    </row>
    <row r="1557" ht="15.75" customHeight="1">
      <c r="A1557" s="2" t="s">
        <v>2210</v>
      </c>
      <c r="B1557" s="5" t="s">
        <v>62</v>
      </c>
      <c r="C1557" s="6">
        <v>46116.96503472222</v>
      </c>
      <c r="D1557" s="2">
        <v>20.0</v>
      </c>
      <c r="E1557" s="2" t="s">
        <v>2088</v>
      </c>
      <c r="H1557" s="2" t="s">
        <v>571</v>
      </c>
    </row>
    <row r="1558" ht="15.75" customHeight="1">
      <c r="A1558" s="2" t="s">
        <v>2211</v>
      </c>
      <c r="B1558" s="5" t="s">
        <v>62</v>
      </c>
      <c r="C1558" s="6">
        <v>46116.96538194444</v>
      </c>
      <c r="D1558" s="2">
        <v>-13.0</v>
      </c>
      <c r="E1558" s="2"/>
      <c r="H1558" s="2" t="s">
        <v>571</v>
      </c>
    </row>
    <row r="1559" ht="15.75" customHeight="1">
      <c r="A1559" s="2" t="s">
        <v>2212</v>
      </c>
      <c r="B1559" s="5" t="s">
        <v>217</v>
      </c>
      <c r="C1559" s="6">
        <v>46117.59408564815</v>
      </c>
      <c r="D1559" s="2">
        <v>-20.0</v>
      </c>
      <c r="E1559" s="2"/>
      <c r="H1559" s="2" t="s">
        <v>599</v>
      </c>
    </row>
    <row r="1560" ht="15.75" customHeight="1">
      <c r="A1560" s="2" t="s">
        <v>2213</v>
      </c>
      <c r="B1560" s="2" t="s">
        <v>286</v>
      </c>
      <c r="C1560" s="6">
        <v>46117.594143518516</v>
      </c>
      <c r="D1560" s="2">
        <v>-15.0</v>
      </c>
      <c r="E1560" s="2"/>
      <c r="H1560" s="2" t="s">
        <v>599</v>
      </c>
    </row>
    <row r="1561" ht="15.75" customHeight="1">
      <c r="A1561" s="2" t="s">
        <v>2214</v>
      </c>
      <c r="B1561" s="2" t="s">
        <v>327</v>
      </c>
      <c r="C1561" s="6">
        <v>46117.594201388885</v>
      </c>
      <c r="D1561" s="2">
        <v>-14.0</v>
      </c>
      <c r="E1561" s="2"/>
      <c r="H1561" s="2" t="s">
        <v>599</v>
      </c>
    </row>
    <row r="1562" ht="15.75" customHeight="1">
      <c r="A1562" s="5" t="s">
        <v>2215</v>
      </c>
      <c r="B1562" s="2" t="s">
        <v>289</v>
      </c>
      <c r="C1562" s="6">
        <v>46117.59427083333</v>
      </c>
      <c r="D1562" s="2">
        <v>-7.0</v>
      </c>
      <c r="E1562" s="2"/>
      <c r="H1562" s="2" t="s">
        <v>599</v>
      </c>
    </row>
    <row r="1563" ht="15.75" customHeight="1">
      <c r="A1563" s="2" t="s">
        <v>2216</v>
      </c>
      <c r="B1563" s="2" t="s">
        <v>372</v>
      </c>
      <c r="C1563" s="6">
        <v>46117.59581018519</v>
      </c>
      <c r="D1563" s="2">
        <v>-24.0</v>
      </c>
      <c r="E1563" s="2"/>
      <c r="H1563" s="2" t="s">
        <v>599</v>
      </c>
    </row>
    <row r="1564" ht="15.75" customHeight="1">
      <c r="A1564" s="2" t="s">
        <v>2217</v>
      </c>
      <c r="B1564" s="2" t="s">
        <v>375</v>
      </c>
      <c r="C1564" s="6">
        <v>46117.59591435185</v>
      </c>
      <c r="D1564" s="2">
        <v>-6.0</v>
      </c>
      <c r="E1564" s="2"/>
      <c r="H1564" s="2" t="s">
        <v>599</v>
      </c>
    </row>
    <row r="1565" ht="15.75" customHeight="1">
      <c r="A1565" s="2" t="s">
        <v>2218</v>
      </c>
      <c r="B1565" s="2" t="s">
        <v>378</v>
      </c>
      <c r="C1565" s="6">
        <v>46117.596030092594</v>
      </c>
      <c r="D1565" s="2">
        <v>-6.0</v>
      </c>
      <c r="E1565" s="2"/>
      <c r="H1565" s="2" t="s">
        <v>599</v>
      </c>
    </row>
    <row r="1566" ht="15.75" customHeight="1">
      <c r="A1566" s="2" t="s">
        <v>2219</v>
      </c>
      <c r="B1566" s="2" t="s">
        <v>369</v>
      </c>
      <c r="C1566" s="6">
        <v>46117.59712962963</v>
      </c>
      <c r="D1566" s="2">
        <v>-14.0</v>
      </c>
      <c r="E1566" s="2"/>
      <c r="H1566" s="2" t="s">
        <v>599</v>
      </c>
    </row>
    <row r="1567" ht="15.75" customHeight="1">
      <c r="A1567" s="2" t="s">
        <v>2220</v>
      </c>
      <c r="B1567" s="5" t="s">
        <v>96</v>
      </c>
      <c r="C1567" s="6">
        <v>46117.59778935185</v>
      </c>
      <c r="D1567" s="2">
        <v>-8.0</v>
      </c>
      <c r="E1567" s="2"/>
      <c r="H1567" s="2" t="s">
        <v>599</v>
      </c>
    </row>
    <row r="1568" ht="15.75" customHeight="1">
      <c r="A1568" s="2" t="s">
        <v>2221</v>
      </c>
      <c r="B1568" s="5" t="s">
        <v>142</v>
      </c>
      <c r="C1568" s="6">
        <v>46117.598344907405</v>
      </c>
      <c r="D1568" s="2">
        <v>-11.0</v>
      </c>
      <c r="E1568" s="2"/>
      <c r="H1568" s="2" t="s">
        <v>599</v>
      </c>
    </row>
    <row r="1569" ht="15.75" customHeight="1">
      <c r="A1569" s="2" t="s">
        <v>2222</v>
      </c>
      <c r="B1569" s="5" t="s">
        <v>82</v>
      </c>
      <c r="C1569" s="6">
        <v>46117.598912037036</v>
      </c>
      <c r="D1569" s="2">
        <v>-7.0</v>
      </c>
      <c r="E1569" s="2"/>
      <c r="H1569" s="2" t="s">
        <v>599</v>
      </c>
    </row>
    <row r="1570" ht="15.75" customHeight="1">
      <c r="A1570" s="2" t="s">
        <v>2223</v>
      </c>
      <c r="B1570" s="2" t="s">
        <v>313</v>
      </c>
      <c r="C1570" s="6">
        <v>46117.59903935185</v>
      </c>
      <c r="D1570" s="2">
        <v>-3.0</v>
      </c>
      <c r="E1570" s="2"/>
      <c r="H1570" s="2" t="s">
        <v>599</v>
      </c>
    </row>
    <row r="1571" ht="15.75" customHeight="1">
      <c r="A1571" s="2" t="s">
        <v>2224</v>
      </c>
      <c r="B1571" s="2" t="s">
        <v>301</v>
      </c>
      <c r="C1571" s="6">
        <v>46117.599641203706</v>
      </c>
      <c r="D1571" s="2">
        <v>-1.0</v>
      </c>
      <c r="E1571" s="2"/>
      <c r="H1571" s="2" t="s">
        <v>599</v>
      </c>
    </row>
    <row r="1572" ht="15.75" customHeight="1">
      <c r="A1572" s="2" t="s">
        <v>2225</v>
      </c>
      <c r="B1572" s="2" t="s">
        <v>381</v>
      </c>
      <c r="C1572" s="6">
        <v>46117.59974537037</v>
      </c>
      <c r="D1572" s="2">
        <v>-1.0</v>
      </c>
      <c r="E1572" s="2"/>
      <c r="H1572" s="2" t="s">
        <v>599</v>
      </c>
    </row>
    <row r="1573" ht="15.75" customHeight="1">
      <c r="A1573" s="2" t="s">
        <v>2226</v>
      </c>
      <c r="B1573" s="5" t="s">
        <v>214</v>
      </c>
      <c r="C1573" s="6">
        <v>46117.60030092593</v>
      </c>
      <c r="D1573" s="2">
        <v>-60.0</v>
      </c>
      <c r="E1573" s="2"/>
      <c r="H1573" s="2" t="s">
        <v>599</v>
      </c>
    </row>
    <row r="1574" ht="15.75" customHeight="1">
      <c r="A1574" s="2" t="s">
        <v>2227</v>
      </c>
      <c r="B1574" s="2" t="s">
        <v>295</v>
      </c>
      <c r="C1574" s="6">
        <v>46117.60197916667</v>
      </c>
      <c r="D1574" s="2">
        <v>-6.0</v>
      </c>
      <c r="E1574" s="2"/>
      <c r="H1574" s="2" t="s">
        <v>599</v>
      </c>
    </row>
    <row r="1575" ht="15.75" customHeight="1">
      <c r="A1575" s="2" t="s">
        <v>2228</v>
      </c>
      <c r="B1575" s="5" t="s">
        <v>14</v>
      </c>
      <c r="C1575" s="6">
        <v>46117.60234953704</v>
      </c>
      <c r="D1575" s="2">
        <v>-10.0</v>
      </c>
      <c r="E1575" s="2"/>
      <c r="H1575" s="2" t="s">
        <v>599</v>
      </c>
    </row>
    <row r="1576" ht="15.75" customHeight="1">
      <c r="A1576" s="2" t="s">
        <v>2229</v>
      </c>
      <c r="B1576" s="5" t="s">
        <v>192</v>
      </c>
      <c r="C1576" s="6">
        <v>46117.60265046296</v>
      </c>
      <c r="D1576" s="2">
        <v>2.0</v>
      </c>
      <c r="E1576" s="2"/>
      <c r="H1576" s="2" t="s">
        <v>599</v>
      </c>
    </row>
    <row r="1577" ht="15.75" customHeight="1">
      <c r="A1577" s="2" t="s">
        <v>2230</v>
      </c>
      <c r="B1577" s="5" t="s">
        <v>59</v>
      </c>
      <c r="C1577" s="6">
        <v>46117.60292824074</v>
      </c>
      <c r="D1577" s="2">
        <v>3.0</v>
      </c>
      <c r="E1577" s="2"/>
      <c r="H1577" s="2" t="s">
        <v>599</v>
      </c>
    </row>
    <row r="1578" ht="15.75" customHeight="1">
      <c r="A1578" s="2" t="s">
        <v>2231</v>
      </c>
      <c r="B1578" s="2" t="s">
        <v>313</v>
      </c>
      <c r="C1578" s="6">
        <v>46117.60300925926</v>
      </c>
      <c r="D1578" s="2">
        <v>1.0</v>
      </c>
      <c r="E1578" s="2"/>
      <c r="H1578" s="2" t="s">
        <v>599</v>
      </c>
    </row>
    <row r="1579" ht="15.75" customHeight="1">
      <c r="A1579" s="2" t="s">
        <v>2232</v>
      </c>
      <c r="B1579" s="5" t="s">
        <v>82</v>
      </c>
      <c r="C1579" s="6">
        <v>46117.60319444445</v>
      </c>
      <c r="D1579" s="2">
        <v>2.0</v>
      </c>
      <c r="E1579" s="2"/>
      <c r="H1579" s="2" t="s">
        <v>599</v>
      </c>
    </row>
    <row r="1580" ht="15.75" customHeight="1">
      <c r="A1580" s="2" t="s">
        <v>2233</v>
      </c>
      <c r="B1580" s="2" t="s">
        <v>384</v>
      </c>
      <c r="C1580" s="6">
        <v>46117.60335648148</v>
      </c>
      <c r="D1580" s="2">
        <v>1.0</v>
      </c>
      <c r="E1580" s="2"/>
      <c r="H1580" s="2" t="s">
        <v>599</v>
      </c>
    </row>
    <row r="1581" ht="15.75" customHeight="1">
      <c r="A1581" s="2" t="s">
        <v>2234</v>
      </c>
      <c r="B1581" s="2" t="s">
        <v>289</v>
      </c>
      <c r="C1581" s="6">
        <v>46118.73606481482</v>
      </c>
      <c r="D1581" s="2">
        <v>-10.0</v>
      </c>
      <c r="E1581" s="2"/>
      <c r="H1581" s="2" t="s">
        <v>571</v>
      </c>
    </row>
    <row r="1582" ht="15.75" customHeight="1">
      <c r="A1582" s="2" t="s">
        <v>2235</v>
      </c>
      <c r="B1582" s="5" t="s">
        <v>148</v>
      </c>
      <c r="C1582" s="6">
        <v>46118.73678240741</v>
      </c>
      <c r="D1582" s="2">
        <v>-10.0</v>
      </c>
      <c r="E1582" s="2"/>
      <c r="H1582" s="2" t="s">
        <v>571</v>
      </c>
    </row>
    <row r="1583" ht="15.75" customHeight="1">
      <c r="A1583" s="2" t="s">
        <v>2236</v>
      </c>
      <c r="B1583" s="2" t="s">
        <v>327</v>
      </c>
      <c r="C1583" s="6">
        <v>46118.736909722225</v>
      </c>
      <c r="D1583" s="2">
        <v>-2.0</v>
      </c>
      <c r="E1583" s="2"/>
      <c r="H1583" s="2" t="s">
        <v>571</v>
      </c>
    </row>
    <row r="1584" ht="15.75" customHeight="1">
      <c r="A1584" s="2" t="s">
        <v>2237</v>
      </c>
      <c r="B1584" s="5" t="s">
        <v>217</v>
      </c>
      <c r="C1584" s="6">
        <v>46118.737025462964</v>
      </c>
      <c r="D1584" s="2">
        <v>-3.0</v>
      </c>
      <c r="E1584" s="2"/>
      <c r="H1584" s="2" t="s">
        <v>571</v>
      </c>
    </row>
    <row r="1585" ht="15.75" customHeight="1">
      <c r="A1585" s="2" t="s">
        <v>2238</v>
      </c>
      <c r="B1585" s="2" t="s">
        <v>286</v>
      </c>
      <c r="C1585" s="6">
        <v>46118.737129629626</v>
      </c>
      <c r="D1585" s="2">
        <v>-7.0</v>
      </c>
      <c r="E1585" s="2"/>
      <c r="H1585" s="2" t="s">
        <v>571</v>
      </c>
    </row>
    <row r="1586" ht="15.75" customHeight="1">
      <c r="A1586" s="2" t="s">
        <v>2239</v>
      </c>
      <c r="B1586" s="5" t="s">
        <v>165</v>
      </c>
      <c r="C1586" s="6">
        <v>46118.73726851852</v>
      </c>
      <c r="D1586" s="2">
        <v>-5.0</v>
      </c>
      <c r="E1586" s="2"/>
      <c r="H1586" s="2" t="s">
        <v>571</v>
      </c>
    </row>
    <row r="1587" ht="15.75" customHeight="1">
      <c r="A1587" s="2" t="s">
        <v>2240</v>
      </c>
      <c r="B1587" s="2" t="s">
        <v>342</v>
      </c>
      <c r="C1587" s="6">
        <v>46118.73747685185</v>
      </c>
      <c r="D1587" s="2">
        <v>-5.0</v>
      </c>
      <c r="E1587" s="2"/>
      <c r="H1587" s="2" t="s">
        <v>571</v>
      </c>
    </row>
    <row r="1588" ht="15.75" customHeight="1">
      <c r="A1588" s="2" t="s">
        <v>2241</v>
      </c>
      <c r="B1588" s="2" t="s">
        <v>360</v>
      </c>
      <c r="C1588" s="6">
        <v>46118.737604166665</v>
      </c>
      <c r="D1588" s="2">
        <v>-6.0</v>
      </c>
      <c r="E1588" s="2"/>
      <c r="H1588" s="2" t="s">
        <v>571</v>
      </c>
    </row>
    <row r="1589" ht="15.75" customHeight="1">
      <c r="A1589" s="2" t="s">
        <v>2242</v>
      </c>
      <c r="B1589" s="5" t="s">
        <v>148</v>
      </c>
      <c r="C1589" s="6">
        <v>46118.737962962965</v>
      </c>
      <c r="D1589" s="2">
        <v>-11.0</v>
      </c>
      <c r="E1589" s="2"/>
      <c r="H1589" s="2" t="s">
        <v>571</v>
      </c>
    </row>
    <row r="1590" ht="15.75" customHeight="1">
      <c r="A1590" s="2" t="s">
        <v>2243</v>
      </c>
      <c r="B1590" s="2" t="s">
        <v>402</v>
      </c>
      <c r="C1590" s="6">
        <v>46118.80236111111</v>
      </c>
      <c r="D1590" s="2">
        <v>-13.0</v>
      </c>
      <c r="E1590" s="2"/>
      <c r="H1590" s="2" t="s">
        <v>571</v>
      </c>
    </row>
    <row r="1591" ht="15.75" customHeight="1">
      <c r="A1591" s="2" t="s">
        <v>2244</v>
      </c>
      <c r="B1591" s="2" t="s">
        <v>289</v>
      </c>
      <c r="C1591" s="6">
        <v>46119.0799537037</v>
      </c>
      <c r="D1591" s="2">
        <v>-21.0</v>
      </c>
      <c r="E1591" s="2"/>
      <c r="H1591" s="2" t="s">
        <v>571</v>
      </c>
    </row>
    <row r="1592" ht="15.75" customHeight="1">
      <c r="A1592" s="2" t="s">
        <v>2245</v>
      </c>
      <c r="B1592" s="2" t="s">
        <v>286</v>
      </c>
      <c r="C1592" s="6">
        <v>46119.08011574074</v>
      </c>
      <c r="D1592" s="2">
        <v>-5.0</v>
      </c>
      <c r="E1592" s="2"/>
      <c r="H1592" s="2" t="s">
        <v>571</v>
      </c>
    </row>
    <row r="1593" ht="15.75" customHeight="1">
      <c r="A1593" s="2" t="s">
        <v>2246</v>
      </c>
      <c r="B1593" s="2" t="s">
        <v>327</v>
      </c>
      <c r="C1593" s="6">
        <v>46119.080196759256</v>
      </c>
      <c r="D1593" s="2">
        <v>-3.0</v>
      </c>
      <c r="E1593" s="2"/>
      <c r="H1593" s="2" t="s">
        <v>571</v>
      </c>
    </row>
    <row r="1594" ht="15.75" customHeight="1">
      <c r="A1594" s="2" t="s">
        <v>2247</v>
      </c>
      <c r="B1594" s="5" t="s">
        <v>131</v>
      </c>
      <c r="C1594" s="6">
        <v>46119.080300925925</v>
      </c>
      <c r="D1594" s="2">
        <v>-5.0</v>
      </c>
      <c r="E1594" s="2"/>
      <c r="H1594" s="2" t="s">
        <v>571</v>
      </c>
    </row>
    <row r="1595" ht="15.75" customHeight="1">
      <c r="A1595" s="2" t="s">
        <v>2248</v>
      </c>
      <c r="B1595" s="2" t="s">
        <v>304</v>
      </c>
      <c r="C1595" s="6">
        <v>46119.08053240741</v>
      </c>
      <c r="D1595" s="2">
        <v>-14.0</v>
      </c>
      <c r="E1595" s="2"/>
      <c r="H1595" s="2" t="s">
        <v>571</v>
      </c>
    </row>
    <row r="1596" ht="15.75" customHeight="1">
      <c r="A1596" s="2" t="s">
        <v>2249</v>
      </c>
      <c r="B1596" s="2" t="s">
        <v>372</v>
      </c>
      <c r="C1596" s="6">
        <v>46119.08076388889</v>
      </c>
      <c r="D1596" s="2">
        <v>-5.0</v>
      </c>
      <c r="E1596" s="2"/>
      <c r="H1596" s="2" t="s">
        <v>571</v>
      </c>
    </row>
    <row r="1597" ht="15.75" customHeight="1">
      <c r="A1597" s="2" t="s">
        <v>2250</v>
      </c>
      <c r="B1597" s="5" t="s">
        <v>59</v>
      </c>
      <c r="C1597" s="6">
        <v>46119.08086805556</v>
      </c>
      <c r="D1597" s="2">
        <v>-6.0</v>
      </c>
      <c r="E1597" s="2"/>
      <c r="H1597" s="2" t="s">
        <v>571</v>
      </c>
    </row>
    <row r="1598" ht="15.75" customHeight="1">
      <c r="A1598" s="2" t="s">
        <v>2251</v>
      </c>
      <c r="B1598" s="5" t="s">
        <v>134</v>
      </c>
      <c r="C1598" s="6">
        <v>46119.08101851852</v>
      </c>
      <c r="D1598" s="2">
        <v>-4.0</v>
      </c>
      <c r="E1598" s="2"/>
      <c r="H1598" s="2" t="s">
        <v>571</v>
      </c>
    </row>
    <row r="1599" ht="15.75" customHeight="1">
      <c r="A1599" s="2" t="s">
        <v>2252</v>
      </c>
      <c r="B1599" s="2" t="s">
        <v>360</v>
      </c>
      <c r="C1599" s="6">
        <v>46119.081145833334</v>
      </c>
      <c r="D1599" s="2">
        <v>-5.0</v>
      </c>
      <c r="E1599" s="2"/>
      <c r="H1599" s="2" t="s">
        <v>571</v>
      </c>
    </row>
    <row r="1600" ht="15.75" customHeight="1">
      <c r="A1600" s="2" t="s">
        <v>2253</v>
      </c>
      <c r="B1600" s="5" t="s">
        <v>192</v>
      </c>
      <c r="C1600" s="6">
        <v>46119.08127314815</v>
      </c>
      <c r="D1600" s="2">
        <v>-3.0</v>
      </c>
      <c r="E1600" s="2"/>
      <c r="H1600" s="2" t="s">
        <v>571</v>
      </c>
    </row>
    <row r="1601" ht="15.75" customHeight="1">
      <c r="A1601" s="2" t="s">
        <v>2254</v>
      </c>
      <c r="B1601" s="5" t="s">
        <v>214</v>
      </c>
      <c r="C1601" s="6">
        <v>46119.081400462965</v>
      </c>
      <c r="D1601" s="2">
        <v>-12.0</v>
      </c>
      <c r="E1601" s="2"/>
      <c r="H1601" s="2" t="s">
        <v>571</v>
      </c>
    </row>
    <row r="1602" ht="15.75" customHeight="1">
      <c r="A1602" s="2" t="s">
        <v>2255</v>
      </c>
      <c r="B1602" s="2" t="s">
        <v>304</v>
      </c>
      <c r="C1602" s="6">
        <v>46119.081979166665</v>
      </c>
      <c r="D1602" s="2">
        <v>24.0</v>
      </c>
      <c r="E1602" s="2" t="s">
        <v>2256</v>
      </c>
      <c r="H1602" s="2" t="s">
        <v>571</v>
      </c>
    </row>
    <row r="1603" ht="15.75" customHeight="1">
      <c r="A1603" s="2" t="s">
        <v>2257</v>
      </c>
      <c r="B1603" s="5" t="s">
        <v>131</v>
      </c>
      <c r="C1603" s="6">
        <v>46119.08771990741</v>
      </c>
      <c r="D1603" s="2">
        <v>24.0</v>
      </c>
      <c r="E1603" s="2" t="s">
        <v>2256</v>
      </c>
      <c r="H1603" s="2" t="s">
        <v>571</v>
      </c>
    </row>
    <row r="1604" ht="15.75" customHeight="1">
      <c r="A1604" s="2" t="s">
        <v>2258</v>
      </c>
      <c r="B1604" s="5" t="s">
        <v>14</v>
      </c>
      <c r="C1604" s="6">
        <v>46119.402349537035</v>
      </c>
      <c r="D1604" s="2">
        <v>40.0</v>
      </c>
      <c r="E1604" s="2" t="s">
        <v>2169</v>
      </c>
      <c r="H1604" s="2" t="s">
        <v>571</v>
      </c>
    </row>
    <row r="1605" ht="15.75" customHeight="1">
      <c r="A1605" s="2" t="s">
        <v>2259</v>
      </c>
      <c r="B1605" s="2" t="s">
        <v>399</v>
      </c>
      <c r="C1605" s="6">
        <v>46119.40253472222</v>
      </c>
      <c r="D1605" s="2">
        <v>-12.0</v>
      </c>
      <c r="E1605" s="2"/>
      <c r="H1605" s="2" t="s">
        <v>571</v>
      </c>
    </row>
    <row r="1606" ht="15.75" customHeight="1">
      <c r="A1606" s="2" t="s">
        <v>2260</v>
      </c>
      <c r="B1606" s="5" t="s">
        <v>217</v>
      </c>
      <c r="C1606" s="6">
        <v>46119.40273148148</v>
      </c>
      <c r="D1606" s="2">
        <v>-14.0</v>
      </c>
      <c r="E1606" s="2"/>
      <c r="H1606" s="2" t="s">
        <v>571</v>
      </c>
    </row>
    <row r="1607" ht="15.75" customHeight="1">
      <c r="A1607" s="2" t="s">
        <v>2261</v>
      </c>
      <c r="B1607" s="2" t="s">
        <v>286</v>
      </c>
      <c r="C1607" s="6">
        <v>46119.40284722222</v>
      </c>
      <c r="D1607" s="2">
        <v>-6.0</v>
      </c>
      <c r="E1607" s="2"/>
      <c r="H1607" s="2" t="s">
        <v>571</v>
      </c>
    </row>
    <row r="1608" ht="15.75" customHeight="1">
      <c r="A1608" s="2" t="s">
        <v>2262</v>
      </c>
      <c r="B1608" s="2" t="s">
        <v>327</v>
      </c>
      <c r="C1608" s="6">
        <v>46119.402962962966</v>
      </c>
      <c r="D1608" s="2">
        <v>-14.0</v>
      </c>
      <c r="E1608" s="2"/>
      <c r="H1608" s="2" t="s">
        <v>571</v>
      </c>
    </row>
    <row r="1609" ht="15.75" customHeight="1">
      <c r="A1609" s="2" t="s">
        <v>2263</v>
      </c>
      <c r="B1609" s="2" t="s">
        <v>289</v>
      </c>
      <c r="C1609" s="6">
        <v>46119.403182870374</v>
      </c>
      <c r="D1609" s="2">
        <v>-14.0</v>
      </c>
      <c r="E1609" s="2"/>
      <c r="H1609" s="2" t="s">
        <v>571</v>
      </c>
    </row>
    <row r="1610" ht="15.75" customHeight="1">
      <c r="A1610" s="2" t="s">
        <v>2264</v>
      </c>
      <c r="B1610" s="5" t="s">
        <v>131</v>
      </c>
      <c r="C1610" s="6">
        <v>46119.40351851852</v>
      </c>
      <c r="D1610" s="2">
        <v>-2.0</v>
      </c>
      <c r="E1610" s="2"/>
      <c r="H1610" s="2" t="s">
        <v>571</v>
      </c>
    </row>
    <row r="1611" ht="15.75" customHeight="1">
      <c r="A1611" s="2" t="s">
        <v>2265</v>
      </c>
      <c r="B1611" s="5" t="s">
        <v>62</v>
      </c>
      <c r="C1611" s="6">
        <v>46119.40366898148</v>
      </c>
      <c r="D1611" s="2">
        <v>-7.0</v>
      </c>
      <c r="E1611" s="2"/>
      <c r="H1611" s="2" t="s">
        <v>571</v>
      </c>
    </row>
    <row r="1612" ht="15.75" customHeight="1">
      <c r="A1612" s="2" t="s">
        <v>2266</v>
      </c>
      <c r="B1612" s="5" t="s">
        <v>148</v>
      </c>
      <c r="C1612" s="6">
        <v>46119.4037962963</v>
      </c>
      <c r="D1612" s="2">
        <v>-5.0</v>
      </c>
      <c r="E1612" s="2"/>
      <c r="H1612" s="2" t="s">
        <v>571</v>
      </c>
    </row>
    <row r="1613" ht="15.75" customHeight="1">
      <c r="A1613" s="2" t="s">
        <v>2267</v>
      </c>
      <c r="B1613" s="5" t="s">
        <v>186</v>
      </c>
      <c r="C1613" s="6">
        <v>46119.40392361111</v>
      </c>
      <c r="D1613" s="2">
        <v>-7.0</v>
      </c>
      <c r="E1613" s="2"/>
      <c r="H1613" s="2" t="s">
        <v>571</v>
      </c>
    </row>
    <row r="1614" ht="15.75" customHeight="1">
      <c r="A1614" s="2" t="s">
        <v>2268</v>
      </c>
      <c r="B1614" s="5" t="s">
        <v>171</v>
      </c>
      <c r="C1614" s="6">
        <v>46119.40405092593</v>
      </c>
      <c r="D1614" s="2">
        <v>-6.0</v>
      </c>
      <c r="E1614" s="2"/>
      <c r="H1614" s="2" t="s">
        <v>571</v>
      </c>
    </row>
    <row r="1615" ht="15.75" customHeight="1">
      <c r="A1615" s="2" t="s">
        <v>2269</v>
      </c>
      <c r="B1615" s="2" t="s">
        <v>372</v>
      </c>
      <c r="C1615" s="6">
        <v>46119.40420138889</v>
      </c>
      <c r="D1615" s="2">
        <v>-14.0</v>
      </c>
      <c r="E1615" s="2"/>
      <c r="H1615" s="2" t="s">
        <v>571</v>
      </c>
    </row>
    <row r="1616" ht="15.75" customHeight="1">
      <c r="A1616" s="2" t="s">
        <v>2270</v>
      </c>
      <c r="B1616" s="5" t="s">
        <v>14</v>
      </c>
      <c r="C1616" s="6">
        <v>46119.40430555555</v>
      </c>
      <c r="D1616" s="2">
        <v>-10.0</v>
      </c>
      <c r="E1616" s="2"/>
      <c r="H1616" s="2" t="s">
        <v>571</v>
      </c>
    </row>
    <row r="1617" ht="15.75" customHeight="1">
      <c r="A1617" s="2" t="s">
        <v>2271</v>
      </c>
      <c r="B1617" s="2" t="s">
        <v>360</v>
      </c>
      <c r="C1617" s="6">
        <v>46119.40447916667</v>
      </c>
      <c r="D1617" s="2">
        <v>-16.0</v>
      </c>
      <c r="E1617" s="2"/>
      <c r="H1617" s="2" t="s">
        <v>571</v>
      </c>
    </row>
    <row r="1618" ht="15.75" customHeight="1">
      <c r="A1618" s="2" t="s">
        <v>2272</v>
      </c>
      <c r="B1618" s="2" t="s">
        <v>354</v>
      </c>
      <c r="C1618" s="6">
        <v>46119.404652777775</v>
      </c>
      <c r="D1618" s="2">
        <v>-8.0</v>
      </c>
      <c r="E1618" s="2"/>
      <c r="H1618" s="2" t="s">
        <v>571</v>
      </c>
    </row>
    <row r="1619" ht="15.75" customHeight="1">
      <c r="A1619" s="2" t="s">
        <v>2273</v>
      </c>
      <c r="B1619" s="2" t="s">
        <v>369</v>
      </c>
      <c r="C1619" s="6">
        <v>46119.40479166667</v>
      </c>
      <c r="D1619" s="2">
        <v>-6.0</v>
      </c>
      <c r="E1619" s="2"/>
      <c r="H1619" s="2" t="s">
        <v>571</v>
      </c>
    </row>
    <row r="1620" ht="15.75" customHeight="1">
      <c r="A1620" s="2" t="s">
        <v>2274</v>
      </c>
      <c r="B1620" s="5" t="s">
        <v>59</v>
      </c>
      <c r="C1620" s="6">
        <v>46119.40494212963</v>
      </c>
      <c r="D1620" s="2">
        <v>-3.0</v>
      </c>
      <c r="E1620" s="2"/>
      <c r="H1620" s="2" t="s">
        <v>571</v>
      </c>
    </row>
    <row r="1621" ht="15.75" customHeight="1">
      <c r="A1621" s="2" t="s">
        <v>2275</v>
      </c>
      <c r="B1621" s="5" t="s">
        <v>134</v>
      </c>
      <c r="C1621" s="6">
        <v>46119.405069444445</v>
      </c>
      <c r="D1621" s="2">
        <v>-7.0</v>
      </c>
      <c r="E1621" s="2"/>
      <c r="H1621" s="2" t="s">
        <v>571</v>
      </c>
    </row>
    <row r="1622" ht="15.75" customHeight="1">
      <c r="A1622" s="2" t="s">
        <v>2276</v>
      </c>
      <c r="B1622" s="5" t="s">
        <v>142</v>
      </c>
      <c r="C1622" s="6">
        <v>46119.40519675926</v>
      </c>
      <c r="D1622" s="2">
        <v>-13.0</v>
      </c>
      <c r="E1622" s="2"/>
      <c r="H1622" s="2" t="s">
        <v>571</v>
      </c>
    </row>
    <row r="1623" ht="15.75" customHeight="1">
      <c r="A1623" s="2" t="s">
        <v>2277</v>
      </c>
      <c r="B1623" s="5" t="s">
        <v>192</v>
      </c>
      <c r="C1623" s="6">
        <v>46119.4053587963</v>
      </c>
      <c r="D1623" s="2">
        <v>-9.0</v>
      </c>
      <c r="E1623" s="2"/>
      <c r="H1623" s="2" t="s">
        <v>571</v>
      </c>
    </row>
    <row r="1624" ht="15.75" customHeight="1">
      <c r="A1624" s="2" t="s">
        <v>2278</v>
      </c>
      <c r="B1624" s="5" t="s">
        <v>214</v>
      </c>
      <c r="C1624" s="6">
        <v>46119.40552083333</v>
      </c>
      <c r="D1624" s="2">
        <v>-48.0</v>
      </c>
      <c r="E1624" s="2"/>
      <c r="H1624" s="2" t="s">
        <v>571</v>
      </c>
    </row>
    <row r="1625" ht="15.75" customHeight="1">
      <c r="A1625" s="2" t="s">
        <v>2279</v>
      </c>
      <c r="B1625" s="5" t="s">
        <v>256</v>
      </c>
      <c r="C1625" s="6">
        <v>46119.7631712963</v>
      </c>
      <c r="D1625" s="2">
        <v>50.0</v>
      </c>
      <c r="E1625" s="2" t="s">
        <v>2280</v>
      </c>
      <c r="H1625" s="2" t="s">
        <v>571</v>
      </c>
    </row>
    <row r="1626" ht="15.75" customHeight="1">
      <c r="A1626" s="2" t="s">
        <v>2281</v>
      </c>
      <c r="B1626" s="5" t="s">
        <v>14</v>
      </c>
      <c r="C1626" s="6">
        <v>46119.95993055555</v>
      </c>
      <c r="D1626" s="2">
        <v>40.0</v>
      </c>
      <c r="E1626" s="2" t="s">
        <v>2282</v>
      </c>
      <c r="H1626" s="2" t="s">
        <v>571</v>
      </c>
    </row>
    <row r="1627" ht="15.75" customHeight="1">
      <c r="A1627" s="2" t="s">
        <v>2283</v>
      </c>
      <c r="B1627" s="2" t="s">
        <v>363</v>
      </c>
      <c r="C1627" s="6">
        <v>46119.960011574076</v>
      </c>
      <c r="D1627" s="2">
        <v>12.0</v>
      </c>
      <c r="E1627" s="2" t="s">
        <v>2282</v>
      </c>
      <c r="H1627" s="2" t="s">
        <v>571</v>
      </c>
    </row>
    <row r="1628" ht="15.75" customHeight="1">
      <c r="A1628" s="2" t="s">
        <v>2284</v>
      </c>
      <c r="B1628" s="5" t="s">
        <v>120</v>
      </c>
      <c r="C1628" s="6">
        <v>46119.96008101852</v>
      </c>
      <c r="D1628" s="2">
        <v>16.0</v>
      </c>
      <c r="E1628" s="2" t="s">
        <v>2282</v>
      </c>
      <c r="H1628" s="2" t="s">
        <v>571</v>
      </c>
    </row>
    <row r="1629" ht="15.75" customHeight="1">
      <c r="A1629" s="2" t="s">
        <v>2285</v>
      </c>
      <c r="B1629" s="2" t="s">
        <v>327</v>
      </c>
      <c r="C1629" s="6">
        <v>46120.39318287037</v>
      </c>
      <c r="D1629" s="2">
        <v>-23.0</v>
      </c>
      <c r="E1629" s="2"/>
      <c r="H1629" s="2" t="s">
        <v>571</v>
      </c>
    </row>
    <row r="1630" ht="15.75" customHeight="1">
      <c r="A1630" s="2" t="s">
        <v>2286</v>
      </c>
      <c r="B1630" s="5" t="s">
        <v>217</v>
      </c>
      <c r="C1630" s="6">
        <v>46120.39334490741</v>
      </c>
      <c r="D1630" s="2">
        <v>-14.0</v>
      </c>
      <c r="E1630" s="2"/>
      <c r="H1630" s="2" t="s">
        <v>571</v>
      </c>
    </row>
    <row r="1631" ht="15.75" customHeight="1">
      <c r="A1631" s="2" t="s">
        <v>2287</v>
      </c>
      <c r="B1631" s="2" t="s">
        <v>286</v>
      </c>
      <c r="C1631" s="6">
        <v>46120.39341435185</v>
      </c>
      <c r="D1631" s="2">
        <v>-6.0</v>
      </c>
      <c r="E1631" s="2"/>
      <c r="H1631" s="2" t="s">
        <v>571</v>
      </c>
    </row>
    <row r="1632" ht="15.75" customHeight="1">
      <c r="A1632" s="2" t="s">
        <v>2288</v>
      </c>
      <c r="B1632" s="5" t="s">
        <v>134</v>
      </c>
      <c r="C1632" s="6">
        <v>46120.3940625</v>
      </c>
      <c r="D1632" s="2">
        <v>-22.0</v>
      </c>
      <c r="E1632" s="2"/>
      <c r="H1632" s="2" t="s">
        <v>571</v>
      </c>
    </row>
    <row r="1633" ht="15.75" customHeight="1">
      <c r="A1633" s="2" t="s">
        <v>2289</v>
      </c>
      <c r="B1633" s="2" t="s">
        <v>351</v>
      </c>
      <c r="C1633" s="6">
        <v>46120.39418981481</v>
      </c>
      <c r="D1633" s="2">
        <v>-13.0</v>
      </c>
      <c r="E1633" s="2"/>
      <c r="H1633" s="2" t="s">
        <v>571</v>
      </c>
    </row>
    <row r="1634" ht="15.75" customHeight="1">
      <c r="A1634" s="2" t="s">
        <v>2290</v>
      </c>
      <c r="B1634" s="2" t="s">
        <v>289</v>
      </c>
      <c r="C1634" s="6">
        <v>46120.39474537037</v>
      </c>
      <c r="D1634" s="2">
        <v>-17.0</v>
      </c>
      <c r="E1634" s="2"/>
      <c r="H1634" s="2" t="s">
        <v>571</v>
      </c>
    </row>
    <row r="1635" ht="15.75" customHeight="1">
      <c r="A1635" s="2" t="s">
        <v>2291</v>
      </c>
      <c r="B1635" s="5" t="s">
        <v>120</v>
      </c>
      <c r="C1635" s="6">
        <v>46120.39494212963</v>
      </c>
      <c r="D1635" s="2">
        <v>-6.0</v>
      </c>
      <c r="E1635" s="2"/>
      <c r="H1635" s="2" t="s">
        <v>571</v>
      </c>
    </row>
    <row r="1636" ht="15.75" customHeight="1">
      <c r="A1636" s="2" t="s">
        <v>2292</v>
      </c>
      <c r="B1636" s="5" t="s">
        <v>165</v>
      </c>
      <c r="C1636" s="6">
        <v>46120.39524305556</v>
      </c>
      <c r="D1636" s="2">
        <v>-10.0</v>
      </c>
      <c r="E1636" s="2"/>
      <c r="H1636" s="2" t="s">
        <v>571</v>
      </c>
    </row>
    <row r="1637" ht="15.75" customHeight="1">
      <c r="A1637" s="2" t="s">
        <v>2293</v>
      </c>
      <c r="B1637" s="2" t="s">
        <v>402</v>
      </c>
      <c r="C1637" s="6">
        <v>46120.39538194444</v>
      </c>
      <c r="D1637" s="2">
        <v>-3.0</v>
      </c>
      <c r="E1637" s="2"/>
      <c r="H1637" s="2" t="s">
        <v>571</v>
      </c>
    </row>
    <row r="1638" ht="15.75" customHeight="1">
      <c r="A1638" s="2" t="s">
        <v>2294</v>
      </c>
      <c r="B1638" s="2" t="s">
        <v>369</v>
      </c>
      <c r="C1638" s="6">
        <v>46120.395520833335</v>
      </c>
      <c r="D1638" s="2">
        <v>-19.0</v>
      </c>
      <c r="E1638" s="2"/>
      <c r="H1638" s="2" t="s">
        <v>571</v>
      </c>
    </row>
    <row r="1639" ht="15.75" customHeight="1">
      <c r="A1639" s="2" t="s">
        <v>2295</v>
      </c>
      <c r="B1639" s="5" t="s">
        <v>214</v>
      </c>
      <c r="C1639" s="6">
        <v>46120.39587962963</v>
      </c>
      <c r="D1639" s="2">
        <v>-48.0</v>
      </c>
      <c r="E1639" s="2"/>
      <c r="H1639" s="2" t="s">
        <v>571</v>
      </c>
    </row>
    <row r="1640" ht="15.75" customHeight="1">
      <c r="A1640" s="2" t="s">
        <v>2296</v>
      </c>
      <c r="B1640" s="5" t="s">
        <v>192</v>
      </c>
      <c r="C1640" s="6">
        <v>46120.39637731481</v>
      </c>
      <c r="D1640" s="2">
        <v>-6.0</v>
      </c>
      <c r="E1640" s="2"/>
      <c r="H1640" s="2" t="s">
        <v>571</v>
      </c>
    </row>
    <row r="1641" ht="15.75" customHeight="1">
      <c r="A1641" s="2" t="s">
        <v>2297</v>
      </c>
      <c r="B1641" s="2" t="s">
        <v>304</v>
      </c>
      <c r="C1641" s="6">
        <v>46120.39650462963</v>
      </c>
      <c r="D1641" s="2">
        <v>-10.0</v>
      </c>
      <c r="E1641" s="2"/>
      <c r="H1641" s="2" t="s">
        <v>571</v>
      </c>
    </row>
    <row r="1642" ht="15.75" customHeight="1">
      <c r="A1642" s="2" t="s">
        <v>2298</v>
      </c>
      <c r="B1642" s="2" t="s">
        <v>342</v>
      </c>
      <c r="C1642" s="6">
        <v>46120.39664351852</v>
      </c>
      <c r="D1642" s="2">
        <v>-6.0</v>
      </c>
      <c r="E1642" s="2"/>
      <c r="H1642" s="2" t="s">
        <v>571</v>
      </c>
    </row>
    <row r="1643" ht="15.75" customHeight="1">
      <c r="A1643" s="2" t="s">
        <v>2299</v>
      </c>
      <c r="B1643" s="2" t="s">
        <v>289</v>
      </c>
      <c r="C1643" s="6">
        <v>46120.39701388889</v>
      </c>
      <c r="D1643" s="2">
        <v>-7.0</v>
      </c>
      <c r="E1643" s="2"/>
      <c r="H1643" s="2" t="s">
        <v>571</v>
      </c>
    </row>
    <row r="1644" ht="15.75" customHeight="1">
      <c r="A1644" s="2" t="s">
        <v>2300</v>
      </c>
      <c r="B1644" s="2" t="s">
        <v>342</v>
      </c>
      <c r="C1644" s="6">
        <v>46120.39724537037</v>
      </c>
      <c r="D1644" s="2">
        <v>-5.0</v>
      </c>
      <c r="E1644" s="2"/>
      <c r="H1644" s="2" t="s">
        <v>571</v>
      </c>
    </row>
    <row r="1645" ht="15.75" customHeight="1">
      <c r="A1645" s="2" t="s">
        <v>2301</v>
      </c>
      <c r="B1645" s="2" t="s">
        <v>271</v>
      </c>
      <c r="C1645" s="6">
        <v>46120.39739583333</v>
      </c>
      <c r="D1645" s="2">
        <v>-5.0</v>
      </c>
      <c r="E1645" s="2"/>
      <c r="H1645" s="2" t="s">
        <v>571</v>
      </c>
    </row>
    <row r="1646" ht="15.75" customHeight="1">
      <c r="A1646" s="2" t="s">
        <v>2302</v>
      </c>
      <c r="B1646" s="2" t="s">
        <v>363</v>
      </c>
      <c r="C1646" s="6">
        <v>46120.39796296296</v>
      </c>
      <c r="D1646" s="2">
        <v>-12.0</v>
      </c>
      <c r="E1646" s="2"/>
      <c r="H1646" s="2" t="s">
        <v>571</v>
      </c>
    </row>
    <row r="1647" ht="15.75" customHeight="1">
      <c r="A1647" s="2" t="s">
        <v>2303</v>
      </c>
      <c r="B1647" s="2" t="s">
        <v>289</v>
      </c>
      <c r="C1647" s="6">
        <v>46120.54802083333</v>
      </c>
      <c r="D1647" s="2">
        <v>-4.0</v>
      </c>
      <c r="E1647" s="2"/>
      <c r="H1647" s="2" t="s">
        <v>599</v>
      </c>
    </row>
    <row r="1648" ht="15.75" customHeight="1">
      <c r="A1648" s="2" t="s">
        <v>2304</v>
      </c>
      <c r="B1648" s="5" t="s">
        <v>217</v>
      </c>
      <c r="C1648" s="6">
        <v>46120.54814814815</v>
      </c>
      <c r="D1648" s="2">
        <v>-12.0</v>
      </c>
      <c r="E1648" s="2"/>
      <c r="H1648" s="2" t="s">
        <v>599</v>
      </c>
    </row>
    <row r="1649" ht="15.75" customHeight="1">
      <c r="A1649" s="2" t="s">
        <v>2305</v>
      </c>
      <c r="B1649" s="2" t="s">
        <v>286</v>
      </c>
      <c r="C1649" s="6">
        <v>46120.54834490741</v>
      </c>
      <c r="D1649" s="2">
        <v>-15.0</v>
      </c>
      <c r="E1649" s="2"/>
      <c r="H1649" s="2" t="s">
        <v>599</v>
      </c>
    </row>
    <row r="1650" ht="15.75" customHeight="1">
      <c r="A1650" s="2" t="s">
        <v>2306</v>
      </c>
      <c r="B1650" s="2" t="s">
        <v>286</v>
      </c>
      <c r="C1650" s="6">
        <v>46120.54846064815</v>
      </c>
      <c r="D1650" s="2">
        <v>-7.0</v>
      </c>
      <c r="E1650" s="2"/>
      <c r="H1650" s="2" t="s">
        <v>599</v>
      </c>
    </row>
    <row r="1651" ht="15.75" customHeight="1">
      <c r="A1651" s="2" t="s">
        <v>2307</v>
      </c>
      <c r="B1651" s="2" t="s">
        <v>286</v>
      </c>
      <c r="C1651" s="6">
        <v>46120.54855324074</v>
      </c>
      <c r="D1651" s="2">
        <v>-5.0</v>
      </c>
      <c r="E1651" s="2"/>
      <c r="H1651" s="2" t="s">
        <v>599</v>
      </c>
    </row>
    <row r="1652" ht="15.75" customHeight="1">
      <c r="A1652" s="2" t="s">
        <v>2308</v>
      </c>
      <c r="B1652" s="5" t="s">
        <v>171</v>
      </c>
      <c r="C1652" s="6">
        <v>46120.550046296295</v>
      </c>
      <c r="D1652" s="2">
        <v>-10.0</v>
      </c>
      <c r="E1652" s="2"/>
      <c r="H1652" s="2" t="s">
        <v>599</v>
      </c>
    </row>
    <row r="1653" ht="15.75" customHeight="1">
      <c r="A1653" s="2" t="s">
        <v>2309</v>
      </c>
      <c r="B1653" s="2" t="s">
        <v>375</v>
      </c>
      <c r="C1653" s="6">
        <v>46120.55065972222</v>
      </c>
      <c r="D1653" s="2">
        <v>-3.0</v>
      </c>
      <c r="E1653" s="2"/>
      <c r="H1653" s="2" t="s">
        <v>599</v>
      </c>
    </row>
    <row r="1654" ht="15.75" customHeight="1">
      <c r="A1654" s="2" t="s">
        <v>2310</v>
      </c>
      <c r="B1654" s="2" t="s">
        <v>372</v>
      </c>
      <c r="C1654" s="6">
        <v>46120.550787037035</v>
      </c>
      <c r="D1654" s="2">
        <v>-2.0</v>
      </c>
      <c r="E1654" s="2"/>
      <c r="H1654" s="2" t="s">
        <v>599</v>
      </c>
    </row>
    <row r="1655" ht="15.75" customHeight="1">
      <c r="A1655" s="2" t="s">
        <v>2311</v>
      </c>
      <c r="B1655" s="2" t="s">
        <v>295</v>
      </c>
      <c r="C1655" s="6">
        <v>46120.551030092596</v>
      </c>
      <c r="D1655" s="2">
        <v>-12.0</v>
      </c>
      <c r="E1655" s="2"/>
      <c r="H1655" s="2" t="s">
        <v>599</v>
      </c>
    </row>
    <row r="1656" ht="15.75" customHeight="1">
      <c r="A1656" s="2" t="s">
        <v>2312</v>
      </c>
      <c r="B1656" s="5" t="s">
        <v>96</v>
      </c>
      <c r="C1656" s="6">
        <v>46120.55175925926</v>
      </c>
      <c r="D1656" s="2">
        <v>-7.0</v>
      </c>
      <c r="E1656" s="2"/>
      <c r="H1656" s="2" t="s">
        <v>599</v>
      </c>
    </row>
    <row r="1657" ht="15.75" customHeight="1">
      <c r="A1657" s="2" t="s">
        <v>2313</v>
      </c>
      <c r="B1657" s="5" t="s">
        <v>142</v>
      </c>
      <c r="C1657" s="6">
        <v>46120.552094907405</v>
      </c>
      <c r="D1657" s="2">
        <v>-15.0</v>
      </c>
      <c r="E1657" s="2"/>
      <c r="H1657" s="2" t="s">
        <v>599</v>
      </c>
    </row>
    <row r="1658" ht="15.75" customHeight="1">
      <c r="A1658" s="2" t="s">
        <v>2314</v>
      </c>
      <c r="B1658" s="5" t="s">
        <v>192</v>
      </c>
      <c r="C1658" s="6">
        <v>46120.552708333336</v>
      </c>
      <c r="D1658" s="2">
        <v>-13.0</v>
      </c>
      <c r="E1658" s="2"/>
      <c r="H1658" s="2" t="s">
        <v>599</v>
      </c>
    </row>
    <row r="1659" ht="15.75" customHeight="1">
      <c r="A1659" s="7" t="s">
        <v>2315</v>
      </c>
      <c r="B1659" s="2" t="s">
        <v>313</v>
      </c>
      <c r="C1659" s="6">
        <v>46120.55354166667</v>
      </c>
      <c r="D1659" s="2">
        <v>-2.0</v>
      </c>
      <c r="E1659" s="2"/>
      <c r="H1659" s="2" t="s">
        <v>599</v>
      </c>
    </row>
    <row r="1660" ht="15.75" customHeight="1">
      <c r="A1660" s="2" t="s">
        <v>2316</v>
      </c>
      <c r="B1660" s="5" t="s">
        <v>214</v>
      </c>
      <c r="C1660" s="6">
        <v>46120.55391203704</v>
      </c>
      <c r="D1660" s="2">
        <v>-60.0</v>
      </c>
      <c r="E1660" s="2"/>
      <c r="H1660" s="2" t="s">
        <v>599</v>
      </c>
    </row>
    <row r="1661" ht="15.75" customHeight="1">
      <c r="A1661" s="2" t="s">
        <v>2317</v>
      </c>
      <c r="B1661" s="5" t="s">
        <v>165</v>
      </c>
      <c r="C1661" s="6">
        <v>46120.555752314816</v>
      </c>
      <c r="D1661" s="2">
        <v>-6.0</v>
      </c>
      <c r="E1661" s="2"/>
      <c r="H1661" s="2" t="s">
        <v>599</v>
      </c>
    </row>
    <row r="1662" ht="15.75" customHeight="1">
      <c r="A1662" s="2" t="s">
        <v>2318</v>
      </c>
      <c r="B1662" s="2" t="s">
        <v>396</v>
      </c>
      <c r="C1662" s="6">
        <v>46120.55648148148</v>
      </c>
      <c r="D1662" s="2">
        <v>-7.0</v>
      </c>
      <c r="E1662" s="2"/>
      <c r="H1662" s="2" t="s">
        <v>599</v>
      </c>
    </row>
    <row r="1663" ht="15.75" customHeight="1">
      <c r="A1663" s="2" t="s">
        <v>2319</v>
      </c>
      <c r="B1663" s="2" t="s">
        <v>369</v>
      </c>
      <c r="C1663" s="6">
        <v>46120.65825231482</v>
      </c>
      <c r="D1663" s="2">
        <v>24.0</v>
      </c>
      <c r="E1663" s="2" t="s">
        <v>2320</v>
      </c>
      <c r="H1663" s="2" t="s">
        <v>599</v>
      </c>
    </row>
    <row r="1664" ht="15.75" customHeight="1">
      <c r="A1664" s="2" t="s">
        <v>2321</v>
      </c>
      <c r="B1664" s="2" t="s">
        <v>369</v>
      </c>
      <c r="C1664" s="6">
        <v>46120.65834490741</v>
      </c>
      <c r="D1664" s="2">
        <v>-12.0</v>
      </c>
      <c r="E1664" s="2"/>
      <c r="H1664" s="2" t="s">
        <v>599</v>
      </c>
    </row>
    <row r="1665" ht="15.75" customHeight="1">
      <c r="A1665" s="2" t="s">
        <v>2322</v>
      </c>
      <c r="B1665" s="2" t="s">
        <v>324</v>
      </c>
      <c r="C1665" s="6">
        <v>46120.78512731481</v>
      </c>
      <c r="D1665" s="2">
        <v>-4.0</v>
      </c>
      <c r="E1665" s="2"/>
      <c r="H1665" s="2" t="s">
        <v>571</v>
      </c>
    </row>
    <row r="1666" ht="15.75" customHeight="1">
      <c r="A1666" s="2" t="s">
        <v>2323</v>
      </c>
      <c r="B1666" s="2" t="s">
        <v>304</v>
      </c>
      <c r="C1666" s="6">
        <v>46120.81489583333</v>
      </c>
      <c r="D1666" s="2">
        <v>6.0</v>
      </c>
      <c r="E1666" s="2"/>
      <c r="H1666" s="2" t="s">
        <v>571</v>
      </c>
    </row>
    <row r="1667" ht="15.75" customHeight="1">
      <c r="A1667" s="2" t="s">
        <v>2324</v>
      </c>
      <c r="B1667" s="5" t="s">
        <v>59</v>
      </c>
      <c r="C1667" s="6">
        <v>46120.815046296295</v>
      </c>
      <c r="D1667" s="2">
        <v>15.0</v>
      </c>
      <c r="E1667" s="2"/>
      <c r="H1667" s="2" t="s">
        <v>571</v>
      </c>
    </row>
    <row r="1668" ht="15.75" customHeight="1">
      <c r="A1668" s="2" t="s">
        <v>2325</v>
      </c>
      <c r="B1668" s="5" t="s">
        <v>134</v>
      </c>
      <c r="C1668" s="6">
        <v>46120.81532407407</v>
      </c>
      <c r="D1668" s="2">
        <v>-13.0</v>
      </c>
      <c r="E1668" s="2"/>
      <c r="H1668" s="2" t="s">
        <v>571</v>
      </c>
    </row>
    <row r="1669" ht="15.75" customHeight="1">
      <c r="A1669" s="2" t="s">
        <v>2326</v>
      </c>
      <c r="B1669" s="2" t="s">
        <v>360</v>
      </c>
      <c r="C1669" s="6">
        <v>46120.815787037034</v>
      </c>
      <c r="D1669" s="2">
        <v>-29.0</v>
      </c>
      <c r="E1669" s="2"/>
      <c r="H1669" s="2" t="s">
        <v>571</v>
      </c>
    </row>
    <row r="1670" ht="15.75" customHeight="1">
      <c r="A1670" s="2" t="s">
        <v>2327</v>
      </c>
      <c r="B1670" s="5" t="s">
        <v>14</v>
      </c>
      <c r="C1670" s="6">
        <v>46120.81690972222</v>
      </c>
      <c r="D1670" s="2">
        <v>-40.0</v>
      </c>
      <c r="E1670" s="2"/>
      <c r="H1670" s="2" t="s">
        <v>571</v>
      </c>
    </row>
    <row r="1671" ht="15.75" customHeight="1">
      <c r="A1671" s="2" t="s">
        <v>2328</v>
      </c>
      <c r="B1671" s="5" t="s">
        <v>96</v>
      </c>
      <c r="C1671" s="6">
        <v>46121.50983796296</v>
      </c>
      <c r="D1671" s="2">
        <v>24.0</v>
      </c>
      <c r="E1671" s="2" t="s">
        <v>2329</v>
      </c>
      <c r="H1671" s="2" t="s">
        <v>571</v>
      </c>
    </row>
    <row r="1672" ht="15.75" customHeight="1">
      <c r="A1672" s="2" t="s">
        <v>2330</v>
      </c>
      <c r="B1672" s="2" t="s">
        <v>369</v>
      </c>
      <c r="C1672" s="6">
        <v>46121.66375</v>
      </c>
      <c r="D1672" s="2">
        <v>60.0</v>
      </c>
      <c r="E1672" s="2" t="s">
        <v>2329</v>
      </c>
      <c r="H1672" s="2" t="s">
        <v>571</v>
      </c>
    </row>
    <row r="1673" ht="15.75" customHeight="1">
      <c r="A1673" s="2" t="s">
        <v>2331</v>
      </c>
      <c r="B1673" s="5" t="s">
        <v>59</v>
      </c>
      <c r="C1673" s="6">
        <v>46121.6637962963</v>
      </c>
      <c r="D1673" s="2">
        <v>27.0</v>
      </c>
      <c r="E1673" s="2" t="s">
        <v>2329</v>
      </c>
      <c r="H1673" s="2" t="s">
        <v>571</v>
      </c>
    </row>
    <row r="1674" ht="15.75" customHeight="1">
      <c r="A1674" s="2" t="s">
        <v>2332</v>
      </c>
      <c r="B1674" s="5" t="s">
        <v>134</v>
      </c>
      <c r="C1674" s="6">
        <v>46121.66385416667</v>
      </c>
      <c r="D1674" s="2">
        <v>54.0</v>
      </c>
      <c r="E1674" s="2" t="s">
        <v>2329</v>
      </c>
      <c r="H1674" s="2" t="s">
        <v>571</v>
      </c>
    </row>
    <row r="1675" ht="15.75" customHeight="1">
      <c r="A1675" s="2" t="s">
        <v>2333</v>
      </c>
      <c r="B1675" s="5" t="s">
        <v>217</v>
      </c>
      <c r="C1675" s="6">
        <v>46121.67388888889</v>
      </c>
      <c r="D1675" s="2">
        <v>-20.0</v>
      </c>
      <c r="E1675" s="2"/>
      <c r="H1675" s="2" t="s">
        <v>599</v>
      </c>
    </row>
    <row r="1676" ht="15.75" customHeight="1">
      <c r="A1676" s="2" t="s">
        <v>2334</v>
      </c>
      <c r="B1676" s="2" t="s">
        <v>286</v>
      </c>
      <c r="C1676" s="6">
        <v>46121.6740162037</v>
      </c>
      <c r="D1676" s="2">
        <v>-3.0</v>
      </c>
      <c r="E1676" s="2"/>
      <c r="H1676" s="2" t="s">
        <v>599</v>
      </c>
    </row>
    <row r="1677" ht="15.75" customHeight="1">
      <c r="A1677" s="2" t="s">
        <v>2335</v>
      </c>
      <c r="B1677" s="2" t="s">
        <v>289</v>
      </c>
      <c r="C1677" s="6">
        <v>46121.674212962964</v>
      </c>
      <c r="D1677" s="2">
        <v>-21.0</v>
      </c>
      <c r="E1677" s="2"/>
      <c r="H1677" s="2" t="s">
        <v>599</v>
      </c>
    </row>
    <row r="1678" ht="15.75" customHeight="1">
      <c r="A1678" s="2" t="s">
        <v>2336</v>
      </c>
      <c r="B1678" s="5" t="s">
        <v>171</v>
      </c>
      <c r="C1678" s="6">
        <v>46121.675578703704</v>
      </c>
      <c r="D1678" s="2">
        <v>-6.0</v>
      </c>
      <c r="E1678" s="2"/>
      <c r="H1678" s="2" t="s">
        <v>599</v>
      </c>
    </row>
    <row r="1679" ht="15.75" customHeight="1">
      <c r="A1679" s="2" t="s">
        <v>2337</v>
      </c>
      <c r="B1679" s="2" t="s">
        <v>375</v>
      </c>
      <c r="C1679" s="6">
        <v>46121.676724537036</v>
      </c>
      <c r="D1679" s="2">
        <v>-9.0</v>
      </c>
      <c r="E1679" s="2"/>
      <c r="H1679" s="2" t="s">
        <v>599</v>
      </c>
    </row>
    <row r="1680" ht="15.75" customHeight="1">
      <c r="A1680" s="2" t="s">
        <v>2338</v>
      </c>
      <c r="B1680" s="2" t="s">
        <v>372</v>
      </c>
      <c r="C1680" s="6">
        <v>46121.676828703705</v>
      </c>
      <c r="D1680" s="2">
        <v>-20.0</v>
      </c>
      <c r="E1680" s="2"/>
      <c r="H1680" s="2" t="s">
        <v>599</v>
      </c>
    </row>
    <row r="1681" ht="15.75" customHeight="1">
      <c r="A1681" s="2" t="s">
        <v>2339</v>
      </c>
      <c r="B1681" s="5" t="s">
        <v>14</v>
      </c>
      <c r="C1681" s="6">
        <v>46121.67699074074</v>
      </c>
      <c r="D1681" s="2">
        <v>-16.0</v>
      </c>
      <c r="E1681" s="2"/>
      <c r="H1681" s="2" t="s">
        <v>599</v>
      </c>
    </row>
    <row r="1682" ht="15.75" customHeight="1">
      <c r="A1682" s="2" t="s">
        <v>2340</v>
      </c>
      <c r="B1682" s="2" t="s">
        <v>295</v>
      </c>
      <c r="C1682" s="6">
        <v>46121.67760416667</v>
      </c>
      <c r="D1682" s="2">
        <v>-19.0</v>
      </c>
      <c r="E1682" s="2"/>
      <c r="H1682" s="2" t="s">
        <v>599</v>
      </c>
    </row>
    <row r="1683" ht="15.75" customHeight="1">
      <c r="A1683" s="2" t="s">
        <v>2341</v>
      </c>
      <c r="B1683" s="2" t="s">
        <v>369</v>
      </c>
      <c r="C1683" s="6">
        <v>46121.67835648148</v>
      </c>
      <c r="D1683" s="2">
        <v>-12.0</v>
      </c>
      <c r="E1683" s="2"/>
      <c r="H1683" s="2" t="s">
        <v>599</v>
      </c>
    </row>
    <row r="1684" ht="15.75" customHeight="1">
      <c r="A1684" s="2" t="s">
        <v>2342</v>
      </c>
      <c r="B1684" s="5" t="s">
        <v>96</v>
      </c>
      <c r="C1684" s="6">
        <v>46121.67849537037</v>
      </c>
      <c r="D1684" s="2">
        <v>-8.0</v>
      </c>
      <c r="E1684" s="2"/>
      <c r="H1684" s="2" t="s">
        <v>599</v>
      </c>
    </row>
    <row r="1685" ht="15.75" customHeight="1">
      <c r="A1685" s="2" t="s">
        <v>2343</v>
      </c>
      <c r="B1685" s="2" t="s">
        <v>342</v>
      </c>
      <c r="C1685" s="6">
        <v>46121.67891203704</v>
      </c>
      <c r="D1685" s="2">
        <v>-4.0</v>
      </c>
      <c r="E1685" s="2"/>
      <c r="H1685" s="2" t="s">
        <v>599</v>
      </c>
    </row>
    <row r="1686" ht="15.75" customHeight="1">
      <c r="A1686" s="2" t="s">
        <v>2344</v>
      </c>
      <c r="B1686" s="5" t="s">
        <v>134</v>
      </c>
      <c r="C1686" s="6">
        <v>46121.67915509259</v>
      </c>
      <c r="D1686" s="2">
        <v>-9.0</v>
      </c>
      <c r="E1686" s="2"/>
      <c r="H1686" s="2" t="s">
        <v>599</v>
      </c>
    </row>
    <row r="1687" ht="15.75" customHeight="1">
      <c r="A1687" s="2" t="s">
        <v>2345</v>
      </c>
      <c r="B1687" s="5" t="s">
        <v>214</v>
      </c>
      <c r="C1687" s="6">
        <v>46121.67967592592</v>
      </c>
      <c r="D1687" s="2">
        <v>-51.0</v>
      </c>
      <c r="E1687" s="2"/>
      <c r="H1687" s="2" t="s">
        <v>599</v>
      </c>
    </row>
    <row r="1688" ht="15.75" customHeight="1">
      <c r="A1688" s="2" t="s">
        <v>2346</v>
      </c>
      <c r="B1688" s="5" t="s">
        <v>214</v>
      </c>
      <c r="C1688" s="6">
        <v>46121.68009259259</v>
      </c>
      <c r="D1688" s="2">
        <v>-1.0</v>
      </c>
      <c r="E1688" s="2"/>
      <c r="H1688" s="2" t="s">
        <v>599</v>
      </c>
    </row>
    <row r="1689" ht="15.75" customHeight="1">
      <c r="A1689" s="2" t="s">
        <v>2347</v>
      </c>
      <c r="B1689" s="5" t="s">
        <v>192</v>
      </c>
      <c r="C1689" s="6">
        <v>46121.680300925924</v>
      </c>
      <c r="D1689" s="2">
        <v>-13.0</v>
      </c>
      <c r="E1689" s="2"/>
      <c r="H1689" s="2" t="s">
        <v>599</v>
      </c>
    </row>
    <row r="1690" ht="15.75" customHeight="1">
      <c r="A1690" s="2" t="s">
        <v>2348</v>
      </c>
      <c r="B1690" s="5" t="s">
        <v>82</v>
      </c>
      <c r="C1690" s="6">
        <v>46121.680810185186</v>
      </c>
      <c r="D1690" s="2">
        <v>-4.0</v>
      </c>
      <c r="E1690" s="2"/>
      <c r="H1690" s="2" t="s">
        <v>599</v>
      </c>
    </row>
    <row r="1691" ht="15.75" customHeight="1">
      <c r="A1691" s="2" t="s">
        <v>2349</v>
      </c>
      <c r="B1691" s="5" t="s">
        <v>142</v>
      </c>
      <c r="C1691" s="6">
        <v>46121.68125</v>
      </c>
      <c r="D1691" s="2">
        <v>-6.0</v>
      </c>
      <c r="E1691" s="2"/>
      <c r="H1691" s="2" t="s">
        <v>599</v>
      </c>
    </row>
    <row r="1692" ht="15.75" customHeight="1">
      <c r="A1692" s="2" t="s">
        <v>2350</v>
      </c>
      <c r="B1692" s="2" t="s">
        <v>313</v>
      </c>
      <c r="C1692" s="6">
        <v>46121.68158564815</v>
      </c>
      <c r="D1692" s="2">
        <v>-4.0</v>
      </c>
      <c r="E1692" s="2"/>
      <c r="H1692" s="2" t="s">
        <v>599</v>
      </c>
    </row>
    <row r="1693" ht="15.75" customHeight="1">
      <c r="A1693" s="2" t="s">
        <v>2351</v>
      </c>
      <c r="B1693" s="2" t="s">
        <v>289</v>
      </c>
      <c r="C1693" s="6">
        <v>46121.69094907407</v>
      </c>
      <c r="D1693" s="2">
        <v>-20.0</v>
      </c>
      <c r="E1693" s="2"/>
      <c r="H1693" s="2" t="s">
        <v>571</v>
      </c>
    </row>
    <row r="1694" ht="15.75" customHeight="1">
      <c r="A1694" s="2" t="s">
        <v>2352</v>
      </c>
      <c r="B1694" s="2" t="s">
        <v>286</v>
      </c>
      <c r="C1694" s="6">
        <v>46121.69119212963</v>
      </c>
      <c r="D1694" s="2">
        <v>-5.0</v>
      </c>
      <c r="E1694" s="2"/>
      <c r="H1694" s="2" t="s">
        <v>571</v>
      </c>
    </row>
    <row r="1695" ht="15.75" customHeight="1">
      <c r="A1695" s="2" t="s">
        <v>2353</v>
      </c>
      <c r="B1695" s="5" t="s">
        <v>217</v>
      </c>
      <c r="C1695" s="6">
        <v>46121.69131944444</v>
      </c>
      <c r="D1695" s="2">
        <v>-12.0</v>
      </c>
      <c r="E1695" s="2"/>
      <c r="H1695" s="2" t="s">
        <v>571</v>
      </c>
    </row>
    <row r="1696" ht="15.75" customHeight="1">
      <c r="A1696" s="2" t="s">
        <v>2354</v>
      </c>
      <c r="B1696" s="5" t="s">
        <v>120</v>
      </c>
      <c r="C1696" s="6">
        <v>46121.69148148148</v>
      </c>
      <c r="D1696" s="2">
        <v>-2.0</v>
      </c>
      <c r="E1696" s="2"/>
      <c r="H1696" s="2" t="s">
        <v>571</v>
      </c>
    </row>
    <row r="1697" ht="15.75" customHeight="1">
      <c r="A1697" s="2" t="s">
        <v>2355</v>
      </c>
      <c r="B1697" s="5" t="s">
        <v>131</v>
      </c>
      <c r="C1697" s="6">
        <v>46121.691608796296</v>
      </c>
      <c r="D1697" s="2">
        <v>-6.0</v>
      </c>
      <c r="E1697" s="2"/>
      <c r="H1697" s="2" t="s">
        <v>571</v>
      </c>
    </row>
    <row r="1698" ht="15.75" customHeight="1">
      <c r="A1698" s="2" t="s">
        <v>2356</v>
      </c>
      <c r="B1698" s="2" t="s">
        <v>369</v>
      </c>
      <c r="C1698" s="6">
        <v>46121.691828703704</v>
      </c>
      <c r="D1698" s="2">
        <v>-10.0</v>
      </c>
      <c r="E1698" s="2"/>
      <c r="H1698" s="2" t="s">
        <v>571</v>
      </c>
    </row>
    <row r="1699" ht="15.75" customHeight="1">
      <c r="A1699" s="2" t="s">
        <v>2357</v>
      </c>
      <c r="B1699" s="2" t="s">
        <v>342</v>
      </c>
      <c r="C1699" s="6">
        <v>46121.69207175926</v>
      </c>
      <c r="D1699" s="2">
        <v>-1.0</v>
      </c>
      <c r="E1699" s="2"/>
      <c r="H1699" s="2" t="s">
        <v>571</v>
      </c>
    </row>
    <row r="1700" ht="15.75" customHeight="1">
      <c r="A1700" s="2" t="s">
        <v>2358</v>
      </c>
      <c r="B1700" s="5" t="s">
        <v>96</v>
      </c>
      <c r="C1700" s="6">
        <v>46121.69298611111</v>
      </c>
      <c r="D1700" s="2">
        <v>-3.0</v>
      </c>
      <c r="E1700" s="2"/>
      <c r="H1700" s="2" t="s">
        <v>571</v>
      </c>
    </row>
    <row r="1701" ht="15.75" customHeight="1">
      <c r="A1701" s="2" t="s">
        <v>2359</v>
      </c>
      <c r="B1701" s="5" t="s">
        <v>142</v>
      </c>
      <c r="C1701" s="6">
        <v>46121.693090277775</v>
      </c>
      <c r="D1701" s="2">
        <v>-3.0</v>
      </c>
      <c r="E1701" s="2"/>
      <c r="H1701" s="2" t="s">
        <v>571</v>
      </c>
    </row>
    <row r="1702" ht="15.75" customHeight="1">
      <c r="A1702" s="2" t="s">
        <v>2360</v>
      </c>
      <c r="B1702" s="2" t="s">
        <v>313</v>
      </c>
      <c r="C1702" s="6">
        <v>46121.69322916667</v>
      </c>
      <c r="D1702" s="2">
        <v>-4.0</v>
      </c>
      <c r="E1702" s="2"/>
      <c r="H1702" s="2" t="s">
        <v>571</v>
      </c>
    </row>
    <row r="1703" ht="15.75" customHeight="1">
      <c r="A1703" s="2" t="s">
        <v>2361</v>
      </c>
      <c r="B1703" s="5" t="s">
        <v>206</v>
      </c>
      <c r="C1703" s="6">
        <v>46121.693333333336</v>
      </c>
      <c r="D1703" s="2">
        <v>-8.0</v>
      </c>
      <c r="E1703" s="2"/>
      <c r="H1703" s="2" t="s">
        <v>571</v>
      </c>
    </row>
    <row r="1704" ht="15.75" customHeight="1">
      <c r="A1704" s="2" t="s">
        <v>2362</v>
      </c>
      <c r="B1704" s="5" t="s">
        <v>134</v>
      </c>
      <c r="C1704" s="6">
        <v>46121.693460648145</v>
      </c>
      <c r="D1704" s="2">
        <v>-9.0</v>
      </c>
      <c r="E1704" s="2"/>
      <c r="H1704" s="2" t="s">
        <v>571</v>
      </c>
    </row>
    <row r="1705" ht="15.75" customHeight="1">
      <c r="A1705" s="2" t="s">
        <v>2363</v>
      </c>
      <c r="B1705" s="2" t="s">
        <v>360</v>
      </c>
      <c r="C1705" s="6">
        <v>46121.69358796296</v>
      </c>
      <c r="D1705" s="2">
        <v>-11.0</v>
      </c>
      <c r="E1705" s="2"/>
      <c r="H1705" s="2" t="s">
        <v>571</v>
      </c>
    </row>
    <row r="1706" ht="15.75" customHeight="1">
      <c r="A1706" s="2" t="s">
        <v>2364</v>
      </c>
      <c r="B1706" s="2" t="s">
        <v>301</v>
      </c>
      <c r="C1706" s="6">
        <v>46121.69373842593</v>
      </c>
      <c r="D1706" s="2">
        <v>-3.0</v>
      </c>
      <c r="E1706" s="2"/>
      <c r="H1706" s="2" t="s">
        <v>571</v>
      </c>
    </row>
    <row r="1707" ht="15.75" customHeight="1">
      <c r="A1707" s="2" t="s">
        <v>2365</v>
      </c>
      <c r="B1707" s="5" t="s">
        <v>59</v>
      </c>
      <c r="C1707" s="6">
        <v>46121.69395833334</v>
      </c>
      <c r="D1707" s="2">
        <v>-3.0</v>
      </c>
      <c r="E1707" s="2"/>
      <c r="H1707" s="2" t="s">
        <v>571</v>
      </c>
    </row>
    <row r="1708" ht="15.75" customHeight="1">
      <c r="A1708" s="2" t="s">
        <v>2366</v>
      </c>
      <c r="B1708" s="2" t="s">
        <v>289</v>
      </c>
      <c r="C1708" s="6">
        <v>46121.694074074076</v>
      </c>
      <c r="D1708" s="2">
        <v>-12.0</v>
      </c>
      <c r="E1708" s="2"/>
      <c r="H1708" s="2" t="s">
        <v>571</v>
      </c>
    </row>
    <row r="1709" ht="15.75" customHeight="1">
      <c r="A1709" s="2" t="s">
        <v>2367</v>
      </c>
      <c r="B1709" s="2" t="s">
        <v>289</v>
      </c>
      <c r="C1709" s="6">
        <v>46121.69431712963</v>
      </c>
      <c r="D1709" s="2">
        <v>-12.0</v>
      </c>
      <c r="E1709" s="2"/>
      <c r="H1709" s="2" t="s">
        <v>571</v>
      </c>
    </row>
    <row r="1710" ht="15.75" customHeight="1">
      <c r="A1710" s="2" t="s">
        <v>2368</v>
      </c>
      <c r="B1710" s="5" t="s">
        <v>131</v>
      </c>
      <c r="C1710" s="6">
        <v>46121.69445601852</v>
      </c>
      <c r="D1710" s="2">
        <v>-6.0</v>
      </c>
      <c r="E1710" s="2"/>
      <c r="H1710" s="2" t="s">
        <v>571</v>
      </c>
    </row>
    <row r="1711" ht="15.75" customHeight="1">
      <c r="A1711" s="2" t="s">
        <v>2369</v>
      </c>
      <c r="B1711" s="5" t="s">
        <v>217</v>
      </c>
      <c r="C1711" s="6">
        <v>46121.69459490741</v>
      </c>
      <c r="D1711" s="2">
        <v>-3.0</v>
      </c>
      <c r="E1711" s="2"/>
      <c r="H1711" s="2" t="s">
        <v>571</v>
      </c>
    </row>
    <row r="1712" ht="15.75" customHeight="1">
      <c r="A1712" s="2" t="s">
        <v>2370</v>
      </c>
      <c r="B1712" s="5" t="s">
        <v>134</v>
      </c>
      <c r="C1712" s="6">
        <v>46121.694756944446</v>
      </c>
      <c r="D1712" s="2">
        <v>-4.0</v>
      </c>
      <c r="E1712" s="2"/>
      <c r="H1712" s="2" t="s">
        <v>571</v>
      </c>
    </row>
    <row r="1713" ht="15.75" customHeight="1">
      <c r="A1713" s="2" t="s">
        <v>2371</v>
      </c>
      <c r="B1713" s="2" t="s">
        <v>342</v>
      </c>
      <c r="C1713" s="6">
        <v>46121.69494212963</v>
      </c>
      <c r="D1713" s="2">
        <v>-6.0</v>
      </c>
      <c r="E1713" s="2"/>
      <c r="H1713" s="2" t="s">
        <v>571</v>
      </c>
    </row>
    <row r="1714" ht="15.75" customHeight="1">
      <c r="A1714" s="2" t="s">
        <v>2372</v>
      </c>
      <c r="B1714" s="5" t="s">
        <v>192</v>
      </c>
      <c r="C1714" s="6">
        <v>46121.69510416667</v>
      </c>
      <c r="D1714" s="2">
        <v>-3.0</v>
      </c>
      <c r="E1714" s="2"/>
      <c r="H1714" s="2" t="s">
        <v>571</v>
      </c>
    </row>
    <row r="1715" ht="15.75" customHeight="1">
      <c r="A1715" s="2" t="s">
        <v>2373</v>
      </c>
      <c r="B1715" s="5" t="s">
        <v>214</v>
      </c>
      <c r="C1715" s="6">
        <v>46121.69525462963</v>
      </c>
      <c r="D1715" s="2">
        <v>-36.0</v>
      </c>
      <c r="E1715" s="2"/>
      <c r="H1715" s="2" t="s">
        <v>571</v>
      </c>
    </row>
    <row r="1716" ht="15.75" customHeight="1">
      <c r="A1716" s="2" t="s">
        <v>2374</v>
      </c>
      <c r="B1716" s="5" t="s">
        <v>180</v>
      </c>
      <c r="C1716" s="6">
        <v>46121.74453703704</v>
      </c>
      <c r="D1716" s="2">
        <v>-2.0</v>
      </c>
      <c r="E1716" s="2"/>
      <c r="H1716" s="2" t="s">
        <v>571</v>
      </c>
    </row>
    <row r="1717" ht="15.75" customHeight="1">
      <c r="A1717" s="2" t="s">
        <v>2375</v>
      </c>
      <c r="B1717" s="2" t="s">
        <v>259</v>
      </c>
      <c r="C1717" s="6">
        <v>46121.74475694444</v>
      </c>
      <c r="D1717" s="2">
        <v>-153.0</v>
      </c>
      <c r="E1717" s="2"/>
      <c r="H1717" s="2" t="s">
        <v>571</v>
      </c>
    </row>
    <row r="1718" ht="15.75" customHeight="1">
      <c r="A1718" s="2" t="s">
        <v>2376</v>
      </c>
      <c r="B1718" s="2" t="s">
        <v>277</v>
      </c>
      <c r="C1718" s="6">
        <v>46121.745983796296</v>
      </c>
      <c r="D1718" s="2">
        <v>-2.0</v>
      </c>
      <c r="E1718" s="2"/>
      <c r="H1718" s="2" t="s">
        <v>571</v>
      </c>
    </row>
    <row r="1719" ht="15.75" customHeight="1">
      <c r="A1719" s="2" t="s">
        <v>2377</v>
      </c>
      <c r="B1719" s="2" t="s">
        <v>378</v>
      </c>
      <c r="C1719" s="6">
        <v>46121.80363425926</v>
      </c>
      <c r="D1719" s="2">
        <v>-14.0</v>
      </c>
      <c r="E1719" s="2"/>
      <c r="H1719" s="2" t="s">
        <v>571</v>
      </c>
    </row>
    <row r="1720" ht="15.75" customHeight="1">
      <c r="A1720" s="2" t="s">
        <v>2378</v>
      </c>
      <c r="B1720" s="2" t="s">
        <v>384</v>
      </c>
      <c r="C1720" s="6">
        <v>46121.803715277776</v>
      </c>
      <c r="D1720" s="2">
        <v>-50.0</v>
      </c>
      <c r="E1720" s="2"/>
      <c r="H1720" s="2" t="s">
        <v>571</v>
      </c>
    </row>
    <row r="1721" ht="15.75" customHeight="1">
      <c r="A1721" s="2" t="s">
        <v>2379</v>
      </c>
      <c r="B1721" s="2" t="s">
        <v>372</v>
      </c>
      <c r="C1721" s="6">
        <v>46121.83777777778</v>
      </c>
      <c r="D1721" s="2">
        <v>-37.0</v>
      </c>
      <c r="E1721" s="2"/>
      <c r="H1721" s="2" t="s">
        <v>571</v>
      </c>
    </row>
    <row r="1722" ht="15.75" customHeight="1">
      <c r="A1722" s="2" t="s">
        <v>2380</v>
      </c>
      <c r="B1722" s="2" t="s">
        <v>384</v>
      </c>
      <c r="C1722" s="6">
        <v>46121.83820601852</v>
      </c>
      <c r="D1722" s="2">
        <v>2.0</v>
      </c>
      <c r="E1722" s="2"/>
      <c r="H1722" s="2" t="s">
        <v>571</v>
      </c>
    </row>
    <row r="1723" ht="15.75" customHeight="1">
      <c r="A1723" s="2" t="s">
        <v>2381</v>
      </c>
      <c r="B1723" s="2" t="s">
        <v>342</v>
      </c>
      <c r="C1723" s="6">
        <v>46121.84986111111</v>
      </c>
      <c r="D1723" s="2">
        <v>20.0</v>
      </c>
      <c r="E1723" s="2" t="s">
        <v>2382</v>
      </c>
      <c r="H1723" s="2" t="s">
        <v>571</v>
      </c>
    </row>
    <row r="1724" ht="15.75" customHeight="1">
      <c r="A1724" s="2" t="s">
        <v>2383</v>
      </c>
      <c r="B1724" s="2" t="s">
        <v>384</v>
      </c>
      <c r="C1724" s="6">
        <v>46121.85003472222</v>
      </c>
      <c r="D1724" s="2">
        <v>48.0</v>
      </c>
      <c r="E1724" s="2" t="s">
        <v>2382</v>
      </c>
      <c r="H1724" s="2" t="s">
        <v>571</v>
      </c>
    </row>
    <row r="1725" ht="15.75" customHeight="1">
      <c r="A1725" s="2" t="s">
        <v>2384</v>
      </c>
      <c r="B1725" s="5" t="s">
        <v>157</v>
      </c>
      <c r="C1725" s="6">
        <v>46121.85010416667</v>
      </c>
      <c r="D1725" s="2">
        <v>10.0</v>
      </c>
      <c r="E1725" s="2" t="s">
        <v>2382</v>
      </c>
      <c r="H1725" s="2" t="s">
        <v>571</v>
      </c>
    </row>
    <row r="1726" ht="15.75" customHeight="1">
      <c r="A1726" s="2" t="s">
        <v>2385</v>
      </c>
      <c r="B1726" s="5" t="s">
        <v>192</v>
      </c>
      <c r="C1726" s="6">
        <v>46121.87332175926</v>
      </c>
      <c r="D1726" s="2">
        <v>24.0</v>
      </c>
      <c r="E1726" s="2" t="s">
        <v>2386</v>
      </c>
      <c r="H1726" s="2" t="s">
        <v>571</v>
      </c>
    </row>
    <row r="1727" ht="15.75" customHeight="1">
      <c r="A1727" s="5" t="s">
        <v>2387</v>
      </c>
      <c r="B1727" s="2" t="s">
        <v>378</v>
      </c>
      <c r="C1727" s="6">
        <v>46121.87336805555</v>
      </c>
      <c r="D1727" s="2">
        <v>24.0</v>
      </c>
      <c r="E1727" s="2" t="s">
        <v>2386</v>
      </c>
      <c r="H1727" s="2" t="s">
        <v>571</v>
      </c>
    </row>
    <row r="1728" ht="15.75" customHeight="1">
      <c r="A1728" s="2" t="s">
        <v>2388</v>
      </c>
      <c r="B1728" s="5" t="s">
        <v>134</v>
      </c>
      <c r="C1728" s="6">
        <v>46121.87342592593</v>
      </c>
      <c r="D1728" s="2">
        <v>54.0</v>
      </c>
      <c r="E1728" s="2" t="s">
        <v>2386</v>
      </c>
      <c r="H1728" s="2" t="s">
        <v>571</v>
      </c>
    </row>
    <row r="1729" ht="15.75" customHeight="1">
      <c r="A1729" s="2" t="s">
        <v>2389</v>
      </c>
      <c r="B1729" s="2" t="s">
        <v>360</v>
      </c>
      <c r="C1729" s="6">
        <v>46121.87347222222</v>
      </c>
      <c r="D1729" s="2">
        <v>120.0</v>
      </c>
      <c r="E1729" s="2" t="s">
        <v>2386</v>
      </c>
      <c r="H1729" s="2" t="s">
        <v>571</v>
      </c>
    </row>
    <row r="1730" ht="15.75" customHeight="1">
      <c r="A1730" s="2" t="s">
        <v>2390</v>
      </c>
      <c r="B1730" s="2" t="s">
        <v>405</v>
      </c>
      <c r="C1730" s="6">
        <v>46121.87351851852</v>
      </c>
      <c r="D1730" s="2">
        <v>24.0</v>
      </c>
      <c r="E1730" s="2" t="s">
        <v>2386</v>
      </c>
      <c r="H1730" s="2" t="s">
        <v>571</v>
      </c>
    </row>
    <row r="1731" ht="15.75" customHeight="1">
      <c r="A1731" s="2" t="s">
        <v>2391</v>
      </c>
      <c r="B1731" s="5" t="s">
        <v>142</v>
      </c>
      <c r="C1731" s="6">
        <v>46121.87357638889</v>
      </c>
      <c r="D1731" s="2">
        <v>48.0</v>
      </c>
      <c r="E1731" s="2" t="s">
        <v>2386</v>
      </c>
      <c r="H1731" s="2" t="s">
        <v>571</v>
      </c>
    </row>
    <row r="1732" ht="15.75" customHeight="1">
      <c r="A1732" s="2" t="s">
        <v>2392</v>
      </c>
      <c r="B1732" s="2" t="s">
        <v>387</v>
      </c>
      <c r="C1732" s="6">
        <v>46121.87364583334</v>
      </c>
      <c r="D1732" s="2">
        <v>48.0</v>
      </c>
      <c r="E1732" s="2" t="s">
        <v>2386</v>
      </c>
      <c r="H1732" s="2" t="s">
        <v>571</v>
      </c>
    </row>
    <row r="1733" ht="15.75" customHeight="1">
      <c r="A1733" s="2" t="s">
        <v>2393</v>
      </c>
      <c r="B1733" s="5" t="s">
        <v>217</v>
      </c>
      <c r="C1733" s="6">
        <v>46122.01366898148</v>
      </c>
      <c r="D1733" s="2">
        <v>-28.0</v>
      </c>
      <c r="E1733" s="2"/>
      <c r="H1733" s="2" t="s">
        <v>599</v>
      </c>
    </row>
    <row r="1734" ht="15.75" customHeight="1">
      <c r="A1734" s="2" t="s">
        <v>2394</v>
      </c>
      <c r="B1734" s="5" t="s">
        <v>131</v>
      </c>
      <c r="C1734" s="6">
        <v>46122.01416666667</v>
      </c>
      <c r="D1734" s="2">
        <v>-7.0</v>
      </c>
      <c r="E1734" s="2"/>
      <c r="H1734" s="2" t="s">
        <v>599</v>
      </c>
    </row>
    <row r="1735" ht="15.75" customHeight="1">
      <c r="A1735" s="2" t="s">
        <v>2395</v>
      </c>
      <c r="B1735" s="5" t="s">
        <v>49</v>
      </c>
      <c r="C1735" s="6">
        <v>46122.015127314815</v>
      </c>
      <c r="D1735" s="2">
        <v>-7.0</v>
      </c>
      <c r="E1735" s="2"/>
      <c r="H1735" s="2" t="s">
        <v>599</v>
      </c>
    </row>
    <row r="1736" ht="15.75" customHeight="1">
      <c r="A1736" s="2" t="s">
        <v>2396</v>
      </c>
      <c r="B1736" s="5" t="s">
        <v>49</v>
      </c>
      <c r="C1736" s="6">
        <v>46122.01550925926</v>
      </c>
      <c r="D1736" s="2">
        <v>2.0</v>
      </c>
      <c r="E1736" s="2"/>
      <c r="H1736" s="2" t="s">
        <v>599</v>
      </c>
    </row>
    <row r="1737" ht="15.75" customHeight="1">
      <c r="A1737" s="2" t="s">
        <v>2397</v>
      </c>
      <c r="B1737" s="5" t="s">
        <v>120</v>
      </c>
      <c r="C1737" s="6">
        <v>46122.01571759259</v>
      </c>
      <c r="D1737" s="2">
        <v>-6.0</v>
      </c>
      <c r="E1737" s="2"/>
      <c r="H1737" s="2" t="s">
        <v>599</v>
      </c>
    </row>
    <row r="1738" ht="15.75" customHeight="1">
      <c r="A1738" s="2" t="s">
        <v>2398</v>
      </c>
      <c r="B1738" s="5" t="s">
        <v>186</v>
      </c>
      <c r="C1738" s="6">
        <v>46122.01702546296</v>
      </c>
      <c r="D1738" s="2">
        <v>-10.0</v>
      </c>
      <c r="E1738" s="2"/>
      <c r="H1738" s="2" t="s">
        <v>599</v>
      </c>
    </row>
    <row r="1739" ht="15.75" customHeight="1">
      <c r="A1739" s="2" t="s">
        <v>2399</v>
      </c>
      <c r="B1739" s="2" t="s">
        <v>384</v>
      </c>
      <c r="C1739" s="6">
        <v>46122.01868055556</v>
      </c>
      <c r="D1739" s="2">
        <v>-10.0</v>
      </c>
      <c r="E1739" s="2"/>
      <c r="H1739" s="2" t="s">
        <v>599</v>
      </c>
    </row>
    <row r="1740" ht="15.75" customHeight="1">
      <c r="A1740" s="2" t="s">
        <v>2400</v>
      </c>
      <c r="B1740" s="5" t="s">
        <v>148</v>
      </c>
      <c r="C1740" s="6">
        <v>46122.01907407407</v>
      </c>
      <c r="D1740" s="2">
        <v>-15.0</v>
      </c>
      <c r="E1740" s="2"/>
      <c r="H1740" s="2" t="s">
        <v>599</v>
      </c>
    </row>
    <row r="1741" ht="15.75" customHeight="1">
      <c r="A1741" s="2" t="s">
        <v>2401</v>
      </c>
      <c r="B1741" s="5" t="s">
        <v>165</v>
      </c>
      <c r="C1741" s="6">
        <v>46122.02005787037</v>
      </c>
      <c r="D1741" s="2">
        <v>-22.0</v>
      </c>
      <c r="E1741" s="2"/>
      <c r="H1741" s="2" t="s">
        <v>599</v>
      </c>
    </row>
    <row r="1742" ht="15.75" customHeight="1">
      <c r="A1742" s="2" t="s">
        <v>2402</v>
      </c>
      <c r="B1742" s="2" t="s">
        <v>372</v>
      </c>
      <c r="C1742" s="6">
        <v>46122.020578703705</v>
      </c>
      <c r="D1742" s="2">
        <v>-8.0</v>
      </c>
      <c r="E1742" s="2"/>
      <c r="H1742" s="2" t="s">
        <v>599</v>
      </c>
    </row>
    <row r="1743" ht="15.75" customHeight="1">
      <c r="A1743" s="2" t="s">
        <v>2403</v>
      </c>
      <c r="B1743" s="2" t="s">
        <v>378</v>
      </c>
      <c r="C1743" s="6">
        <v>46122.02113425926</v>
      </c>
      <c r="D1743" s="2">
        <v>-24.0</v>
      </c>
      <c r="E1743" s="2"/>
      <c r="H1743" s="2" t="s">
        <v>599</v>
      </c>
    </row>
    <row r="1744" ht="15.75" customHeight="1">
      <c r="A1744" s="2" t="s">
        <v>2404</v>
      </c>
      <c r="B1744" s="2" t="s">
        <v>360</v>
      </c>
      <c r="C1744" s="6">
        <v>46122.02141203704</v>
      </c>
      <c r="D1744" s="2">
        <v>-21.0</v>
      </c>
      <c r="E1744" s="2"/>
      <c r="H1744" s="2" t="s">
        <v>599</v>
      </c>
    </row>
    <row r="1745" ht="15.75" customHeight="1">
      <c r="A1745" s="2" t="s">
        <v>2405</v>
      </c>
      <c r="B1745" s="5" t="s">
        <v>59</v>
      </c>
      <c r="C1745" s="6">
        <v>46122.021875</v>
      </c>
      <c r="D1745" s="2">
        <v>-4.0</v>
      </c>
      <c r="E1745" s="2"/>
      <c r="H1745" s="2" t="s">
        <v>599</v>
      </c>
    </row>
    <row r="1746" ht="15.75" customHeight="1">
      <c r="A1746" s="2" t="s">
        <v>2406</v>
      </c>
      <c r="B1746" s="5" t="s">
        <v>134</v>
      </c>
      <c r="C1746" s="6">
        <v>46122.02217592593</v>
      </c>
      <c r="D1746" s="2">
        <v>-1.0</v>
      </c>
      <c r="E1746" s="2"/>
      <c r="H1746" s="2" t="s">
        <v>599</v>
      </c>
    </row>
    <row r="1747" ht="15.75" customHeight="1">
      <c r="A1747" s="2" t="s">
        <v>2407</v>
      </c>
      <c r="B1747" s="2" t="s">
        <v>369</v>
      </c>
      <c r="C1747" s="6">
        <v>46122.022361111114</v>
      </c>
      <c r="D1747" s="2">
        <v>-14.0</v>
      </c>
      <c r="E1747" s="2"/>
      <c r="H1747" s="2" t="s">
        <v>599</v>
      </c>
    </row>
    <row r="1748" ht="15.75" customHeight="1">
      <c r="A1748" s="2" t="s">
        <v>2408</v>
      </c>
      <c r="B1748" s="2" t="s">
        <v>405</v>
      </c>
      <c r="C1748" s="6">
        <v>46122.024143518516</v>
      </c>
      <c r="D1748" s="2">
        <v>-7.0</v>
      </c>
      <c r="E1748" s="2"/>
      <c r="H1748" s="2" t="s">
        <v>599</v>
      </c>
    </row>
    <row r="1749" ht="15.75" customHeight="1">
      <c r="A1749" s="2" t="s">
        <v>2409</v>
      </c>
      <c r="B1749" s="2" t="s">
        <v>313</v>
      </c>
      <c r="C1749" s="6">
        <v>46122.024363425924</v>
      </c>
      <c r="D1749" s="2">
        <v>-2.0</v>
      </c>
      <c r="E1749" s="2"/>
      <c r="H1749" s="2" t="s">
        <v>599</v>
      </c>
    </row>
    <row r="1750" ht="15.75" customHeight="1">
      <c r="A1750" s="2" t="s">
        <v>2410</v>
      </c>
      <c r="B1750" s="5" t="s">
        <v>142</v>
      </c>
      <c r="C1750" s="6">
        <v>46122.0252662037</v>
      </c>
      <c r="D1750" s="2">
        <v>-21.0</v>
      </c>
      <c r="E1750" s="2"/>
      <c r="H1750" s="2" t="s">
        <v>599</v>
      </c>
    </row>
    <row r="1751" ht="15.75" customHeight="1">
      <c r="A1751" s="2" t="s">
        <v>2411</v>
      </c>
      <c r="B1751" s="2" t="s">
        <v>301</v>
      </c>
      <c r="C1751" s="6">
        <v>46122.02578703704</v>
      </c>
      <c r="D1751" s="2">
        <v>-7.0</v>
      </c>
      <c r="E1751" s="2"/>
      <c r="H1751" s="2" t="s">
        <v>599</v>
      </c>
    </row>
    <row r="1752" ht="15.75" customHeight="1">
      <c r="A1752" s="2" t="s">
        <v>2412</v>
      </c>
      <c r="B1752" s="5" t="s">
        <v>82</v>
      </c>
      <c r="C1752" s="6">
        <v>46122.026041666664</v>
      </c>
      <c r="D1752" s="2">
        <v>-7.0</v>
      </c>
      <c r="E1752" s="2"/>
      <c r="H1752" s="2" t="s">
        <v>599</v>
      </c>
    </row>
    <row r="1753" ht="15.75" customHeight="1">
      <c r="A1753" s="2" t="s">
        <v>2413</v>
      </c>
      <c r="B1753" s="2" t="s">
        <v>387</v>
      </c>
      <c r="C1753" s="6">
        <v>46122.02616898148</v>
      </c>
      <c r="D1753" s="2">
        <v>-6.0</v>
      </c>
      <c r="E1753" s="2"/>
      <c r="H1753" s="2" t="s">
        <v>599</v>
      </c>
    </row>
    <row r="1754" ht="15.75" customHeight="1">
      <c r="A1754" s="5" t="s">
        <v>2414</v>
      </c>
      <c r="B1754" s="2" t="s">
        <v>354</v>
      </c>
      <c r="C1754" s="6">
        <v>46122.028125</v>
      </c>
      <c r="D1754" s="2">
        <v>-4.0</v>
      </c>
      <c r="E1754" s="2"/>
      <c r="H1754" s="2" t="s">
        <v>599</v>
      </c>
    </row>
    <row r="1755" ht="15.75" customHeight="1">
      <c r="A1755" s="2" t="s">
        <v>2415</v>
      </c>
      <c r="B1755" s="5" t="s">
        <v>192</v>
      </c>
      <c r="C1755" s="6">
        <v>46122.0284837963</v>
      </c>
      <c r="D1755" s="2">
        <v>-16.0</v>
      </c>
      <c r="E1755" s="2"/>
      <c r="H1755" s="2" t="s">
        <v>599</v>
      </c>
    </row>
    <row r="1756" ht="15.75" customHeight="1">
      <c r="A1756" s="2" t="s">
        <v>2416</v>
      </c>
      <c r="B1756" s="5" t="s">
        <v>214</v>
      </c>
      <c r="C1756" s="6">
        <v>46122.02961805555</v>
      </c>
      <c r="D1756" s="2">
        <v>-60.0</v>
      </c>
      <c r="E1756" s="2"/>
      <c r="H1756" s="2" t="s">
        <v>599</v>
      </c>
    </row>
    <row r="1757" ht="15.75" customHeight="1">
      <c r="A1757" s="2" t="s">
        <v>2417</v>
      </c>
      <c r="B1757" s="5" t="s">
        <v>217</v>
      </c>
      <c r="C1757" s="6">
        <v>46122.590995370374</v>
      </c>
      <c r="D1757" s="2">
        <v>-48.0</v>
      </c>
      <c r="E1757" s="2"/>
      <c r="H1757" s="2" t="s">
        <v>599</v>
      </c>
    </row>
    <row r="1758" ht="15.75" customHeight="1">
      <c r="A1758" s="2" t="s">
        <v>2418</v>
      </c>
      <c r="B1758" s="2" t="s">
        <v>286</v>
      </c>
      <c r="C1758" s="6">
        <v>46122.5915625</v>
      </c>
      <c r="D1758" s="2">
        <v>-15.0</v>
      </c>
      <c r="E1758" s="2"/>
      <c r="H1758" s="2" t="s">
        <v>599</v>
      </c>
    </row>
    <row r="1759" ht="15.75" customHeight="1">
      <c r="A1759" s="2" t="s">
        <v>2419</v>
      </c>
      <c r="B1759" s="2" t="s">
        <v>375</v>
      </c>
      <c r="C1759" s="6">
        <v>46122.59328703704</v>
      </c>
      <c r="D1759" s="2">
        <v>-24.0</v>
      </c>
      <c r="E1759" s="2"/>
      <c r="H1759" s="2" t="s">
        <v>599</v>
      </c>
    </row>
    <row r="1760" ht="15.75" customHeight="1">
      <c r="A1760" s="2" t="s">
        <v>2420</v>
      </c>
      <c r="B1760" s="2" t="s">
        <v>384</v>
      </c>
      <c r="C1760" s="6">
        <v>46122.59337962963</v>
      </c>
      <c r="D1760" s="2">
        <v>-24.0</v>
      </c>
      <c r="E1760" s="2"/>
      <c r="H1760" s="2" t="s">
        <v>599</v>
      </c>
    </row>
    <row r="1761" ht="15.75" customHeight="1">
      <c r="A1761" s="2" t="s">
        <v>2421</v>
      </c>
      <c r="B1761" s="5" t="s">
        <v>165</v>
      </c>
      <c r="C1761" s="6">
        <v>46122.59364583333</v>
      </c>
      <c r="D1761" s="2">
        <v>-5.0</v>
      </c>
      <c r="E1761" s="2"/>
      <c r="H1761" s="2" t="s">
        <v>599</v>
      </c>
    </row>
    <row r="1762" ht="15.75" customHeight="1">
      <c r="A1762" s="2" t="s">
        <v>2422</v>
      </c>
      <c r="B1762" s="2" t="s">
        <v>295</v>
      </c>
      <c r="C1762" s="6">
        <v>46122.59391203704</v>
      </c>
      <c r="D1762" s="2">
        <v>-12.0</v>
      </c>
      <c r="E1762" s="2"/>
      <c r="H1762" s="2" t="s">
        <v>599</v>
      </c>
    </row>
    <row r="1763" ht="15.75" customHeight="1">
      <c r="A1763" s="2" t="s">
        <v>2423</v>
      </c>
      <c r="B1763" s="2" t="s">
        <v>369</v>
      </c>
      <c r="C1763" s="6">
        <v>46122.594826388886</v>
      </c>
      <c r="D1763" s="2">
        <v>-12.0</v>
      </c>
      <c r="E1763" s="2"/>
      <c r="H1763" s="2" t="s">
        <v>599</v>
      </c>
    </row>
    <row r="1764" ht="15.75" customHeight="1">
      <c r="A1764" s="2" t="s">
        <v>2424</v>
      </c>
      <c r="B1764" s="5" t="s">
        <v>96</v>
      </c>
      <c r="C1764" s="6">
        <v>46122.59559027778</v>
      </c>
      <c r="D1764" s="2">
        <v>-13.0</v>
      </c>
      <c r="E1764" s="2"/>
      <c r="H1764" s="2" t="s">
        <v>599</v>
      </c>
    </row>
    <row r="1765" ht="15.75" customHeight="1">
      <c r="A1765" s="2" t="s">
        <v>2425</v>
      </c>
      <c r="B1765" s="5" t="s">
        <v>59</v>
      </c>
      <c r="C1765" s="6">
        <v>46122.596296296295</v>
      </c>
      <c r="D1765" s="2">
        <v>-6.0</v>
      </c>
      <c r="E1765" s="2"/>
      <c r="H1765" s="2" t="s">
        <v>599</v>
      </c>
    </row>
    <row r="1766" ht="15.75" customHeight="1">
      <c r="A1766" s="2" t="s">
        <v>2426</v>
      </c>
      <c r="B1766" s="5" t="s">
        <v>134</v>
      </c>
      <c r="C1766" s="6">
        <v>46122.59641203703</v>
      </c>
      <c r="D1766" s="2">
        <v>-4.0</v>
      </c>
      <c r="E1766" s="2"/>
      <c r="H1766" s="2" t="s">
        <v>599</v>
      </c>
    </row>
    <row r="1767" ht="15.75" customHeight="1">
      <c r="A1767" s="2" t="s">
        <v>2427</v>
      </c>
      <c r="B1767" s="5" t="s">
        <v>142</v>
      </c>
      <c r="C1767" s="6">
        <v>46122.596967592595</v>
      </c>
      <c r="D1767" s="2">
        <v>-14.0</v>
      </c>
      <c r="E1767" s="2"/>
      <c r="H1767" s="2" t="s">
        <v>599</v>
      </c>
    </row>
    <row r="1768" ht="15.75" customHeight="1">
      <c r="A1768" s="2" t="s">
        <v>2428</v>
      </c>
      <c r="B1768" s="2" t="s">
        <v>301</v>
      </c>
      <c r="C1768" s="6">
        <v>46122.59715277778</v>
      </c>
      <c r="D1768" s="2">
        <v>-5.0</v>
      </c>
      <c r="E1768" s="2"/>
      <c r="H1768" s="2" t="s">
        <v>599</v>
      </c>
    </row>
    <row r="1769" ht="15.75" customHeight="1">
      <c r="A1769" s="2" t="s">
        <v>2429</v>
      </c>
      <c r="B1769" s="2" t="s">
        <v>387</v>
      </c>
      <c r="C1769" s="6">
        <v>46122.59762731481</v>
      </c>
      <c r="D1769" s="2">
        <v>-3.0</v>
      </c>
      <c r="E1769" s="2"/>
      <c r="H1769" s="2" t="s">
        <v>599</v>
      </c>
    </row>
    <row r="1770" ht="15.75" customHeight="1">
      <c r="A1770" s="2" t="s">
        <v>2430</v>
      </c>
      <c r="B1770" s="5" t="s">
        <v>82</v>
      </c>
      <c r="C1770" s="6">
        <v>46122.59804398148</v>
      </c>
      <c r="D1770" s="2">
        <v>-7.0</v>
      </c>
      <c r="E1770" s="2"/>
      <c r="H1770" s="2" t="s">
        <v>599</v>
      </c>
    </row>
    <row r="1771" ht="15.75" customHeight="1">
      <c r="A1771" s="2" t="s">
        <v>2431</v>
      </c>
      <c r="B1771" s="2" t="s">
        <v>313</v>
      </c>
      <c r="C1771" s="6">
        <v>46122.59884259259</v>
      </c>
      <c r="D1771" s="2">
        <v>-3.0</v>
      </c>
      <c r="E1771" s="2"/>
      <c r="H1771" s="2" t="s">
        <v>599</v>
      </c>
    </row>
    <row r="1772" ht="15.75" customHeight="1">
      <c r="A1772" s="2" t="s">
        <v>2432</v>
      </c>
      <c r="B1772" s="5" t="s">
        <v>192</v>
      </c>
      <c r="C1772" s="6">
        <v>46122.59936342593</v>
      </c>
      <c r="D1772" s="2">
        <v>-14.0</v>
      </c>
      <c r="E1772" s="2"/>
      <c r="H1772" s="2" t="s">
        <v>599</v>
      </c>
    </row>
    <row r="1773" ht="15.75" customHeight="1">
      <c r="A1773" s="2" t="s">
        <v>2433</v>
      </c>
      <c r="B1773" s="5" t="s">
        <v>214</v>
      </c>
      <c r="C1773" s="6">
        <v>46122.60019675926</v>
      </c>
      <c r="D1773" s="2">
        <v>-60.0</v>
      </c>
      <c r="E1773" s="2"/>
      <c r="H1773" s="2" t="s">
        <v>599</v>
      </c>
    </row>
    <row r="1774" ht="15.75" customHeight="1">
      <c r="A1774" s="2" t="s">
        <v>2434</v>
      </c>
      <c r="B1774" s="2" t="s">
        <v>289</v>
      </c>
      <c r="C1774" s="6">
        <v>46123.74855324074</v>
      </c>
      <c r="D1774" s="2">
        <v>-17.0</v>
      </c>
      <c r="E1774" s="2"/>
      <c r="H1774" s="2" t="s">
        <v>571</v>
      </c>
    </row>
    <row r="1775" ht="15.75" customHeight="1">
      <c r="A1775" s="2" t="s">
        <v>2435</v>
      </c>
      <c r="B1775" s="5" t="s">
        <v>131</v>
      </c>
      <c r="C1775" s="6">
        <v>46123.75113425926</v>
      </c>
      <c r="D1775" s="2">
        <v>24.0</v>
      </c>
      <c r="E1775" s="2" t="s">
        <v>2436</v>
      </c>
      <c r="H1775" s="2" t="s">
        <v>571</v>
      </c>
    </row>
    <row r="1776" ht="15.75" customHeight="1">
      <c r="A1776" s="2" t="s">
        <v>2437</v>
      </c>
      <c r="B1776" s="2" t="s">
        <v>286</v>
      </c>
      <c r="C1776" s="6">
        <v>46123.751238425924</v>
      </c>
      <c r="D1776" s="2">
        <v>60.0</v>
      </c>
      <c r="E1776" s="2" t="s">
        <v>2436</v>
      </c>
      <c r="H1776" s="2" t="s">
        <v>571</v>
      </c>
    </row>
    <row r="1777" ht="15.75" customHeight="1">
      <c r="A1777" s="2" t="s">
        <v>2438</v>
      </c>
      <c r="B1777" s="5" t="s">
        <v>217</v>
      </c>
      <c r="C1777" s="6">
        <v>46123.75130787037</v>
      </c>
      <c r="D1777" s="2">
        <v>90.0</v>
      </c>
      <c r="E1777" s="2" t="s">
        <v>2436</v>
      </c>
      <c r="H1777" s="2" t="s">
        <v>571</v>
      </c>
    </row>
    <row r="1778" ht="15.75" customHeight="1">
      <c r="A1778" s="2" t="s">
        <v>2439</v>
      </c>
      <c r="B1778" s="5" t="s">
        <v>14</v>
      </c>
      <c r="C1778" s="6">
        <v>46123.759791666664</v>
      </c>
      <c r="D1778" s="2">
        <v>-4.0</v>
      </c>
      <c r="E1778" s="2"/>
      <c r="H1778" s="2" t="s">
        <v>571</v>
      </c>
    </row>
    <row r="1779" ht="15.75" customHeight="1">
      <c r="A1779" s="2" t="s">
        <v>2440</v>
      </c>
      <c r="B1779" s="2" t="s">
        <v>238</v>
      </c>
      <c r="C1779" s="6">
        <v>46123.76021990741</v>
      </c>
      <c r="D1779" s="2">
        <v>-5.0</v>
      </c>
      <c r="E1779" s="2"/>
      <c r="H1779" s="2" t="s">
        <v>571</v>
      </c>
    </row>
    <row r="1780" ht="15.75" customHeight="1">
      <c r="A1780" s="2" t="s">
        <v>2441</v>
      </c>
      <c r="B1780" s="5" t="s">
        <v>217</v>
      </c>
      <c r="C1780" s="6">
        <v>46123.76032407407</v>
      </c>
      <c r="D1780" s="2">
        <v>-30.0</v>
      </c>
      <c r="E1780" s="2"/>
      <c r="H1780" s="2" t="s">
        <v>571</v>
      </c>
    </row>
    <row r="1781" ht="15.75" customHeight="1">
      <c r="A1781" s="2" t="s">
        <v>2442</v>
      </c>
      <c r="B1781" s="2" t="s">
        <v>286</v>
      </c>
      <c r="C1781" s="6">
        <v>46123.76053240741</v>
      </c>
      <c r="D1781" s="2">
        <v>-30.0</v>
      </c>
      <c r="E1781" s="2"/>
      <c r="H1781" s="2" t="s">
        <v>571</v>
      </c>
    </row>
    <row r="1782" ht="15.75" customHeight="1">
      <c r="A1782" s="2" t="s">
        <v>2443</v>
      </c>
      <c r="B1782" s="2" t="s">
        <v>384</v>
      </c>
      <c r="C1782" s="6">
        <v>46123.760833333334</v>
      </c>
      <c r="D1782" s="2">
        <v>-10.0</v>
      </c>
      <c r="E1782" s="2"/>
      <c r="H1782" s="2" t="s">
        <v>571</v>
      </c>
    </row>
    <row r="1783" ht="15.75" customHeight="1">
      <c r="A1783" s="2" t="s">
        <v>2444</v>
      </c>
      <c r="B1783" s="5" t="s">
        <v>186</v>
      </c>
      <c r="C1783" s="6">
        <v>46123.76096064815</v>
      </c>
      <c r="D1783" s="2">
        <v>-7.0</v>
      </c>
      <c r="E1783" s="2"/>
      <c r="H1783" s="2" t="s">
        <v>571</v>
      </c>
    </row>
    <row r="1784" ht="15.75" customHeight="1">
      <c r="A1784" s="2" t="s">
        <v>2445</v>
      </c>
      <c r="B1784" s="2" t="s">
        <v>405</v>
      </c>
      <c r="C1784" s="6">
        <v>46123.76122685185</v>
      </c>
      <c r="D1784" s="2">
        <v>-4.0</v>
      </c>
      <c r="E1784" s="2"/>
      <c r="H1784" s="2" t="s">
        <v>571</v>
      </c>
    </row>
    <row r="1785" ht="15.75" customHeight="1">
      <c r="A1785" s="2" t="s">
        <v>2446</v>
      </c>
      <c r="B1785" s="2" t="s">
        <v>342</v>
      </c>
      <c r="C1785" s="6">
        <v>46123.761342592596</v>
      </c>
      <c r="D1785" s="2">
        <v>-3.0</v>
      </c>
      <c r="E1785" s="2"/>
      <c r="H1785" s="2" t="s">
        <v>571</v>
      </c>
    </row>
    <row r="1786" ht="15.75" customHeight="1">
      <c r="A1786" s="2" t="s">
        <v>2447</v>
      </c>
      <c r="B1786" s="5" t="s">
        <v>134</v>
      </c>
      <c r="C1786" s="6">
        <v>46123.761469907404</v>
      </c>
      <c r="D1786" s="2">
        <v>-11.0</v>
      </c>
      <c r="E1786" s="2"/>
      <c r="H1786" s="2" t="s">
        <v>571</v>
      </c>
    </row>
    <row r="1787" ht="15.75" customHeight="1">
      <c r="A1787" s="2" t="s">
        <v>2448</v>
      </c>
      <c r="B1787" s="2" t="s">
        <v>295</v>
      </c>
      <c r="C1787" s="6">
        <v>46123.761712962965</v>
      </c>
      <c r="D1787" s="2">
        <v>-11.0</v>
      </c>
      <c r="E1787" s="2"/>
      <c r="H1787" s="2" t="s">
        <v>571</v>
      </c>
    </row>
    <row r="1788" ht="15.75" customHeight="1">
      <c r="A1788" s="5" t="s">
        <v>2449</v>
      </c>
      <c r="B1788" s="5" t="s">
        <v>214</v>
      </c>
      <c r="C1788" s="6">
        <v>46123.76186342593</v>
      </c>
      <c r="D1788" s="2">
        <v>-37.0</v>
      </c>
      <c r="E1788" s="2"/>
      <c r="H1788" s="2" t="s">
        <v>571</v>
      </c>
    </row>
    <row r="1789" ht="15.75" customHeight="1">
      <c r="A1789" s="2" t="s">
        <v>2450</v>
      </c>
      <c r="B1789" s="5" t="s">
        <v>131</v>
      </c>
      <c r="C1789" s="6">
        <v>46123.76201388889</v>
      </c>
      <c r="D1789" s="2">
        <v>-6.0</v>
      </c>
      <c r="E1789" s="2"/>
      <c r="H1789" s="2" t="s">
        <v>571</v>
      </c>
    </row>
    <row r="1790" ht="15.75" customHeight="1">
      <c r="A1790" s="2" t="s">
        <v>2451</v>
      </c>
      <c r="B1790" s="5" t="s">
        <v>157</v>
      </c>
      <c r="C1790" s="6">
        <v>46123.7621875</v>
      </c>
      <c r="D1790" s="2">
        <v>-10.0</v>
      </c>
      <c r="E1790" s="2"/>
      <c r="H1790" s="2" t="s">
        <v>571</v>
      </c>
    </row>
    <row r="1791" ht="15.75" customHeight="1">
      <c r="A1791" s="2" t="s">
        <v>2452</v>
      </c>
      <c r="B1791" s="5" t="s">
        <v>148</v>
      </c>
      <c r="C1791" s="6">
        <v>46123.76230324074</v>
      </c>
      <c r="D1791" s="2">
        <v>-5.0</v>
      </c>
      <c r="E1791" s="2"/>
      <c r="H1791" s="2" t="s">
        <v>571</v>
      </c>
    </row>
    <row r="1792" ht="15.75" customHeight="1">
      <c r="A1792" s="2" t="s">
        <v>2453</v>
      </c>
      <c r="B1792" s="2" t="s">
        <v>369</v>
      </c>
      <c r="C1792" s="6">
        <v>46123.76252314815</v>
      </c>
      <c r="D1792" s="2">
        <v>-8.0</v>
      </c>
      <c r="E1792" s="2"/>
      <c r="H1792" s="2" t="s">
        <v>571</v>
      </c>
    </row>
    <row r="1793" ht="15.75" customHeight="1">
      <c r="A1793" s="2" t="s">
        <v>2454</v>
      </c>
      <c r="B1793" s="2" t="s">
        <v>342</v>
      </c>
      <c r="C1793" s="6">
        <v>46123.76261574074</v>
      </c>
      <c r="D1793" s="2">
        <v>-3.0</v>
      </c>
      <c r="E1793" s="2"/>
      <c r="H1793" s="2" t="s">
        <v>571</v>
      </c>
    </row>
    <row r="1794" ht="15.75" customHeight="1">
      <c r="A1794" s="2" t="s">
        <v>2455</v>
      </c>
      <c r="B1794" s="5" t="s">
        <v>192</v>
      </c>
      <c r="C1794" s="6">
        <v>46123.76273148148</v>
      </c>
      <c r="D1794" s="2">
        <v>-10.0</v>
      </c>
      <c r="E1794" s="2"/>
      <c r="H1794" s="2" t="s">
        <v>571</v>
      </c>
    </row>
    <row r="1795" ht="15.75" customHeight="1">
      <c r="A1795" s="2" t="s">
        <v>2456</v>
      </c>
      <c r="B1795" s="2" t="s">
        <v>304</v>
      </c>
      <c r="C1795" s="6">
        <v>46123.762870370374</v>
      </c>
      <c r="D1795" s="2">
        <v>-6.0</v>
      </c>
      <c r="E1795" s="2"/>
      <c r="H1795" s="2" t="s">
        <v>571</v>
      </c>
    </row>
    <row r="1796" ht="15.75" customHeight="1">
      <c r="A1796" s="2" t="s">
        <v>2457</v>
      </c>
      <c r="B1796" s="5" t="s">
        <v>217</v>
      </c>
      <c r="C1796" s="6">
        <v>46123.79981481482</v>
      </c>
      <c r="D1796" s="2">
        <v>15.0</v>
      </c>
      <c r="E1796" s="2"/>
      <c r="H1796" s="2" t="s">
        <v>571</v>
      </c>
    </row>
    <row r="1797" ht="15.75" customHeight="1">
      <c r="A1797" s="2" t="s">
        <v>2458</v>
      </c>
      <c r="B1797" s="5" t="s">
        <v>217</v>
      </c>
      <c r="C1797" s="6">
        <v>46123.808645833335</v>
      </c>
      <c r="D1797" s="2">
        <v>9.0</v>
      </c>
      <c r="E1797" s="2"/>
      <c r="H1797" s="2" t="s">
        <v>571</v>
      </c>
    </row>
    <row r="1798" ht="15.75" customHeight="1">
      <c r="A1798" s="2" t="s">
        <v>2459</v>
      </c>
      <c r="B1798" s="2" t="s">
        <v>408</v>
      </c>
      <c r="C1798" s="6">
        <v>46123.83146990741</v>
      </c>
      <c r="D1798" s="2">
        <v>108.0</v>
      </c>
      <c r="E1798" s="2" t="s">
        <v>2460</v>
      </c>
      <c r="H1798" s="2" t="s">
        <v>571</v>
      </c>
    </row>
    <row r="1799" ht="15.75" customHeight="1">
      <c r="A1799" s="2" t="s">
        <v>2461</v>
      </c>
      <c r="B1799" s="2" t="s">
        <v>339</v>
      </c>
      <c r="C1799" s="6">
        <v>46123.83153935185</v>
      </c>
      <c r="D1799" s="2">
        <v>30.0</v>
      </c>
      <c r="E1799" s="2" t="s">
        <v>2460</v>
      </c>
      <c r="H1799" s="2" t="s">
        <v>571</v>
      </c>
    </row>
    <row r="1800" ht="15.75" customHeight="1">
      <c r="A1800" s="2" t="s">
        <v>2462</v>
      </c>
      <c r="B1800" s="5" t="s">
        <v>186</v>
      </c>
      <c r="C1800" s="6">
        <v>46123.834178240744</v>
      </c>
      <c r="D1800" s="2">
        <v>30.0</v>
      </c>
      <c r="E1800" s="2" t="s">
        <v>2463</v>
      </c>
      <c r="H1800" s="2" t="s">
        <v>571</v>
      </c>
    </row>
    <row r="1801" ht="15.75" customHeight="1">
      <c r="A1801" s="2" t="s">
        <v>2464</v>
      </c>
      <c r="B1801" s="2" t="s">
        <v>372</v>
      </c>
      <c r="C1801" s="6">
        <v>46123.834328703706</v>
      </c>
      <c r="D1801" s="2">
        <v>48.0</v>
      </c>
      <c r="E1801" s="2" t="s">
        <v>2463</v>
      </c>
      <c r="H1801" s="2" t="s">
        <v>571</v>
      </c>
    </row>
    <row r="1802" ht="15.75" customHeight="1">
      <c r="A1802" s="2" t="s">
        <v>2465</v>
      </c>
      <c r="B1802" s="2" t="s">
        <v>378</v>
      </c>
      <c r="C1802" s="6">
        <v>46123.834398148145</v>
      </c>
      <c r="D1802" s="2">
        <v>24.0</v>
      </c>
      <c r="E1802" s="2" t="s">
        <v>2463</v>
      </c>
      <c r="H1802" s="2" t="s">
        <v>571</v>
      </c>
    </row>
    <row r="1803" ht="15.75" customHeight="1">
      <c r="A1803" s="2" t="s">
        <v>2466</v>
      </c>
      <c r="B1803" s="2" t="s">
        <v>384</v>
      </c>
      <c r="C1803" s="6">
        <v>46123.834444444445</v>
      </c>
      <c r="D1803" s="2">
        <v>24.0</v>
      </c>
      <c r="E1803" s="2" t="s">
        <v>2463</v>
      </c>
      <c r="H1803" s="2" t="s">
        <v>571</v>
      </c>
    </row>
    <row r="1804" ht="15.75" customHeight="1">
      <c r="A1804" s="2" t="s">
        <v>2467</v>
      </c>
      <c r="B1804" s="5" t="s">
        <v>120</v>
      </c>
      <c r="C1804" s="6">
        <v>46123.83451388889</v>
      </c>
      <c r="D1804" s="2">
        <v>18.0</v>
      </c>
      <c r="E1804" s="2" t="s">
        <v>2463</v>
      </c>
      <c r="H1804" s="2" t="s">
        <v>571</v>
      </c>
    </row>
    <row r="1805" ht="15.75" customHeight="1">
      <c r="A1805" s="2" t="s">
        <v>2468</v>
      </c>
      <c r="B1805" s="5" t="s">
        <v>134</v>
      </c>
      <c r="C1805" s="6">
        <v>46123.83457175926</v>
      </c>
      <c r="D1805" s="2">
        <v>54.0</v>
      </c>
      <c r="E1805" s="2" t="s">
        <v>2463</v>
      </c>
      <c r="H1805" s="2" t="s">
        <v>571</v>
      </c>
    </row>
    <row r="1806" ht="15.75" customHeight="1">
      <c r="A1806" s="2" t="s">
        <v>2469</v>
      </c>
      <c r="B1806" s="5" t="s">
        <v>59</v>
      </c>
      <c r="C1806" s="6">
        <v>46123.834641203706</v>
      </c>
      <c r="D1806" s="2">
        <v>54.0</v>
      </c>
      <c r="E1806" s="2" t="s">
        <v>2463</v>
      </c>
      <c r="H1806" s="2" t="s">
        <v>571</v>
      </c>
    </row>
    <row r="1807" ht="15.75" customHeight="1">
      <c r="A1807" s="2" t="s">
        <v>2470</v>
      </c>
      <c r="B1807" s="2" t="s">
        <v>399</v>
      </c>
      <c r="C1807" s="6">
        <v>46123.834699074076</v>
      </c>
      <c r="D1807" s="2">
        <v>12.0</v>
      </c>
      <c r="E1807" s="2" t="s">
        <v>2463</v>
      </c>
      <c r="H1807" s="2" t="s">
        <v>571</v>
      </c>
    </row>
    <row r="1808" ht="15.75" customHeight="1">
      <c r="A1808" s="2" t="s">
        <v>2471</v>
      </c>
      <c r="B1808" s="5" t="s">
        <v>192</v>
      </c>
      <c r="C1808" s="6">
        <v>46123.834756944445</v>
      </c>
      <c r="D1808" s="2">
        <v>48.0</v>
      </c>
      <c r="E1808" s="2" t="s">
        <v>2463</v>
      </c>
      <c r="H1808" s="2" t="s">
        <v>571</v>
      </c>
    </row>
    <row r="1809" ht="15.75" customHeight="1">
      <c r="A1809" s="2" t="s">
        <v>2472</v>
      </c>
      <c r="B1809" s="2" t="s">
        <v>304</v>
      </c>
      <c r="C1809" s="6">
        <v>46123.83482638889</v>
      </c>
      <c r="D1809" s="2">
        <v>0.0</v>
      </c>
      <c r="E1809" s="2" t="s">
        <v>2463</v>
      </c>
      <c r="H1809" s="2" t="s">
        <v>571</v>
      </c>
    </row>
    <row r="1810" ht="15.75" customHeight="1">
      <c r="A1810" s="2" t="s">
        <v>2473</v>
      </c>
      <c r="B1810" s="2" t="s">
        <v>405</v>
      </c>
      <c r="C1810" s="6">
        <v>46123.83488425926</v>
      </c>
      <c r="D1810" s="2">
        <v>24.0</v>
      </c>
      <c r="E1810" s="2" t="s">
        <v>2463</v>
      </c>
      <c r="H1810" s="2" t="s">
        <v>571</v>
      </c>
    </row>
    <row r="1811" ht="15.75" customHeight="1">
      <c r="A1811" s="2" t="s">
        <v>2474</v>
      </c>
      <c r="B1811" s="2" t="s">
        <v>327</v>
      </c>
      <c r="C1811" s="6">
        <v>46123.83546296296</v>
      </c>
      <c r="D1811" s="2">
        <v>80.0</v>
      </c>
      <c r="E1811" s="2" t="s">
        <v>2475</v>
      </c>
      <c r="H1811" s="2" t="s">
        <v>571</v>
      </c>
    </row>
    <row r="1812" ht="15.75" customHeight="1">
      <c r="A1812" s="2" t="s">
        <v>2476</v>
      </c>
      <c r="B1812" s="5" t="s">
        <v>165</v>
      </c>
      <c r="C1812" s="6">
        <v>46123.83550925926</v>
      </c>
      <c r="D1812" s="2">
        <v>48.0</v>
      </c>
      <c r="E1812" s="2" t="s">
        <v>2475</v>
      </c>
      <c r="H1812" s="2" t="s">
        <v>571</v>
      </c>
    </row>
    <row r="1813" ht="15.75" customHeight="1">
      <c r="A1813" s="2" t="s">
        <v>2477</v>
      </c>
      <c r="B1813" s="2" t="s">
        <v>333</v>
      </c>
      <c r="C1813" s="6">
        <v>46123.83557870371</v>
      </c>
      <c r="D1813" s="2">
        <v>48.0</v>
      </c>
      <c r="E1813" s="2" t="s">
        <v>2475</v>
      </c>
      <c r="H1813" s="2" t="s">
        <v>571</v>
      </c>
    </row>
    <row r="1814" ht="15.75" customHeight="1">
      <c r="A1814" s="2" t="s">
        <v>2478</v>
      </c>
      <c r="B1814" s="5" t="s">
        <v>96</v>
      </c>
      <c r="C1814" s="6">
        <v>46123.835960648146</v>
      </c>
      <c r="D1814" s="2">
        <v>48.0</v>
      </c>
      <c r="E1814" s="2" t="s">
        <v>2479</v>
      </c>
      <c r="H1814" s="2" t="s">
        <v>571</v>
      </c>
    </row>
    <row r="1815" ht="15.75" customHeight="1">
      <c r="A1815" s="2" t="s">
        <v>2480</v>
      </c>
      <c r="B1815" s="2" t="s">
        <v>369</v>
      </c>
      <c r="C1815" s="6">
        <v>46123.83603009259</v>
      </c>
      <c r="D1815" s="2">
        <v>60.0</v>
      </c>
      <c r="E1815" s="2" t="s">
        <v>2479</v>
      </c>
      <c r="H1815" s="2" t="s">
        <v>571</v>
      </c>
    </row>
    <row r="1816" ht="15.75" customHeight="1">
      <c r="A1816" s="2" t="s">
        <v>2481</v>
      </c>
      <c r="B1816" s="2" t="s">
        <v>408</v>
      </c>
      <c r="C1816" s="6">
        <v>46124.09085648148</v>
      </c>
      <c r="D1816" s="2">
        <v>-41.0</v>
      </c>
      <c r="E1816" s="2"/>
      <c r="H1816" s="2" t="s">
        <v>571</v>
      </c>
    </row>
    <row r="1817" ht="15.75" customHeight="1">
      <c r="A1817" s="2" t="s">
        <v>2482</v>
      </c>
      <c r="B1817" s="2" t="s">
        <v>327</v>
      </c>
      <c r="C1817" s="6">
        <v>46124.09172453704</v>
      </c>
      <c r="D1817" s="2">
        <v>-25.0</v>
      </c>
      <c r="E1817" s="2"/>
      <c r="H1817" s="2" t="s">
        <v>571</v>
      </c>
    </row>
    <row r="1818" ht="15.75" customHeight="1">
      <c r="A1818" s="2" t="s">
        <v>2483</v>
      </c>
      <c r="B1818" s="5" t="s">
        <v>217</v>
      </c>
      <c r="C1818" s="6">
        <v>46124.09212962963</v>
      </c>
      <c r="D1818" s="2">
        <v>-20.0</v>
      </c>
      <c r="E1818" s="2"/>
      <c r="H1818" s="2" t="s">
        <v>571</v>
      </c>
    </row>
    <row r="1819" ht="15.75" customHeight="1">
      <c r="A1819" s="2" t="s">
        <v>2484</v>
      </c>
      <c r="B1819" s="5" t="s">
        <v>186</v>
      </c>
      <c r="C1819" s="6">
        <v>46124.092314814814</v>
      </c>
      <c r="D1819" s="2">
        <v>-9.0</v>
      </c>
      <c r="E1819" s="2"/>
      <c r="H1819" s="2" t="s">
        <v>571</v>
      </c>
    </row>
    <row r="1820" ht="15.75" customHeight="1">
      <c r="A1820" s="2" t="s">
        <v>2485</v>
      </c>
      <c r="B1820" s="2" t="s">
        <v>378</v>
      </c>
      <c r="C1820" s="6">
        <v>46124.09261574074</v>
      </c>
      <c r="D1820" s="2">
        <v>-7.0</v>
      </c>
      <c r="E1820" s="2"/>
      <c r="H1820" s="2" t="s">
        <v>571</v>
      </c>
    </row>
    <row r="1821" ht="15.75" customHeight="1">
      <c r="A1821" s="2" t="s">
        <v>2486</v>
      </c>
      <c r="B1821" s="2" t="s">
        <v>372</v>
      </c>
      <c r="C1821" s="6">
        <v>46124.09284722222</v>
      </c>
      <c r="D1821" s="2">
        <v>-7.0</v>
      </c>
      <c r="E1821" s="2"/>
      <c r="H1821" s="2" t="s">
        <v>571</v>
      </c>
    </row>
    <row r="1822" ht="15.75" customHeight="1">
      <c r="A1822" s="2" t="s">
        <v>2487</v>
      </c>
      <c r="B1822" s="5" t="s">
        <v>165</v>
      </c>
      <c r="C1822" s="6">
        <v>46124.09297453704</v>
      </c>
      <c r="D1822" s="2">
        <v>-5.0</v>
      </c>
      <c r="E1822" s="2"/>
      <c r="H1822" s="2" t="s">
        <v>571</v>
      </c>
    </row>
    <row r="1823" ht="15.75" customHeight="1">
      <c r="A1823" s="2" t="s">
        <v>2488</v>
      </c>
      <c r="B1823" s="5" t="s">
        <v>96</v>
      </c>
      <c r="C1823" s="6">
        <v>46124.09310185185</v>
      </c>
      <c r="D1823" s="2">
        <v>-6.0</v>
      </c>
      <c r="E1823" s="2"/>
      <c r="H1823" s="2" t="s">
        <v>571</v>
      </c>
    </row>
    <row r="1824" ht="15.75" customHeight="1">
      <c r="A1824" s="2" t="s">
        <v>2489</v>
      </c>
      <c r="B1824" s="2" t="s">
        <v>369</v>
      </c>
      <c r="C1824" s="6">
        <v>46124.093310185184</v>
      </c>
      <c r="D1824" s="2">
        <v>-4.0</v>
      </c>
      <c r="E1824" s="2"/>
      <c r="H1824" s="2" t="s">
        <v>571</v>
      </c>
    </row>
    <row r="1825" ht="15.75" customHeight="1">
      <c r="A1825" s="2" t="s">
        <v>2490</v>
      </c>
      <c r="B1825" s="5" t="s">
        <v>142</v>
      </c>
      <c r="C1825" s="6">
        <v>46124.09341435185</v>
      </c>
      <c r="D1825" s="2">
        <v>-7.0</v>
      </c>
      <c r="E1825" s="2"/>
      <c r="H1825" s="2" t="s">
        <v>571</v>
      </c>
    </row>
    <row r="1826" ht="15.75" customHeight="1">
      <c r="A1826" s="2" t="s">
        <v>2491</v>
      </c>
      <c r="B1826" s="2" t="s">
        <v>387</v>
      </c>
      <c r="C1826" s="6">
        <v>46124.093506944446</v>
      </c>
      <c r="D1826" s="2">
        <v>-7.0</v>
      </c>
      <c r="E1826" s="2"/>
      <c r="H1826" s="2" t="s">
        <v>571</v>
      </c>
    </row>
    <row r="1827" ht="15.75" customHeight="1">
      <c r="A1827" s="2" t="s">
        <v>2492</v>
      </c>
      <c r="B1827" s="2" t="s">
        <v>405</v>
      </c>
      <c r="C1827" s="6">
        <v>46124.093622685185</v>
      </c>
      <c r="D1827" s="2">
        <v>-7.0</v>
      </c>
      <c r="E1827" s="2"/>
      <c r="H1827" s="2" t="s">
        <v>571</v>
      </c>
    </row>
    <row r="1828" ht="15.75" customHeight="1">
      <c r="A1828" s="2" t="s">
        <v>2493</v>
      </c>
      <c r="B1828" s="2" t="s">
        <v>354</v>
      </c>
      <c r="C1828" s="6">
        <v>46124.093726851854</v>
      </c>
      <c r="D1828" s="2">
        <v>-4.0</v>
      </c>
      <c r="E1828" s="2"/>
      <c r="H1828" s="2" t="s">
        <v>571</v>
      </c>
    </row>
    <row r="1829" ht="15.75" customHeight="1">
      <c r="A1829" s="2" t="s">
        <v>2494</v>
      </c>
      <c r="B1829" s="2" t="s">
        <v>295</v>
      </c>
      <c r="C1829" s="6">
        <v>46124.093831018516</v>
      </c>
      <c r="D1829" s="2">
        <v>-10.0</v>
      </c>
      <c r="E1829" s="2"/>
      <c r="H1829" s="2" t="s">
        <v>571</v>
      </c>
    </row>
    <row r="1830" ht="15.75" customHeight="1">
      <c r="A1830" s="2" t="s">
        <v>2495</v>
      </c>
      <c r="B1830" s="5" t="s">
        <v>192</v>
      </c>
      <c r="C1830" s="6">
        <v>46124.093935185185</v>
      </c>
      <c r="D1830" s="2">
        <v>-8.0</v>
      </c>
      <c r="E1830" s="2"/>
      <c r="H1830" s="2" t="s">
        <v>571</v>
      </c>
    </row>
    <row r="1831" ht="15.75" customHeight="1">
      <c r="A1831" s="2" t="s">
        <v>2496</v>
      </c>
      <c r="B1831" s="5" t="s">
        <v>134</v>
      </c>
      <c r="C1831" s="6">
        <v>46124.09405092592</v>
      </c>
      <c r="D1831" s="2">
        <v>-6.0</v>
      </c>
      <c r="E1831" s="2"/>
      <c r="H1831" s="2" t="s">
        <v>571</v>
      </c>
    </row>
    <row r="1832" ht="15.75" customHeight="1">
      <c r="A1832" s="2" t="s">
        <v>2497</v>
      </c>
      <c r="B1832" s="5" t="s">
        <v>59</v>
      </c>
      <c r="C1832" s="6">
        <v>46124.094201388885</v>
      </c>
      <c r="D1832" s="2">
        <v>-8.0</v>
      </c>
      <c r="E1832" s="2"/>
      <c r="H1832" s="2" t="s">
        <v>571</v>
      </c>
    </row>
    <row r="1833" ht="15.75" customHeight="1">
      <c r="A1833" s="2" t="s">
        <v>2498</v>
      </c>
      <c r="B1833" s="5" t="s">
        <v>214</v>
      </c>
      <c r="C1833" s="6">
        <v>46124.09431712963</v>
      </c>
      <c r="D1833" s="2">
        <v>-36.0</v>
      </c>
      <c r="E1833" s="2"/>
      <c r="H1833" s="2" t="s">
        <v>571</v>
      </c>
    </row>
    <row r="1834" ht="15.75" customHeight="1">
      <c r="A1834" s="2" t="s">
        <v>2499</v>
      </c>
      <c r="B1834" s="5" t="s">
        <v>214</v>
      </c>
      <c r="C1834" s="6">
        <v>46124.09484953704</v>
      </c>
      <c r="D1834" s="2">
        <v>120.0</v>
      </c>
      <c r="E1834" s="2" t="s">
        <v>2500</v>
      </c>
      <c r="H1834" s="2" t="s">
        <v>571</v>
      </c>
    </row>
    <row r="1835" ht="15.75" customHeight="1">
      <c r="A1835" s="5" t="s">
        <v>2501</v>
      </c>
      <c r="B1835" s="2" t="s">
        <v>378</v>
      </c>
      <c r="C1835" s="6">
        <v>46124.55403935185</v>
      </c>
      <c r="D1835" s="2">
        <v>-17.0</v>
      </c>
      <c r="E1835" s="2"/>
      <c r="H1835" s="2" t="s">
        <v>599</v>
      </c>
    </row>
    <row r="1836" ht="15.75" customHeight="1">
      <c r="A1836" s="2" t="s">
        <v>2502</v>
      </c>
      <c r="B1836" s="2" t="s">
        <v>372</v>
      </c>
      <c r="C1836" s="6">
        <v>46124.554444444446</v>
      </c>
      <c r="D1836" s="2">
        <v>-15.0</v>
      </c>
      <c r="E1836" s="2"/>
      <c r="H1836" s="2" t="s">
        <v>599</v>
      </c>
    </row>
    <row r="1837" ht="15.75" customHeight="1">
      <c r="A1837" s="2" t="s">
        <v>2503</v>
      </c>
      <c r="B1837" s="2" t="s">
        <v>372</v>
      </c>
      <c r="C1837" s="6">
        <v>46124.554756944446</v>
      </c>
      <c r="D1837" s="2">
        <v>-2.0</v>
      </c>
      <c r="E1837" s="2"/>
      <c r="H1837" s="2" t="s">
        <v>599</v>
      </c>
    </row>
    <row r="1838" ht="15.75" customHeight="1">
      <c r="A1838" s="2" t="s">
        <v>2504</v>
      </c>
      <c r="B1838" s="5" t="s">
        <v>120</v>
      </c>
      <c r="C1838" s="6">
        <v>46124.55484953704</v>
      </c>
      <c r="D1838" s="2">
        <v>-6.0</v>
      </c>
      <c r="E1838" s="2"/>
      <c r="H1838" s="2" t="s">
        <v>571</v>
      </c>
    </row>
    <row r="1839" ht="15.75" customHeight="1">
      <c r="A1839" s="2" t="s">
        <v>2505</v>
      </c>
      <c r="B1839" s="5" t="s">
        <v>217</v>
      </c>
      <c r="C1839" s="6">
        <v>46124.55486111111</v>
      </c>
      <c r="D1839" s="2">
        <v>-30.0</v>
      </c>
      <c r="E1839" s="2"/>
      <c r="H1839" s="2" t="s">
        <v>599</v>
      </c>
    </row>
    <row r="1840" ht="15.75" customHeight="1">
      <c r="A1840" s="2" t="s">
        <v>2506</v>
      </c>
      <c r="B1840" s="2" t="s">
        <v>327</v>
      </c>
      <c r="C1840" s="6">
        <v>46124.55490740741</v>
      </c>
      <c r="D1840" s="2">
        <v>-14.0</v>
      </c>
      <c r="E1840" s="2"/>
      <c r="H1840" s="2" t="s">
        <v>599</v>
      </c>
    </row>
    <row r="1841" ht="15.75" customHeight="1">
      <c r="A1841" s="2" t="s">
        <v>2507</v>
      </c>
      <c r="B1841" s="2" t="s">
        <v>339</v>
      </c>
      <c r="C1841" s="6">
        <v>46124.554976851854</v>
      </c>
      <c r="D1841" s="2">
        <v>-7.0</v>
      </c>
      <c r="E1841" s="2"/>
      <c r="H1841" s="2" t="s">
        <v>571</v>
      </c>
    </row>
    <row r="1842" ht="15.75" customHeight="1">
      <c r="A1842" s="2" t="s">
        <v>2508</v>
      </c>
      <c r="B1842" s="5" t="s">
        <v>131</v>
      </c>
      <c r="C1842" s="6">
        <v>46124.555081018516</v>
      </c>
      <c r="D1842" s="2">
        <v>-6.0</v>
      </c>
      <c r="E1842" s="2"/>
      <c r="H1842" s="2" t="s">
        <v>571</v>
      </c>
    </row>
    <row r="1843" ht="15.75" customHeight="1">
      <c r="A1843" s="2" t="s">
        <v>2509</v>
      </c>
      <c r="B1843" s="5" t="s">
        <v>171</v>
      </c>
      <c r="C1843" s="6">
        <v>46124.55527777778</v>
      </c>
      <c r="D1843" s="2">
        <v>-5.0</v>
      </c>
      <c r="E1843" s="2"/>
      <c r="H1843" s="2" t="s">
        <v>571</v>
      </c>
    </row>
    <row r="1844" ht="15.75" customHeight="1">
      <c r="A1844" s="2" t="s">
        <v>2510</v>
      </c>
      <c r="B1844" s="2" t="s">
        <v>408</v>
      </c>
      <c r="C1844" s="6">
        <v>46124.55532407408</v>
      </c>
      <c r="D1844" s="2">
        <v>-4.0</v>
      </c>
      <c r="E1844" s="2"/>
      <c r="H1844" s="2" t="s">
        <v>599</v>
      </c>
    </row>
    <row r="1845" ht="15.75" customHeight="1">
      <c r="A1845" s="2" t="s">
        <v>2511</v>
      </c>
      <c r="B1845" s="5" t="s">
        <v>165</v>
      </c>
      <c r="C1845" s="6">
        <v>46124.55552083333</v>
      </c>
      <c r="D1845" s="2">
        <v>-12.0</v>
      </c>
      <c r="E1845" s="2"/>
      <c r="H1845" s="2" t="s">
        <v>571</v>
      </c>
    </row>
    <row r="1846" ht="15.75" customHeight="1">
      <c r="A1846" s="2" t="s">
        <v>2512</v>
      </c>
      <c r="B1846" s="2" t="s">
        <v>295</v>
      </c>
      <c r="C1846" s="6">
        <v>46124.55564814815</v>
      </c>
      <c r="D1846" s="2">
        <v>-12.0</v>
      </c>
      <c r="E1846" s="2"/>
      <c r="H1846" s="2" t="s">
        <v>599</v>
      </c>
    </row>
    <row r="1847" ht="15.75" customHeight="1">
      <c r="A1847" s="2" t="s">
        <v>2513</v>
      </c>
      <c r="B1847" s="2" t="s">
        <v>369</v>
      </c>
      <c r="C1847" s="6">
        <v>46124.55564814815</v>
      </c>
      <c r="D1847" s="2">
        <v>-6.0</v>
      </c>
      <c r="E1847" s="2"/>
      <c r="H1847" s="2" t="s">
        <v>571</v>
      </c>
    </row>
    <row r="1848" ht="15.75" customHeight="1">
      <c r="A1848" s="2" t="s">
        <v>2514</v>
      </c>
      <c r="B1848" s="5" t="s">
        <v>134</v>
      </c>
      <c r="C1848" s="6">
        <v>46124.555914351855</v>
      </c>
      <c r="D1848" s="2">
        <v>-7.0</v>
      </c>
      <c r="E1848" s="2"/>
      <c r="H1848" s="2" t="s">
        <v>571</v>
      </c>
    </row>
    <row r="1849" ht="15.75" customHeight="1">
      <c r="A1849" s="2" t="s">
        <v>2515</v>
      </c>
      <c r="B1849" s="5" t="s">
        <v>142</v>
      </c>
      <c r="C1849" s="6">
        <v>46124.55605324074</v>
      </c>
      <c r="D1849" s="2">
        <v>-6.0</v>
      </c>
      <c r="E1849" s="2"/>
      <c r="H1849" s="2" t="s">
        <v>571</v>
      </c>
    </row>
    <row r="1850" ht="15.75" customHeight="1">
      <c r="A1850" s="2" t="s">
        <v>2516</v>
      </c>
      <c r="B1850" s="2" t="s">
        <v>387</v>
      </c>
      <c r="C1850" s="6">
        <v>46124.55614583333</v>
      </c>
      <c r="D1850" s="2">
        <v>-7.0</v>
      </c>
      <c r="E1850" s="2"/>
      <c r="H1850" s="2" t="s">
        <v>571</v>
      </c>
    </row>
    <row r="1851" ht="15.75" customHeight="1">
      <c r="A1851" s="2" t="s">
        <v>2517</v>
      </c>
      <c r="B1851" s="5" t="s">
        <v>192</v>
      </c>
      <c r="C1851" s="6">
        <v>46124.556284722225</v>
      </c>
      <c r="D1851" s="2">
        <v>-7.0</v>
      </c>
      <c r="E1851" s="2"/>
      <c r="H1851" s="2" t="s">
        <v>571</v>
      </c>
    </row>
    <row r="1852" ht="15.75" customHeight="1">
      <c r="A1852" s="2" t="s">
        <v>2518</v>
      </c>
      <c r="B1852" s="5" t="s">
        <v>20</v>
      </c>
      <c r="C1852" s="6">
        <v>46124.556435185186</v>
      </c>
      <c r="D1852" s="2">
        <v>-21.0</v>
      </c>
      <c r="E1852" s="2"/>
      <c r="H1852" s="2" t="s">
        <v>571</v>
      </c>
    </row>
    <row r="1853" ht="15.75" customHeight="1">
      <c r="A1853" s="2" t="s">
        <v>2519</v>
      </c>
      <c r="B1853" s="2" t="s">
        <v>369</v>
      </c>
      <c r="C1853" s="6">
        <v>46124.556435185186</v>
      </c>
      <c r="D1853" s="2">
        <v>-5.0</v>
      </c>
      <c r="E1853" s="2"/>
      <c r="H1853" s="2" t="s">
        <v>599</v>
      </c>
    </row>
    <row r="1854" ht="15.75" customHeight="1">
      <c r="A1854" s="2" t="s">
        <v>2520</v>
      </c>
      <c r="B1854" s="5" t="s">
        <v>214</v>
      </c>
      <c r="C1854" s="6">
        <v>46124.556539351855</v>
      </c>
      <c r="D1854" s="2">
        <v>-60.0</v>
      </c>
      <c r="E1854" s="2"/>
      <c r="H1854" s="2" t="s">
        <v>571</v>
      </c>
    </row>
    <row r="1855" ht="15.75" customHeight="1">
      <c r="A1855" s="2" t="s">
        <v>2521</v>
      </c>
      <c r="B1855" s="5" t="s">
        <v>96</v>
      </c>
      <c r="C1855" s="6">
        <v>46124.55677083333</v>
      </c>
      <c r="D1855" s="2">
        <v>-8.0</v>
      </c>
      <c r="E1855" s="2"/>
      <c r="H1855" s="2" t="s">
        <v>599</v>
      </c>
    </row>
    <row r="1856" ht="15.75" customHeight="1">
      <c r="A1856" s="2" t="s">
        <v>2522</v>
      </c>
      <c r="B1856" s="5" t="s">
        <v>59</v>
      </c>
      <c r="C1856" s="6">
        <v>46124.55730324074</v>
      </c>
      <c r="D1856" s="2">
        <v>-1.0</v>
      </c>
      <c r="E1856" s="2"/>
      <c r="H1856" s="2" t="s">
        <v>599</v>
      </c>
    </row>
    <row r="1857" ht="15.75" customHeight="1">
      <c r="A1857" s="2" t="s">
        <v>2523</v>
      </c>
      <c r="B1857" s="5" t="s">
        <v>134</v>
      </c>
      <c r="C1857" s="6">
        <v>46124.557291666664</v>
      </c>
      <c r="D1857" s="2">
        <v>-16.0</v>
      </c>
      <c r="E1857" s="2"/>
      <c r="H1857" s="2" t="s">
        <v>571</v>
      </c>
    </row>
    <row r="1858" ht="15.75" customHeight="1">
      <c r="A1858" s="2" t="s">
        <v>2524</v>
      </c>
      <c r="B1858" s="5" t="s">
        <v>134</v>
      </c>
      <c r="C1858" s="6">
        <v>46124.557442129626</v>
      </c>
      <c r="D1858" s="2">
        <v>-5.0</v>
      </c>
      <c r="E1858" s="2"/>
      <c r="H1858" s="2" t="s">
        <v>599</v>
      </c>
    </row>
    <row r="1859" ht="15.75" customHeight="1">
      <c r="A1859" s="2" t="s">
        <v>2525</v>
      </c>
      <c r="B1859" s="5" t="s">
        <v>59</v>
      </c>
      <c r="C1859" s="6">
        <v>46124.55743055556</v>
      </c>
      <c r="D1859" s="2">
        <v>-14.0</v>
      </c>
      <c r="E1859" s="2"/>
      <c r="H1859" s="2" t="s">
        <v>571</v>
      </c>
    </row>
    <row r="1860" ht="15.75" customHeight="1">
      <c r="A1860" s="2" t="s">
        <v>2526</v>
      </c>
      <c r="B1860" s="5" t="s">
        <v>142</v>
      </c>
      <c r="C1860" s="6">
        <v>46124.557800925926</v>
      </c>
      <c r="D1860" s="2">
        <v>-9.0</v>
      </c>
      <c r="E1860" s="2"/>
      <c r="H1860" s="2" t="s">
        <v>599</v>
      </c>
    </row>
    <row r="1861" ht="15.75" customHeight="1">
      <c r="A1861" s="2" t="s">
        <v>2527</v>
      </c>
      <c r="B1861" s="2" t="s">
        <v>301</v>
      </c>
      <c r="C1861" s="6">
        <v>46124.557962962965</v>
      </c>
      <c r="D1861" s="2">
        <v>-2.0</v>
      </c>
      <c r="E1861" s="2"/>
      <c r="H1861" s="2" t="s">
        <v>599</v>
      </c>
    </row>
    <row r="1862" ht="15.75" customHeight="1">
      <c r="A1862" s="2" t="s">
        <v>2528</v>
      </c>
      <c r="B1862" s="2" t="s">
        <v>387</v>
      </c>
      <c r="C1862" s="6">
        <v>46124.5584375</v>
      </c>
      <c r="D1862" s="2">
        <v>-2.0</v>
      </c>
      <c r="E1862" s="2"/>
      <c r="H1862" s="2" t="s">
        <v>599</v>
      </c>
    </row>
    <row r="1863" ht="15.75" customHeight="1">
      <c r="A1863" s="2" t="s">
        <v>2529</v>
      </c>
      <c r="B1863" s="5" t="s">
        <v>82</v>
      </c>
      <c r="C1863" s="6">
        <v>46124.558530092596</v>
      </c>
      <c r="D1863" s="2">
        <v>-8.0</v>
      </c>
      <c r="E1863" s="2"/>
      <c r="H1863" s="2" t="s">
        <v>599</v>
      </c>
    </row>
    <row r="1864" ht="15.75" customHeight="1">
      <c r="A1864" s="2" t="s">
        <v>2530</v>
      </c>
      <c r="B1864" s="5" t="s">
        <v>192</v>
      </c>
      <c r="C1864" s="6">
        <v>46124.55934027778</v>
      </c>
      <c r="D1864" s="2">
        <v>-10.0</v>
      </c>
      <c r="E1864" s="2"/>
      <c r="H1864" s="2" t="s">
        <v>599</v>
      </c>
    </row>
    <row r="1865" ht="15.75" customHeight="1">
      <c r="A1865" s="5" t="s">
        <v>2531</v>
      </c>
      <c r="B1865" s="5" t="s">
        <v>214</v>
      </c>
      <c r="C1865" s="6">
        <v>46124.560520833336</v>
      </c>
      <c r="D1865" s="2">
        <v>-24.0</v>
      </c>
      <c r="E1865" s="2"/>
      <c r="H1865" s="2" t="s">
        <v>599</v>
      </c>
    </row>
    <row r="1866" ht="15.75" customHeight="1">
      <c r="A1866" s="2" t="s">
        <v>2532</v>
      </c>
      <c r="B1866" s="5" t="s">
        <v>217</v>
      </c>
      <c r="C1866" s="6">
        <v>46124.56574074074</v>
      </c>
      <c r="D1866" s="2">
        <v>-34.0</v>
      </c>
      <c r="E1866" s="2"/>
      <c r="H1866" s="2" t="s">
        <v>599</v>
      </c>
    </row>
    <row r="1867" ht="15.75" customHeight="1">
      <c r="A1867" s="2" t="s">
        <v>2533</v>
      </c>
      <c r="B1867" s="2" t="s">
        <v>327</v>
      </c>
      <c r="C1867" s="6">
        <v>46124.56599537037</v>
      </c>
      <c r="D1867" s="2">
        <v>-14.0</v>
      </c>
      <c r="E1867" s="2"/>
      <c r="H1867" s="2" t="s">
        <v>599</v>
      </c>
    </row>
    <row r="1868" ht="15.75" customHeight="1">
      <c r="A1868" s="2" t="s">
        <v>2534</v>
      </c>
      <c r="B1868" s="2" t="s">
        <v>384</v>
      </c>
      <c r="C1868" s="6">
        <v>46124.566099537034</v>
      </c>
      <c r="D1868" s="2">
        <v>-7.0</v>
      </c>
      <c r="E1868" s="2"/>
      <c r="H1868" s="2" t="s">
        <v>599</v>
      </c>
    </row>
    <row r="1869" ht="15.75" customHeight="1">
      <c r="A1869" s="2" t="s">
        <v>2535</v>
      </c>
      <c r="B1869" s="2" t="s">
        <v>375</v>
      </c>
      <c r="C1869" s="6">
        <v>46124.56618055556</v>
      </c>
      <c r="D1869" s="2">
        <v>-7.0</v>
      </c>
      <c r="E1869" s="2"/>
      <c r="H1869" s="2" t="s">
        <v>599</v>
      </c>
    </row>
    <row r="1870" ht="15.75" customHeight="1">
      <c r="A1870" s="2" t="s">
        <v>2536</v>
      </c>
      <c r="B1870" s="2" t="s">
        <v>372</v>
      </c>
      <c r="C1870" s="6">
        <v>46124.566296296296</v>
      </c>
      <c r="D1870" s="2">
        <v>-7.0</v>
      </c>
      <c r="E1870" s="2"/>
      <c r="H1870" s="2" t="s">
        <v>599</v>
      </c>
    </row>
    <row r="1871" ht="15.75" customHeight="1">
      <c r="A1871" s="2" t="s">
        <v>2537</v>
      </c>
      <c r="B1871" s="5" t="s">
        <v>165</v>
      </c>
      <c r="C1871" s="6">
        <v>46124.566608796296</v>
      </c>
      <c r="D1871" s="2">
        <v>-9.0</v>
      </c>
      <c r="E1871" s="2"/>
      <c r="H1871" s="2" t="s">
        <v>599</v>
      </c>
    </row>
    <row r="1872" ht="15.75" customHeight="1">
      <c r="A1872" s="2" t="s">
        <v>2538</v>
      </c>
      <c r="B1872" s="2" t="s">
        <v>295</v>
      </c>
      <c r="C1872" s="6">
        <v>46124.567141203705</v>
      </c>
      <c r="D1872" s="2">
        <v>-24.0</v>
      </c>
      <c r="E1872" s="2"/>
      <c r="H1872" s="2" t="s">
        <v>599</v>
      </c>
    </row>
    <row r="1873" ht="15.75" customHeight="1">
      <c r="A1873" s="2" t="s">
        <v>2539</v>
      </c>
      <c r="B1873" s="2" t="s">
        <v>369</v>
      </c>
      <c r="C1873" s="6">
        <v>46124.567291666666</v>
      </c>
      <c r="D1873" s="2">
        <v>-14.0</v>
      </c>
      <c r="E1873" s="2"/>
      <c r="H1873" s="2" t="s">
        <v>599</v>
      </c>
    </row>
    <row r="1874" ht="15.75" customHeight="1">
      <c r="A1874" s="2" t="s">
        <v>2540</v>
      </c>
      <c r="B1874" s="5" t="s">
        <v>96</v>
      </c>
      <c r="C1874" s="6">
        <v>46124.56778935185</v>
      </c>
      <c r="D1874" s="2">
        <v>-6.0</v>
      </c>
      <c r="E1874" s="2"/>
      <c r="H1874" s="2" t="s">
        <v>599</v>
      </c>
    </row>
    <row r="1875" ht="15.75" customHeight="1">
      <c r="A1875" s="2" t="s">
        <v>2541</v>
      </c>
      <c r="B1875" s="5" t="s">
        <v>134</v>
      </c>
      <c r="C1875" s="6">
        <v>46124.568333333336</v>
      </c>
      <c r="D1875" s="2">
        <v>-3.0</v>
      </c>
      <c r="E1875" s="2"/>
      <c r="H1875" s="2" t="s">
        <v>599</v>
      </c>
    </row>
    <row r="1876" ht="15.75" customHeight="1">
      <c r="A1876" s="2" t="s">
        <v>2542</v>
      </c>
      <c r="B1876" s="5" t="s">
        <v>192</v>
      </c>
      <c r="C1876" s="6">
        <v>46124.56861111111</v>
      </c>
      <c r="D1876" s="2">
        <v>-5.0</v>
      </c>
      <c r="E1876" s="2"/>
      <c r="H1876" s="2" t="s">
        <v>599</v>
      </c>
    </row>
    <row r="1877" ht="15.75" customHeight="1">
      <c r="A1877" s="2" t="s">
        <v>2543</v>
      </c>
      <c r="B1877" s="5" t="s">
        <v>82</v>
      </c>
      <c r="C1877" s="6">
        <v>46124.56896990741</v>
      </c>
      <c r="D1877" s="2">
        <v>-3.0</v>
      </c>
      <c r="E1877" s="2"/>
      <c r="H1877" s="2" t="s">
        <v>599</v>
      </c>
    </row>
    <row r="1878" ht="15.75" customHeight="1">
      <c r="A1878" s="2" t="s">
        <v>2544</v>
      </c>
      <c r="B1878" s="2" t="s">
        <v>387</v>
      </c>
      <c r="C1878" s="6">
        <v>46124.569074074076</v>
      </c>
      <c r="D1878" s="2">
        <v>-3.0</v>
      </c>
      <c r="E1878" s="2"/>
      <c r="H1878" s="2" t="s">
        <v>599</v>
      </c>
    </row>
    <row r="1879" ht="15.75" customHeight="1">
      <c r="A1879" s="2" t="s">
        <v>2545</v>
      </c>
      <c r="B1879" s="2" t="s">
        <v>301</v>
      </c>
      <c r="C1879" s="6">
        <v>46124.569386574076</v>
      </c>
      <c r="D1879" s="2">
        <v>-5.0</v>
      </c>
      <c r="E1879" s="2"/>
      <c r="H1879" s="2" t="s">
        <v>599</v>
      </c>
    </row>
    <row r="1880" ht="15.75" customHeight="1">
      <c r="A1880" s="2" t="s">
        <v>2546</v>
      </c>
      <c r="B1880" s="5" t="s">
        <v>142</v>
      </c>
      <c r="C1880" s="6">
        <v>46124.569861111115</v>
      </c>
      <c r="D1880" s="2">
        <v>-2.0</v>
      </c>
      <c r="E1880" s="2"/>
      <c r="H1880" s="2" t="s">
        <v>599</v>
      </c>
    </row>
    <row r="1881" ht="15.75" customHeight="1">
      <c r="A1881" s="2" t="s">
        <v>2547</v>
      </c>
      <c r="B1881" s="2" t="s">
        <v>405</v>
      </c>
      <c r="C1881" s="6">
        <v>46124.57047453704</v>
      </c>
      <c r="D1881" s="2">
        <v>-1.0</v>
      </c>
      <c r="E1881" s="2"/>
      <c r="H1881" s="2" t="s">
        <v>599</v>
      </c>
    </row>
    <row r="1882" ht="15.75" customHeight="1">
      <c r="A1882" s="2" t="s">
        <v>2548</v>
      </c>
      <c r="B1882" s="2" t="s">
        <v>405</v>
      </c>
      <c r="C1882" s="6">
        <v>46124.57053240741</v>
      </c>
      <c r="D1882" s="2">
        <v>-1.0</v>
      </c>
      <c r="E1882" s="2"/>
      <c r="H1882" s="2" t="s">
        <v>599</v>
      </c>
    </row>
    <row r="1883" ht="15.75" customHeight="1">
      <c r="A1883" s="2" t="s">
        <v>2549</v>
      </c>
      <c r="B1883" s="2" t="s">
        <v>304</v>
      </c>
      <c r="C1883" s="6">
        <v>46124.77076388889</v>
      </c>
      <c r="D1883" s="2">
        <v>24.0</v>
      </c>
      <c r="E1883" s="2"/>
      <c r="H1883" s="2" t="s">
        <v>571</v>
      </c>
    </row>
    <row r="1884" ht="15.75" customHeight="1">
      <c r="A1884" s="2" t="s">
        <v>2550</v>
      </c>
      <c r="B1884" s="5" t="s">
        <v>217</v>
      </c>
      <c r="C1884" s="6">
        <v>46124.88653935185</v>
      </c>
      <c r="D1884" s="2">
        <v>6.0</v>
      </c>
      <c r="E1884" s="2"/>
      <c r="H1884" s="2" t="s">
        <v>571</v>
      </c>
    </row>
    <row r="1885" ht="15.75" customHeight="1">
      <c r="A1885" s="2" t="s">
        <v>2551</v>
      </c>
      <c r="B1885" s="2" t="s">
        <v>286</v>
      </c>
      <c r="C1885" s="6">
        <v>46124.88663194444</v>
      </c>
      <c r="D1885" s="2">
        <v>-16.0</v>
      </c>
      <c r="E1885" s="2"/>
      <c r="H1885" s="2" t="s">
        <v>571</v>
      </c>
    </row>
    <row r="1886" ht="15.75" customHeight="1">
      <c r="A1886" s="2" t="s">
        <v>2552</v>
      </c>
      <c r="B1886" s="2" t="s">
        <v>327</v>
      </c>
      <c r="C1886" s="6">
        <v>46125.85229166667</v>
      </c>
      <c r="D1886" s="2">
        <v>-27.0</v>
      </c>
      <c r="E1886" s="2"/>
      <c r="H1886" s="2" t="s">
        <v>571</v>
      </c>
    </row>
    <row r="1887" ht="15.75" customHeight="1">
      <c r="A1887" s="2" t="s">
        <v>2553</v>
      </c>
      <c r="B1887" s="5" t="s">
        <v>217</v>
      </c>
      <c r="C1887" s="6">
        <v>46125.85322916666</v>
      </c>
      <c r="D1887" s="2">
        <v>5.0</v>
      </c>
      <c r="E1887" s="2"/>
      <c r="H1887" s="2" t="s">
        <v>571</v>
      </c>
    </row>
    <row r="1888" ht="15.75" customHeight="1">
      <c r="A1888" s="2" t="s">
        <v>2554</v>
      </c>
      <c r="B1888" s="2" t="s">
        <v>271</v>
      </c>
      <c r="C1888" s="6">
        <v>46125.853425925925</v>
      </c>
      <c r="D1888" s="2">
        <v>5.0</v>
      </c>
      <c r="E1888" s="2"/>
      <c r="H1888" s="2" t="s">
        <v>571</v>
      </c>
    </row>
    <row r="1889" ht="15.75" customHeight="1">
      <c r="A1889" s="2" t="s">
        <v>2555</v>
      </c>
      <c r="B1889" s="5" t="s">
        <v>186</v>
      </c>
      <c r="C1889" s="6">
        <v>46125.85398148148</v>
      </c>
      <c r="D1889" s="2">
        <v>-12.0</v>
      </c>
      <c r="E1889" s="2"/>
      <c r="H1889" s="2" t="s">
        <v>571</v>
      </c>
    </row>
    <row r="1890" ht="15.75" customHeight="1">
      <c r="A1890" s="2" t="s">
        <v>2556</v>
      </c>
      <c r="B1890" s="2" t="s">
        <v>399</v>
      </c>
      <c r="C1890" s="6">
        <v>46125.85414351852</v>
      </c>
      <c r="D1890" s="2">
        <v>-12.0</v>
      </c>
      <c r="E1890" s="2"/>
      <c r="H1890" s="2" t="s">
        <v>571</v>
      </c>
    </row>
    <row r="1891" ht="15.75" customHeight="1">
      <c r="A1891" s="2" t="s">
        <v>2557</v>
      </c>
      <c r="B1891" s="5" t="s">
        <v>134</v>
      </c>
      <c r="C1891" s="6">
        <v>46125.854780092595</v>
      </c>
      <c r="D1891" s="2">
        <v>-17.0</v>
      </c>
      <c r="E1891" s="2"/>
      <c r="H1891" s="2" t="s">
        <v>571</v>
      </c>
    </row>
    <row r="1892" ht="15.75" customHeight="1">
      <c r="A1892" s="2" t="s">
        <v>2558</v>
      </c>
      <c r="B1892" s="5" t="s">
        <v>59</v>
      </c>
      <c r="C1892" s="6">
        <v>46125.85513888889</v>
      </c>
      <c r="D1892" s="2">
        <v>-50.0</v>
      </c>
      <c r="E1892" s="2"/>
      <c r="H1892" s="2" t="s">
        <v>571</v>
      </c>
    </row>
    <row r="1893" ht="15.75" customHeight="1">
      <c r="A1893" s="2" t="s">
        <v>2559</v>
      </c>
      <c r="B1893" s="2" t="s">
        <v>369</v>
      </c>
      <c r="C1893" s="6">
        <v>46125.85533564815</v>
      </c>
      <c r="D1893" s="2">
        <v>-6.0</v>
      </c>
      <c r="E1893" s="2"/>
      <c r="H1893" s="2" t="s">
        <v>571</v>
      </c>
    </row>
    <row r="1894" ht="15.75" customHeight="1">
      <c r="A1894" s="2" t="s">
        <v>2560</v>
      </c>
      <c r="B1894" s="5" t="s">
        <v>131</v>
      </c>
      <c r="C1894" s="6">
        <v>46125.85582175926</v>
      </c>
      <c r="D1894" s="2">
        <v>-15.0</v>
      </c>
      <c r="E1894" s="2"/>
      <c r="H1894" s="2" t="s">
        <v>571</v>
      </c>
    </row>
    <row r="1895" ht="15.75" customHeight="1">
      <c r="A1895" s="2" t="s">
        <v>2561</v>
      </c>
      <c r="B1895" s="5" t="s">
        <v>192</v>
      </c>
      <c r="C1895" s="6">
        <v>46125.85619212963</v>
      </c>
      <c r="D1895" s="2">
        <v>-37.0</v>
      </c>
      <c r="E1895" s="2"/>
      <c r="H1895" s="2" t="s">
        <v>571</v>
      </c>
    </row>
    <row r="1896" ht="15.75" customHeight="1">
      <c r="A1896" s="2" t="s">
        <v>2562</v>
      </c>
      <c r="B1896" s="2" t="s">
        <v>304</v>
      </c>
      <c r="C1896" s="6">
        <v>46125.856400462966</v>
      </c>
      <c r="D1896" s="2">
        <v>-12.0</v>
      </c>
      <c r="E1896" s="2"/>
      <c r="H1896" s="2" t="s">
        <v>571</v>
      </c>
    </row>
    <row r="1897" ht="15.75" customHeight="1">
      <c r="A1897" s="2" t="s">
        <v>2563</v>
      </c>
      <c r="B1897" s="2" t="s">
        <v>405</v>
      </c>
      <c r="C1897" s="6">
        <v>46125.85664351852</v>
      </c>
      <c r="D1897" s="2">
        <v>-12.0</v>
      </c>
      <c r="E1897" s="2"/>
      <c r="H1897" s="2" t="s">
        <v>571</v>
      </c>
    </row>
    <row r="1898" ht="15.75" customHeight="1">
      <c r="A1898" s="2" t="s">
        <v>2564</v>
      </c>
      <c r="B1898" s="2" t="s">
        <v>405</v>
      </c>
      <c r="C1898" s="6">
        <v>46125.85674768518</v>
      </c>
      <c r="D1898" s="2">
        <v>3.0</v>
      </c>
      <c r="E1898" s="2"/>
      <c r="H1898" s="2" t="s">
        <v>571</v>
      </c>
    </row>
    <row r="1899" ht="15.75" customHeight="1">
      <c r="A1899" s="2" t="s">
        <v>2565</v>
      </c>
      <c r="B1899" s="5" t="s">
        <v>142</v>
      </c>
      <c r="C1899" s="6">
        <v>46125.85695601852</v>
      </c>
      <c r="D1899" s="2">
        <v>-3.0</v>
      </c>
      <c r="E1899" s="2"/>
      <c r="H1899" s="2" t="s">
        <v>571</v>
      </c>
    </row>
    <row r="1900" ht="15.75" customHeight="1">
      <c r="A1900" s="2" t="s">
        <v>2566</v>
      </c>
      <c r="B1900" s="2" t="s">
        <v>295</v>
      </c>
      <c r="C1900" s="6">
        <v>46125.85765046296</v>
      </c>
      <c r="D1900" s="2">
        <v>-75.0</v>
      </c>
      <c r="E1900" s="2"/>
      <c r="H1900" s="2" t="s">
        <v>571</v>
      </c>
    </row>
    <row r="1901" ht="15.75" customHeight="1">
      <c r="A1901" s="2" t="s">
        <v>2567</v>
      </c>
      <c r="B1901" s="2" t="s">
        <v>295</v>
      </c>
      <c r="C1901" s="6">
        <v>46125.85787037037</v>
      </c>
      <c r="D1901" s="2">
        <v>16.0</v>
      </c>
      <c r="E1901" s="2"/>
      <c r="H1901" s="2" t="s">
        <v>571</v>
      </c>
    </row>
    <row r="1902" ht="15.75" customHeight="1">
      <c r="A1902" s="2" t="s">
        <v>2568</v>
      </c>
      <c r="B1902" s="5" t="s">
        <v>217</v>
      </c>
      <c r="C1902" s="6">
        <v>46127.01081018519</v>
      </c>
      <c r="D1902" s="2">
        <v>-18.0</v>
      </c>
      <c r="E1902" s="2"/>
      <c r="H1902" s="2" t="s">
        <v>599</v>
      </c>
    </row>
    <row r="1903" ht="15.75" customHeight="1">
      <c r="A1903" s="2" t="s">
        <v>2569</v>
      </c>
      <c r="B1903" s="2" t="s">
        <v>271</v>
      </c>
      <c r="C1903" s="6">
        <v>46127.01096064815</v>
      </c>
      <c r="D1903" s="2">
        <v>-8.0</v>
      </c>
      <c r="E1903" s="2"/>
      <c r="H1903" s="2" t="s">
        <v>599</v>
      </c>
    </row>
    <row r="1904" ht="15.75" customHeight="1">
      <c r="A1904" s="2" t="s">
        <v>2570</v>
      </c>
      <c r="B1904" s="2" t="s">
        <v>327</v>
      </c>
      <c r="C1904" s="6">
        <v>46127.01106481482</v>
      </c>
      <c r="D1904" s="2">
        <v>-7.0</v>
      </c>
      <c r="E1904" s="2"/>
      <c r="H1904" s="2" t="s">
        <v>599</v>
      </c>
    </row>
    <row r="1905" ht="15.75" customHeight="1">
      <c r="A1905" s="2" t="s">
        <v>2571</v>
      </c>
      <c r="B1905" s="2" t="s">
        <v>289</v>
      </c>
      <c r="C1905" s="6">
        <v>46127.01195601852</v>
      </c>
      <c r="D1905" s="2">
        <v>-14.0</v>
      </c>
      <c r="E1905" s="2"/>
      <c r="H1905" s="2" t="s">
        <v>599</v>
      </c>
    </row>
    <row r="1906" ht="15.75" customHeight="1">
      <c r="A1906" s="2" t="s">
        <v>2572</v>
      </c>
      <c r="B1906" s="5" t="s">
        <v>120</v>
      </c>
      <c r="C1906" s="6">
        <v>46127.01253472222</v>
      </c>
      <c r="D1906" s="2">
        <v>-6.0</v>
      </c>
      <c r="E1906" s="2"/>
      <c r="H1906" s="2" t="s">
        <v>599</v>
      </c>
    </row>
    <row r="1907" ht="15.75" customHeight="1">
      <c r="A1907" s="2" t="s">
        <v>2573</v>
      </c>
      <c r="B1907" s="5" t="s">
        <v>131</v>
      </c>
      <c r="C1907" s="6">
        <v>46127.01274305556</v>
      </c>
      <c r="D1907" s="2">
        <v>-3.0</v>
      </c>
      <c r="E1907" s="2"/>
      <c r="H1907" s="2" t="s">
        <v>599</v>
      </c>
    </row>
    <row r="1908" ht="15.75" customHeight="1">
      <c r="A1908" s="2" t="s">
        <v>2574</v>
      </c>
      <c r="B1908" s="2" t="s">
        <v>384</v>
      </c>
      <c r="C1908" s="6">
        <v>46127.01421296296</v>
      </c>
      <c r="D1908" s="2">
        <v>-15.0</v>
      </c>
      <c r="E1908" s="2"/>
      <c r="H1908" s="2" t="s">
        <v>599</v>
      </c>
    </row>
    <row r="1909" ht="15.75" customHeight="1">
      <c r="A1909" s="2" t="s">
        <v>2575</v>
      </c>
      <c r="B1909" s="2" t="s">
        <v>378</v>
      </c>
      <c r="C1909" s="6">
        <v>46127.01436342593</v>
      </c>
      <c r="D1909" s="2">
        <v>-24.0</v>
      </c>
      <c r="E1909" s="2"/>
      <c r="H1909" s="2" t="s">
        <v>599</v>
      </c>
    </row>
    <row r="1910" ht="15.75" customHeight="1">
      <c r="A1910" s="2" t="s">
        <v>2576</v>
      </c>
      <c r="B1910" s="2" t="s">
        <v>360</v>
      </c>
      <c r="C1910" s="6">
        <v>46127.014710648145</v>
      </c>
      <c r="D1910" s="2">
        <v>-12.0</v>
      </c>
      <c r="E1910" s="2"/>
      <c r="H1910" s="2" t="s">
        <v>599</v>
      </c>
    </row>
    <row r="1911" ht="15.75" customHeight="1">
      <c r="A1911" s="2" t="s">
        <v>2577</v>
      </c>
      <c r="B1911" s="5" t="s">
        <v>59</v>
      </c>
      <c r="C1911" s="6">
        <v>46127.015497685185</v>
      </c>
      <c r="D1911" s="2">
        <v>-5.0</v>
      </c>
      <c r="E1911" s="2"/>
      <c r="H1911" s="2" t="s">
        <v>599</v>
      </c>
    </row>
    <row r="1912" ht="15.75" customHeight="1">
      <c r="A1912" s="2" t="s">
        <v>2578</v>
      </c>
      <c r="B1912" s="5" t="s">
        <v>134</v>
      </c>
      <c r="C1912" s="6">
        <v>46127.01571759259</v>
      </c>
      <c r="D1912" s="2">
        <v>-5.0</v>
      </c>
      <c r="E1912" s="2"/>
      <c r="H1912" s="2" t="s">
        <v>599</v>
      </c>
    </row>
    <row r="1913" ht="15.75" customHeight="1">
      <c r="A1913" s="2" t="s">
        <v>2579</v>
      </c>
      <c r="B1913" s="2" t="s">
        <v>369</v>
      </c>
      <c r="C1913" s="6">
        <v>46127.01599537037</v>
      </c>
      <c r="D1913" s="2">
        <v>-7.0</v>
      </c>
      <c r="E1913" s="2"/>
      <c r="H1913" s="2" t="s">
        <v>599</v>
      </c>
    </row>
    <row r="1914" ht="15.75" customHeight="1">
      <c r="A1914" s="2" t="s">
        <v>2580</v>
      </c>
      <c r="B1914" s="5" t="s">
        <v>142</v>
      </c>
      <c r="C1914" s="6">
        <v>46127.01763888889</v>
      </c>
      <c r="D1914" s="2">
        <v>-21.0</v>
      </c>
      <c r="E1914" s="2"/>
      <c r="H1914" s="2" t="s">
        <v>599</v>
      </c>
    </row>
    <row r="1915" ht="15.75" customHeight="1">
      <c r="A1915" s="2" t="s">
        <v>2581</v>
      </c>
      <c r="B1915" s="2" t="s">
        <v>301</v>
      </c>
      <c r="C1915" s="6">
        <v>46127.0177662037</v>
      </c>
      <c r="D1915" s="2">
        <v>-6.0</v>
      </c>
      <c r="E1915" s="2"/>
      <c r="H1915" s="2" t="s">
        <v>599</v>
      </c>
    </row>
    <row r="1916" ht="15.75" customHeight="1">
      <c r="A1916" s="2" t="s">
        <v>2582</v>
      </c>
      <c r="B1916" s="2" t="s">
        <v>387</v>
      </c>
      <c r="C1916" s="6">
        <v>46127.01836805556</v>
      </c>
      <c r="D1916" s="2">
        <v>-3.0</v>
      </c>
      <c r="E1916" s="2"/>
      <c r="H1916" s="2" t="s">
        <v>599</v>
      </c>
    </row>
    <row r="1917" ht="15.75" customHeight="1">
      <c r="A1917" s="2" t="s">
        <v>2583</v>
      </c>
      <c r="B1917" s="5" t="s">
        <v>142</v>
      </c>
      <c r="C1917" s="6">
        <v>46127.01956018519</v>
      </c>
      <c r="D1917" s="2">
        <v>-6.0</v>
      </c>
      <c r="E1917" s="2"/>
      <c r="H1917" s="2" t="s">
        <v>599</v>
      </c>
    </row>
    <row r="1918" ht="15.75" customHeight="1">
      <c r="A1918" s="2" t="s">
        <v>2584</v>
      </c>
      <c r="B1918" s="2" t="s">
        <v>354</v>
      </c>
      <c r="C1918" s="6">
        <v>46127.02023148148</v>
      </c>
      <c r="D1918" s="2">
        <v>-5.0</v>
      </c>
      <c r="E1918" s="2"/>
      <c r="H1918" s="2" t="s">
        <v>599</v>
      </c>
    </row>
    <row r="1919" ht="15.75" customHeight="1">
      <c r="A1919" s="2" t="s">
        <v>2585</v>
      </c>
      <c r="B1919" s="5" t="s">
        <v>192</v>
      </c>
      <c r="C1919" s="6">
        <v>46127.02082175926</v>
      </c>
      <c r="D1919" s="2">
        <v>-16.0</v>
      </c>
      <c r="E1919" s="2"/>
      <c r="H1919" s="2" t="s">
        <v>599</v>
      </c>
    </row>
    <row r="1920" ht="15.75" customHeight="1">
      <c r="A1920" s="2" t="s">
        <v>2586</v>
      </c>
      <c r="B1920" s="5" t="s">
        <v>214</v>
      </c>
      <c r="C1920" s="6">
        <v>46127.0215625</v>
      </c>
      <c r="D1920" s="2">
        <v>-60.0</v>
      </c>
      <c r="E1920" s="2"/>
      <c r="H1920" s="2" t="s">
        <v>599</v>
      </c>
    </row>
    <row r="1921" ht="15.75" customHeight="1">
      <c r="A1921" s="2" t="s">
        <v>2587</v>
      </c>
      <c r="B1921" s="5" t="s">
        <v>186</v>
      </c>
      <c r="C1921" s="6">
        <v>46127.02746527778</v>
      </c>
      <c r="D1921" s="2">
        <v>30.0</v>
      </c>
      <c r="E1921" s="2" t="s">
        <v>2588</v>
      </c>
      <c r="H1921" s="2" t="s">
        <v>571</v>
      </c>
    </row>
    <row r="1922" ht="15.75" customHeight="1">
      <c r="A1922" s="2" t="s">
        <v>2589</v>
      </c>
      <c r="B1922" s="5" t="s">
        <v>192</v>
      </c>
      <c r="C1922" s="6">
        <v>46127.0275</v>
      </c>
      <c r="D1922" s="2">
        <v>48.0</v>
      </c>
      <c r="E1922" s="2" t="s">
        <v>2588</v>
      </c>
      <c r="H1922" s="2" t="s">
        <v>571</v>
      </c>
    </row>
    <row r="1923" ht="15.75" customHeight="1">
      <c r="A1923" s="2" t="s">
        <v>2590</v>
      </c>
      <c r="B1923" s="2" t="s">
        <v>289</v>
      </c>
      <c r="C1923" s="6">
        <v>46127.027546296296</v>
      </c>
      <c r="D1923" s="2">
        <v>144.0</v>
      </c>
      <c r="E1923" s="2" t="s">
        <v>2588</v>
      </c>
      <c r="H1923" s="2" t="s">
        <v>571</v>
      </c>
    </row>
    <row r="1924" ht="15.75" customHeight="1">
      <c r="A1924" s="2" t="s">
        <v>2591</v>
      </c>
      <c r="B1924" s="5" t="s">
        <v>217</v>
      </c>
      <c r="C1924" s="6">
        <v>46127.027592592596</v>
      </c>
      <c r="D1924" s="2">
        <v>30.0</v>
      </c>
      <c r="E1924" s="2" t="s">
        <v>2588</v>
      </c>
      <c r="H1924" s="2" t="s">
        <v>571</v>
      </c>
    </row>
    <row r="1925" ht="15.75" customHeight="1">
      <c r="A1925" s="2" t="s">
        <v>2592</v>
      </c>
      <c r="B1925" s="2" t="s">
        <v>271</v>
      </c>
      <c r="C1925" s="6">
        <v>46127.02763888889</v>
      </c>
      <c r="D1925" s="2">
        <v>30.0</v>
      </c>
      <c r="E1925" s="2" t="s">
        <v>2588</v>
      </c>
      <c r="H1925" s="2" t="s">
        <v>571</v>
      </c>
    </row>
    <row r="1926" ht="15.75" customHeight="1">
      <c r="A1926" s="2" t="s">
        <v>2593</v>
      </c>
      <c r="B1926" s="2" t="s">
        <v>372</v>
      </c>
      <c r="C1926" s="6">
        <v>46127.02767361111</v>
      </c>
      <c r="D1926" s="2">
        <v>48.0</v>
      </c>
      <c r="E1926" s="2" t="s">
        <v>2588</v>
      </c>
      <c r="H1926" s="2" t="s">
        <v>571</v>
      </c>
    </row>
    <row r="1927" ht="15.75" customHeight="1">
      <c r="A1927" s="2" t="s">
        <v>2594</v>
      </c>
      <c r="B1927" s="2" t="s">
        <v>378</v>
      </c>
      <c r="C1927" s="6">
        <v>46127.027719907404</v>
      </c>
      <c r="D1927" s="2">
        <v>24.0</v>
      </c>
      <c r="E1927" s="2" t="s">
        <v>2588</v>
      </c>
      <c r="H1927" s="2" t="s">
        <v>571</v>
      </c>
    </row>
    <row r="1928" ht="15.75" customHeight="1">
      <c r="A1928" s="2" t="s">
        <v>2595</v>
      </c>
      <c r="B1928" s="2" t="s">
        <v>384</v>
      </c>
      <c r="C1928" s="6">
        <v>46127.027766203704</v>
      </c>
      <c r="D1928" s="2">
        <v>24.0</v>
      </c>
      <c r="E1928" s="2" t="s">
        <v>2588</v>
      </c>
      <c r="H1928" s="2" t="s">
        <v>571</v>
      </c>
    </row>
    <row r="1929" ht="15.75" customHeight="1">
      <c r="A1929" s="2" t="s">
        <v>2596</v>
      </c>
      <c r="B1929" s="5" t="s">
        <v>142</v>
      </c>
      <c r="C1929" s="6">
        <v>46127.02780092593</v>
      </c>
      <c r="D1929" s="2">
        <v>48.0</v>
      </c>
      <c r="E1929" s="2" t="s">
        <v>2588</v>
      </c>
      <c r="H1929" s="2" t="s">
        <v>571</v>
      </c>
    </row>
    <row r="1930" ht="15.75" customHeight="1">
      <c r="A1930" s="2" t="s">
        <v>2597</v>
      </c>
      <c r="B1930" s="2" t="s">
        <v>327</v>
      </c>
      <c r="C1930" s="6">
        <v>46127.02821759259</v>
      </c>
      <c r="D1930" s="2">
        <v>120.0</v>
      </c>
      <c r="E1930" s="2" t="s">
        <v>2598</v>
      </c>
      <c r="H1930" s="2" t="s">
        <v>571</v>
      </c>
    </row>
    <row r="1931" ht="15.75" customHeight="1">
      <c r="A1931" s="2" t="s">
        <v>2599</v>
      </c>
      <c r="B1931" s="5" t="s">
        <v>214</v>
      </c>
      <c r="C1931" s="6">
        <v>46127.02887731481</v>
      </c>
      <c r="D1931" s="2">
        <v>240.0</v>
      </c>
      <c r="E1931" s="2" t="s">
        <v>2600</v>
      </c>
      <c r="H1931" s="2" t="s">
        <v>571</v>
      </c>
    </row>
    <row r="1932" ht="15.75" customHeight="1">
      <c r="A1932" s="2" t="s">
        <v>2601</v>
      </c>
      <c r="B1932" s="5" t="s">
        <v>148</v>
      </c>
      <c r="C1932" s="6">
        <v>46127.539189814815</v>
      </c>
      <c r="D1932" s="2">
        <v>-4.0</v>
      </c>
      <c r="E1932" s="2"/>
      <c r="H1932" s="2" t="s">
        <v>571</v>
      </c>
    </row>
    <row r="1933" ht="15.75" customHeight="1">
      <c r="A1933" s="2" t="s">
        <v>2602</v>
      </c>
      <c r="B1933" s="5" t="s">
        <v>186</v>
      </c>
      <c r="C1933" s="6">
        <v>46127.539351851854</v>
      </c>
      <c r="D1933" s="2">
        <v>-9.0</v>
      </c>
      <c r="E1933" s="2"/>
      <c r="H1933" s="2" t="s">
        <v>571</v>
      </c>
    </row>
    <row r="1934" ht="15.75" customHeight="1">
      <c r="A1934" s="2" t="s">
        <v>2603</v>
      </c>
      <c r="B1934" s="2" t="s">
        <v>289</v>
      </c>
      <c r="C1934" s="6">
        <v>46127.670902777776</v>
      </c>
      <c r="D1934" s="2">
        <v>-37.0</v>
      </c>
      <c r="E1934" s="2"/>
      <c r="H1934" s="2" t="s">
        <v>571</v>
      </c>
    </row>
    <row r="1935" ht="15.75" customHeight="1">
      <c r="A1935" s="2" t="s">
        <v>2604</v>
      </c>
      <c r="B1935" s="2" t="s">
        <v>327</v>
      </c>
      <c r="C1935" s="6">
        <v>46127.67103009259</v>
      </c>
      <c r="D1935" s="2">
        <v>-15.0</v>
      </c>
      <c r="E1935" s="2"/>
      <c r="H1935" s="2" t="s">
        <v>571</v>
      </c>
    </row>
    <row r="1936" ht="15.75" customHeight="1">
      <c r="A1936" s="2" t="s">
        <v>2605</v>
      </c>
      <c r="B1936" s="5" t="s">
        <v>217</v>
      </c>
      <c r="C1936" s="6">
        <v>46127.67128472222</v>
      </c>
      <c r="D1936" s="2">
        <v>-17.0</v>
      </c>
      <c r="E1936" s="2"/>
      <c r="H1936" s="2" t="s">
        <v>571</v>
      </c>
    </row>
    <row r="1937" ht="15.75" customHeight="1">
      <c r="A1937" s="2" t="s">
        <v>2606</v>
      </c>
      <c r="B1937" s="2" t="s">
        <v>271</v>
      </c>
      <c r="C1937" s="6">
        <v>46127.67188657408</v>
      </c>
      <c r="D1937" s="2">
        <v>-2.0</v>
      </c>
      <c r="E1937" s="2"/>
      <c r="H1937" s="2" t="s">
        <v>571</v>
      </c>
    </row>
    <row r="1938" ht="15.75" customHeight="1">
      <c r="A1938" s="2" t="s">
        <v>2607</v>
      </c>
      <c r="B1938" s="2" t="s">
        <v>372</v>
      </c>
      <c r="C1938" s="6">
        <v>46127.672268518516</v>
      </c>
      <c r="D1938" s="2">
        <v>-15.0</v>
      </c>
      <c r="E1938" s="2"/>
      <c r="H1938" s="2" t="s">
        <v>571</v>
      </c>
    </row>
    <row r="1939" ht="15.75" customHeight="1">
      <c r="A1939" s="2" t="s">
        <v>2608</v>
      </c>
      <c r="B1939" s="5" t="s">
        <v>165</v>
      </c>
      <c r="C1939" s="6">
        <v>46127.67251157408</v>
      </c>
      <c r="D1939" s="2">
        <v>-8.0</v>
      </c>
      <c r="E1939" s="2"/>
      <c r="H1939" s="2" t="s">
        <v>571</v>
      </c>
    </row>
    <row r="1940" ht="15.75" customHeight="1">
      <c r="A1940" s="2" t="s">
        <v>2609</v>
      </c>
      <c r="B1940" s="2" t="s">
        <v>384</v>
      </c>
      <c r="C1940" s="6">
        <v>46127.67269675926</v>
      </c>
      <c r="D1940" s="2">
        <v>-8.0</v>
      </c>
      <c r="E1940" s="2"/>
      <c r="H1940" s="2" t="s">
        <v>571</v>
      </c>
    </row>
    <row r="1941" ht="15.75" customHeight="1">
      <c r="A1941" s="2" t="s">
        <v>2610</v>
      </c>
      <c r="B1941" s="2" t="s">
        <v>369</v>
      </c>
      <c r="C1941" s="6">
        <v>46127.67291666667</v>
      </c>
      <c r="D1941" s="2">
        <v>-5.0</v>
      </c>
      <c r="E1941" s="2"/>
      <c r="H1941" s="2" t="s">
        <v>571</v>
      </c>
    </row>
    <row r="1942" ht="15.75" customHeight="1">
      <c r="A1942" s="5" t="s">
        <v>2611</v>
      </c>
      <c r="B1942" s="2" t="s">
        <v>342</v>
      </c>
      <c r="C1942" s="6">
        <v>46127.67324074074</v>
      </c>
      <c r="D1942" s="2">
        <v>-6.0</v>
      </c>
      <c r="E1942" s="2"/>
      <c r="H1942" s="2" t="s">
        <v>571</v>
      </c>
    </row>
    <row r="1943" ht="15.75" customHeight="1">
      <c r="A1943" s="2" t="s">
        <v>2612</v>
      </c>
      <c r="B1943" s="2" t="s">
        <v>405</v>
      </c>
      <c r="C1943" s="6">
        <v>46127.67351851852</v>
      </c>
      <c r="D1943" s="2">
        <v>-9.0</v>
      </c>
      <c r="E1943" s="2"/>
      <c r="H1943" s="2" t="s">
        <v>571</v>
      </c>
    </row>
    <row r="1944" ht="15.75" customHeight="1">
      <c r="A1944" s="2" t="s">
        <v>2613</v>
      </c>
      <c r="B1944" s="5" t="s">
        <v>142</v>
      </c>
      <c r="C1944" s="6">
        <v>46127.673738425925</v>
      </c>
      <c r="D1944" s="2">
        <v>-13.0</v>
      </c>
      <c r="E1944" s="2"/>
      <c r="H1944" s="2" t="s">
        <v>571</v>
      </c>
    </row>
    <row r="1945" ht="15.75" customHeight="1">
      <c r="A1945" s="2" t="s">
        <v>2614</v>
      </c>
      <c r="B1945" s="5" t="s">
        <v>134</v>
      </c>
      <c r="C1945" s="6">
        <v>46127.6740162037</v>
      </c>
      <c r="D1945" s="2">
        <v>-17.0</v>
      </c>
      <c r="E1945" s="2"/>
      <c r="H1945" s="2" t="s">
        <v>571</v>
      </c>
    </row>
    <row r="1946" ht="15.75" customHeight="1">
      <c r="A1946" s="2" t="s">
        <v>2615</v>
      </c>
      <c r="B1946" s="5" t="s">
        <v>59</v>
      </c>
      <c r="C1946" s="6">
        <v>46127.67424768519</v>
      </c>
      <c r="D1946" s="2">
        <v>-10.0</v>
      </c>
      <c r="E1946" s="2"/>
      <c r="H1946" s="2" t="s">
        <v>571</v>
      </c>
    </row>
    <row r="1947" ht="15.75" customHeight="1">
      <c r="A1947" s="2" t="s">
        <v>2616</v>
      </c>
      <c r="B1947" s="5" t="s">
        <v>192</v>
      </c>
      <c r="C1947" s="6">
        <v>46127.67443287037</v>
      </c>
      <c r="D1947" s="2">
        <v>-4.0</v>
      </c>
      <c r="E1947" s="2"/>
      <c r="H1947" s="2" t="s">
        <v>571</v>
      </c>
    </row>
    <row r="1948" ht="15.75" customHeight="1">
      <c r="A1948" s="2" t="s">
        <v>2617</v>
      </c>
      <c r="B1948" s="2" t="s">
        <v>295</v>
      </c>
      <c r="C1948" s="6">
        <v>46127.67481481482</v>
      </c>
      <c r="D1948" s="2">
        <v>-7.0</v>
      </c>
      <c r="E1948" s="2"/>
      <c r="H1948" s="2" t="s">
        <v>571</v>
      </c>
    </row>
    <row r="1949" ht="15.75" customHeight="1">
      <c r="A1949" s="2" t="s">
        <v>2618</v>
      </c>
      <c r="B1949" s="2" t="s">
        <v>327</v>
      </c>
      <c r="C1949" s="6">
        <v>46127.943819444445</v>
      </c>
      <c r="D1949" s="2">
        <v>-4.0</v>
      </c>
      <c r="E1949" s="2"/>
      <c r="H1949" s="2" t="s">
        <v>599</v>
      </c>
    </row>
    <row r="1950" ht="15.75" customHeight="1">
      <c r="A1950" s="2" t="s">
        <v>2619</v>
      </c>
      <c r="B1950" s="2" t="s">
        <v>271</v>
      </c>
      <c r="C1950" s="6">
        <v>46127.94388888889</v>
      </c>
      <c r="D1950" s="2">
        <v>-7.0</v>
      </c>
      <c r="E1950" s="2"/>
      <c r="H1950" s="2" t="s">
        <v>599</v>
      </c>
    </row>
    <row r="1951" ht="15.75" customHeight="1">
      <c r="A1951" s="2" t="s">
        <v>2620</v>
      </c>
      <c r="B1951" s="5" t="s">
        <v>217</v>
      </c>
      <c r="C1951" s="6">
        <v>46127.94395833334</v>
      </c>
      <c r="D1951" s="2">
        <v>-7.0</v>
      </c>
      <c r="E1951" s="2"/>
      <c r="H1951" s="2" t="s">
        <v>599</v>
      </c>
    </row>
    <row r="1952" ht="15.75" customHeight="1">
      <c r="A1952" s="2" t="s">
        <v>2621</v>
      </c>
      <c r="B1952" s="2" t="s">
        <v>408</v>
      </c>
      <c r="C1952" s="6">
        <v>46127.94405092593</v>
      </c>
      <c r="D1952" s="2">
        <v>-19.0</v>
      </c>
      <c r="E1952" s="2"/>
      <c r="H1952" s="2" t="s">
        <v>599</v>
      </c>
    </row>
    <row r="1953" ht="15.75" customHeight="1">
      <c r="A1953" s="2" t="s">
        <v>2622</v>
      </c>
      <c r="B1953" s="5" t="s">
        <v>171</v>
      </c>
      <c r="C1953" s="6">
        <v>46127.94484953704</v>
      </c>
      <c r="D1953" s="2">
        <v>-20.0</v>
      </c>
      <c r="E1953" s="2"/>
      <c r="H1953" s="2" t="s">
        <v>599</v>
      </c>
    </row>
    <row r="1954" ht="15.75" customHeight="1">
      <c r="A1954" s="2" t="s">
        <v>2623</v>
      </c>
      <c r="B1954" s="2" t="s">
        <v>378</v>
      </c>
      <c r="C1954" s="6">
        <v>46127.94511574074</v>
      </c>
      <c r="D1954" s="2">
        <v>-24.0</v>
      </c>
      <c r="E1954" s="2"/>
      <c r="H1954" s="2" t="s">
        <v>599</v>
      </c>
    </row>
    <row r="1955" ht="15.75" customHeight="1">
      <c r="A1955" s="2" t="s">
        <v>2624</v>
      </c>
      <c r="B1955" s="2" t="s">
        <v>384</v>
      </c>
      <c r="C1955" s="6">
        <v>46127.94542824074</v>
      </c>
      <c r="D1955" s="2">
        <v>0.0</v>
      </c>
      <c r="E1955" s="2"/>
      <c r="H1955" s="2" t="s">
        <v>599</v>
      </c>
    </row>
    <row r="1956" ht="15.75" customHeight="1">
      <c r="A1956" s="2" t="s">
        <v>2625</v>
      </c>
      <c r="B1956" s="2" t="s">
        <v>384</v>
      </c>
      <c r="C1956" s="6">
        <v>46127.945763888885</v>
      </c>
      <c r="D1956" s="2">
        <v>-24.0</v>
      </c>
      <c r="E1956" s="2"/>
      <c r="H1956" s="2" t="s">
        <v>599</v>
      </c>
    </row>
    <row r="1957" ht="15.75" customHeight="1">
      <c r="A1957" s="2" t="s">
        <v>2626</v>
      </c>
      <c r="B1957" s="2" t="s">
        <v>372</v>
      </c>
      <c r="C1957" s="6">
        <v>46127.94658564815</v>
      </c>
      <c r="D1957" s="2">
        <v>-7.0</v>
      </c>
      <c r="E1957" s="2"/>
      <c r="H1957" s="2" t="s">
        <v>599</v>
      </c>
    </row>
    <row r="1958" ht="15.75" customHeight="1">
      <c r="A1958" s="2" t="s">
        <v>2627</v>
      </c>
      <c r="B1958" s="5" t="s">
        <v>186</v>
      </c>
      <c r="C1958" s="6">
        <v>46127.94684027778</v>
      </c>
      <c r="D1958" s="2">
        <v>-16.0</v>
      </c>
      <c r="E1958" s="2"/>
      <c r="H1958" s="2" t="s">
        <v>599</v>
      </c>
    </row>
    <row r="1959" ht="15.75" customHeight="1">
      <c r="A1959" s="5" t="s">
        <v>2628</v>
      </c>
      <c r="B1959" s="5" t="s">
        <v>165</v>
      </c>
      <c r="C1959" s="6">
        <v>46127.94708333333</v>
      </c>
      <c r="D1959" s="2">
        <v>-27.0</v>
      </c>
      <c r="E1959" s="2"/>
      <c r="H1959" s="2" t="s">
        <v>599</v>
      </c>
    </row>
    <row r="1960" ht="15.75" customHeight="1">
      <c r="A1960" s="2" t="s">
        <v>2629</v>
      </c>
      <c r="B1960" s="2" t="s">
        <v>360</v>
      </c>
      <c r="C1960" s="6">
        <v>46127.948067129626</v>
      </c>
      <c r="D1960" s="2">
        <v>-24.0</v>
      </c>
      <c r="E1960" s="2"/>
      <c r="H1960" s="2" t="s">
        <v>599</v>
      </c>
    </row>
    <row r="1961" ht="15.75" customHeight="1">
      <c r="A1961" s="2" t="s">
        <v>2630</v>
      </c>
      <c r="B1961" s="5" t="s">
        <v>134</v>
      </c>
      <c r="C1961" s="6">
        <v>46127.948275462964</v>
      </c>
      <c r="D1961" s="2">
        <v>-4.0</v>
      </c>
      <c r="E1961" s="2"/>
      <c r="H1961" s="2" t="s">
        <v>599</v>
      </c>
    </row>
    <row r="1962" ht="15.75" customHeight="1">
      <c r="A1962" s="2" t="s">
        <v>2631</v>
      </c>
      <c r="B1962" s="5" t="s">
        <v>59</v>
      </c>
      <c r="C1962" s="6">
        <v>46127.94868055556</v>
      </c>
      <c r="D1962" s="2">
        <v>-5.0</v>
      </c>
      <c r="E1962" s="2"/>
      <c r="H1962" s="2" t="s">
        <v>599</v>
      </c>
    </row>
    <row r="1963" ht="15.75" customHeight="1">
      <c r="A1963" s="2" t="s">
        <v>2632</v>
      </c>
      <c r="B1963" s="2" t="s">
        <v>354</v>
      </c>
      <c r="C1963" s="6">
        <v>46127.949421296296</v>
      </c>
      <c r="D1963" s="2">
        <v>-12.0</v>
      </c>
      <c r="E1963" s="2"/>
      <c r="H1963" s="2" t="s">
        <v>599</v>
      </c>
    </row>
    <row r="1964" ht="15.75" customHeight="1">
      <c r="A1964" s="5" t="s">
        <v>2633</v>
      </c>
      <c r="B1964" s="2" t="s">
        <v>369</v>
      </c>
      <c r="C1964" s="6">
        <v>46127.94960648148</v>
      </c>
      <c r="D1964" s="2">
        <v>-4.0</v>
      </c>
      <c r="E1964" s="2"/>
      <c r="H1964" s="2" t="s">
        <v>599</v>
      </c>
    </row>
    <row r="1965" ht="15.75" customHeight="1">
      <c r="A1965" s="2" t="s">
        <v>2634</v>
      </c>
      <c r="B1965" s="2" t="s">
        <v>342</v>
      </c>
      <c r="C1965" s="6">
        <v>46127.95028935185</v>
      </c>
      <c r="D1965" s="2">
        <v>30.0</v>
      </c>
      <c r="E1965" s="2" t="s">
        <v>2635</v>
      </c>
      <c r="H1965" s="2" t="s">
        <v>571</v>
      </c>
    </row>
    <row r="1966" ht="15.75" customHeight="1">
      <c r="A1966" s="2" t="s">
        <v>2636</v>
      </c>
      <c r="B1966" s="2" t="s">
        <v>304</v>
      </c>
      <c r="C1966" s="6">
        <v>46127.950578703705</v>
      </c>
      <c r="D1966" s="2">
        <v>-10.0</v>
      </c>
      <c r="E1966" s="2"/>
      <c r="H1966" s="2" t="s">
        <v>599</v>
      </c>
    </row>
    <row r="1967" ht="15.75" customHeight="1">
      <c r="A1967" s="5" t="s">
        <v>2637</v>
      </c>
      <c r="B1967" s="2" t="s">
        <v>342</v>
      </c>
      <c r="C1967" s="6">
        <v>46127.953101851854</v>
      </c>
      <c r="D1967" s="2">
        <v>-12.0</v>
      </c>
      <c r="E1967" s="2"/>
      <c r="H1967" s="2" t="s">
        <v>599</v>
      </c>
    </row>
    <row r="1968" ht="15.75" customHeight="1">
      <c r="A1968" s="2" t="s">
        <v>2638</v>
      </c>
      <c r="B1968" s="5" t="s">
        <v>142</v>
      </c>
      <c r="C1968" s="6">
        <v>46127.953252314815</v>
      </c>
      <c r="D1968" s="2">
        <v>-19.0</v>
      </c>
      <c r="E1968" s="2"/>
      <c r="H1968" s="2" t="s">
        <v>599</v>
      </c>
    </row>
    <row r="1969" ht="15.75" customHeight="1">
      <c r="A1969" s="2" t="s">
        <v>2639</v>
      </c>
      <c r="B1969" s="2" t="s">
        <v>387</v>
      </c>
      <c r="C1969" s="6">
        <v>46127.95377314815</v>
      </c>
      <c r="D1969" s="2">
        <v>-4.0</v>
      </c>
      <c r="E1969" s="2"/>
      <c r="H1969" s="2" t="s">
        <v>599</v>
      </c>
    </row>
    <row r="1970" ht="15.75" customHeight="1">
      <c r="A1970" s="2" t="s">
        <v>2640</v>
      </c>
      <c r="B1970" s="2" t="s">
        <v>313</v>
      </c>
      <c r="C1970" s="6">
        <v>46127.954351851855</v>
      </c>
      <c r="D1970" s="2">
        <v>-1.0</v>
      </c>
      <c r="E1970" s="2"/>
      <c r="H1970" s="2" t="s">
        <v>599</v>
      </c>
    </row>
    <row r="1971" ht="15.75" customHeight="1">
      <c r="A1971" s="2" t="s">
        <v>2641</v>
      </c>
      <c r="B1971" s="2" t="s">
        <v>301</v>
      </c>
      <c r="C1971" s="6">
        <v>46127.954675925925</v>
      </c>
      <c r="D1971" s="2">
        <v>-3.0</v>
      </c>
      <c r="E1971" s="2"/>
      <c r="H1971" s="2" t="s">
        <v>599</v>
      </c>
    </row>
    <row r="1972" ht="15.75" customHeight="1">
      <c r="A1972" s="2" t="s">
        <v>2642</v>
      </c>
      <c r="B1972" s="2" t="s">
        <v>381</v>
      </c>
      <c r="C1972" s="6">
        <v>46127.95533564815</v>
      </c>
      <c r="D1972" s="2">
        <v>-4.0</v>
      </c>
      <c r="E1972" s="2"/>
      <c r="H1972" s="2" t="s">
        <v>599</v>
      </c>
    </row>
    <row r="1973" ht="15.75" customHeight="1">
      <c r="A1973" s="2" t="s">
        <v>2643</v>
      </c>
      <c r="B1973" s="5" t="s">
        <v>192</v>
      </c>
      <c r="C1973" s="6">
        <v>46127.956030092595</v>
      </c>
      <c r="D1973" s="2">
        <v>-21.0</v>
      </c>
      <c r="E1973" s="2"/>
      <c r="H1973" s="2" t="s">
        <v>599</v>
      </c>
    </row>
    <row r="1974" ht="15.75" customHeight="1">
      <c r="A1974" s="2" t="s">
        <v>2644</v>
      </c>
      <c r="B1974" s="5" t="s">
        <v>214</v>
      </c>
      <c r="C1974" s="6">
        <v>46127.95741898148</v>
      </c>
      <c r="D1974" s="2">
        <v>-12.0</v>
      </c>
      <c r="E1974" s="2"/>
      <c r="H1974" s="2" t="s">
        <v>599</v>
      </c>
    </row>
    <row r="1975" ht="15.75" customHeight="1">
      <c r="A1975" s="2" t="s">
        <v>2645</v>
      </c>
      <c r="B1975" s="2" t="s">
        <v>289</v>
      </c>
      <c r="C1975" s="6">
        <v>46127.965787037036</v>
      </c>
      <c r="D1975" s="2">
        <v>-33.0</v>
      </c>
      <c r="E1975" s="2"/>
      <c r="H1975" s="2" t="s">
        <v>571</v>
      </c>
    </row>
    <row r="1976" ht="15.75" customHeight="1">
      <c r="A1976" s="2" t="s">
        <v>2646</v>
      </c>
      <c r="B1976" s="2" t="s">
        <v>327</v>
      </c>
      <c r="C1976" s="6">
        <v>46127.967939814815</v>
      </c>
      <c r="D1976" s="2">
        <v>-9.0</v>
      </c>
      <c r="E1976" s="2"/>
      <c r="H1976" s="2" t="s">
        <v>571</v>
      </c>
    </row>
    <row r="1977" ht="15.75" customHeight="1">
      <c r="A1977" s="2" t="s">
        <v>2647</v>
      </c>
      <c r="B1977" s="2" t="s">
        <v>327</v>
      </c>
      <c r="C1977" s="6">
        <v>46127.96821759259</v>
      </c>
      <c r="D1977" s="2">
        <v>-21.0</v>
      </c>
      <c r="E1977" s="2"/>
      <c r="H1977" s="2" t="s">
        <v>571</v>
      </c>
    </row>
    <row r="1978" ht="15.75" customHeight="1">
      <c r="A1978" s="2" t="s">
        <v>2648</v>
      </c>
      <c r="B1978" s="5" t="s">
        <v>217</v>
      </c>
      <c r="C1978" s="6">
        <v>46127.96833333333</v>
      </c>
      <c r="D1978" s="2">
        <v>-32.0</v>
      </c>
      <c r="E1978" s="2"/>
      <c r="H1978" s="2" t="s">
        <v>571</v>
      </c>
    </row>
    <row r="1979" ht="15.75" customHeight="1">
      <c r="A1979" s="2" t="s">
        <v>2649</v>
      </c>
      <c r="B1979" s="2" t="s">
        <v>378</v>
      </c>
      <c r="C1979" s="6">
        <v>46127.968773148146</v>
      </c>
      <c r="D1979" s="2">
        <v>-24.0</v>
      </c>
      <c r="E1979" s="2"/>
      <c r="H1979" s="2" t="s">
        <v>571</v>
      </c>
    </row>
    <row r="1980" ht="15.75" customHeight="1">
      <c r="A1980" s="2" t="s">
        <v>2650</v>
      </c>
      <c r="B1980" s="2" t="s">
        <v>384</v>
      </c>
      <c r="C1980" s="6">
        <v>46127.96892361111</v>
      </c>
      <c r="D1980" s="2">
        <v>-15.0</v>
      </c>
      <c r="E1980" s="2"/>
      <c r="H1980" s="2" t="s">
        <v>571</v>
      </c>
    </row>
    <row r="1981" ht="15.75" customHeight="1">
      <c r="A1981" s="2" t="s">
        <v>2651</v>
      </c>
      <c r="B1981" s="5" t="s">
        <v>186</v>
      </c>
      <c r="C1981" s="6">
        <v>46127.969189814816</v>
      </c>
      <c r="D1981" s="2">
        <v>-30.0</v>
      </c>
      <c r="E1981" s="2"/>
      <c r="H1981" s="2" t="s">
        <v>571</v>
      </c>
    </row>
    <row r="1982" ht="15.75" customHeight="1">
      <c r="A1982" s="2" t="s">
        <v>2652</v>
      </c>
      <c r="B1982" s="2" t="s">
        <v>369</v>
      </c>
      <c r="C1982" s="6">
        <v>46127.969351851854</v>
      </c>
      <c r="D1982" s="2">
        <v>-14.0</v>
      </c>
      <c r="E1982" s="2"/>
      <c r="H1982" s="2" t="s">
        <v>571</v>
      </c>
    </row>
    <row r="1983" ht="15.75" customHeight="1">
      <c r="A1983" s="2" t="s">
        <v>2653</v>
      </c>
      <c r="B1983" s="2" t="s">
        <v>342</v>
      </c>
      <c r="C1983" s="6">
        <v>46127.969976851855</v>
      </c>
      <c r="D1983" s="2">
        <v>-18.0</v>
      </c>
      <c r="E1983" s="2"/>
      <c r="H1983" s="2" t="s">
        <v>571</v>
      </c>
    </row>
    <row r="1984" ht="15.75" customHeight="1">
      <c r="A1984" s="2" t="s">
        <v>2654</v>
      </c>
      <c r="B1984" s="5" t="s">
        <v>134</v>
      </c>
      <c r="C1984" s="6">
        <v>46127.97016203704</v>
      </c>
      <c r="D1984" s="2">
        <v>-13.0</v>
      </c>
      <c r="E1984" s="2"/>
      <c r="H1984" s="2" t="s">
        <v>571</v>
      </c>
    </row>
    <row r="1985" ht="15.75" customHeight="1">
      <c r="A1985" s="2" t="s">
        <v>2655</v>
      </c>
      <c r="B1985" s="5" t="s">
        <v>59</v>
      </c>
      <c r="C1985" s="6">
        <v>46127.970300925925</v>
      </c>
      <c r="D1985" s="2">
        <v>-16.0</v>
      </c>
      <c r="E1985" s="2"/>
      <c r="H1985" s="2" t="s">
        <v>571</v>
      </c>
    </row>
    <row r="1986" ht="15.75" customHeight="1">
      <c r="A1986" s="5" t="s">
        <v>2656</v>
      </c>
      <c r="B1986" s="5" t="s">
        <v>217</v>
      </c>
      <c r="C1986" s="6">
        <v>46128.05752314815</v>
      </c>
      <c r="D1986" s="2">
        <v>60.0</v>
      </c>
      <c r="E1986" s="2" t="s">
        <v>2657</v>
      </c>
      <c r="H1986" s="2" t="s">
        <v>571</v>
      </c>
    </row>
    <row r="1987" ht="15.75" customHeight="1">
      <c r="A1987" s="5" t="s">
        <v>2658</v>
      </c>
      <c r="B1987" s="2" t="s">
        <v>271</v>
      </c>
      <c r="C1987" s="6">
        <v>46128.05758101852</v>
      </c>
      <c r="D1987" s="2">
        <v>30.0</v>
      </c>
      <c r="E1987" s="2" t="s">
        <v>2657</v>
      </c>
      <c r="H1987" s="2" t="s">
        <v>571</v>
      </c>
    </row>
    <row r="1988" ht="15.75" customHeight="1">
      <c r="A1988" s="2" t="s">
        <v>2659</v>
      </c>
      <c r="B1988" s="5" t="s">
        <v>186</v>
      </c>
      <c r="C1988" s="6">
        <v>46128.05767361111</v>
      </c>
      <c r="D1988" s="2">
        <v>15.0</v>
      </c>
      <c r="E1988" s="2" t="s">
        <v>2657</v>
      </c>
      <c r="H1988" s="2" t="s">
        <v>571</v>
      </c>
    </row>
    <row r="1989" ht="15.75" customHeight="1">
      <c r="A1989" s="2" t="s">
        <v>2660</v>
      </c>
      <c r="B1989" s="2" t="s">
        <v>378</v>
      </c>
      <c r="C1989" s="6">
        <v>46128.05771990741</v>
      </c>
      <c r="D1989" s="2">
        <v>72.0</v>
      </c>
      <c r="E1989" s="2" t="s">
        <v>2657</v>
      </c>
      <c r="H1989" s="2" t="s">
        <v>571</v>
      </c>
    </row>
    <row r="1990" ht="15.75" customHeight="1">
      <c r="A1990" s="2" t="s">
        <v>2661</v>
      </c>
      <c r="B1990" s="2" t="s">
        <v>384</v>
      </c>
      <c r="C1990" s="6">
        <v>46128.05778935185</v>
      </c>
      <c r="D1990" s="2">
        <v>72.0</v>
      </c>
      <c r="E1990" s="2" t="s">
        <v>2657</v>
      </c>
      <c r="H1990" s="2" t="s">
        <v>571</v>
      </c>
    </row>
    <row r="1991" ht="15.75" customHeight="1">
      <c r="A1991" s="2" t="s">
        <v>2662</v>
      </c>
      <c r="B1991" s="5" t="s">
        <v>192</v>
      </c>
      <c r="C1991" s="6">
        <v>46128.05783564815</v>
      </c>
      <c r="D1991" s="2">
        <v>48.0</v>
      </c>
      <c r="E1991" s="2" t="s">
        <v>2657</v>
      </c>
      <c r="H1991" s="2" t="s">
        <v>571</v>
      </c>
    </row>
    <row r="1992" ht="15.75" customHeight="1">
      <c r="A1992" s="2" t="s">
        <v>2663</v>
      </c>
      <c r="B1992" s="5" t="s">
        <v>142</v>
      </c>
      <c r="C1992" s="6">
        <v>46128.05789351852</v>
      </c>
      <c r="D1992" s="2">
        <v>0.0</v>
      </c>
      <c r="E1992" s="2" t="s">
        <v>2657</v>
      </c>
      <c r="H1992" s="2" t="s">
        <v>571</v>
      </c>
    </row>
    <row r="1993" ht="15.75" customHeight="1">
      <c r="A1993" s="2" t="s">
        <v>2664</v>
      </c>
      <c r="B1993" s="5" t="s">
        <v>214</v>
      </c>
      <c r="C1993" s="6">
        <v>46128.12126157407</v>
      </c>
      <c r="D1993" s="2">
        <v>-168.0</v>
      </c>
      <c r="E1993" s="2"/>
      <c r="H1993" s="2" t="s">
        <v>571</v>
      </c>
    </row>
    <row r="1994" ht="15.75" customHeight="1">
      <c r="A1994" s="5" t="s">
        <v>2665</v>
      </c>
      <c r="B1994" s="2" t="s">
        <v>390</v>
      </c>
      <c r="C1994" s="6">
        <v>46128.12149305556</v>
      </c>
      <c r="D1994" s="2">
        <v>-21.0</v>
      </c>
      <c r="E1994" s="2"/>
      <c r="H1994" s="2" t="s">
        <v>571</v>
      </c>
    </row>
    <row r="1995" ht="15.75" customHeight="1">
      <c r="A1995" s="2" t="s">
        <v>2666</v>
      </c>
      <c r="B1995" s="2" t="s">
        <v>405</v>
      </c>
      <c r="C1995" s="6">
        <v>46128.12212962963</v>
      </c>
      <c r="D1995" s="2">
        <v>-10.0</v>
      </c>
      <c r="E1995" s="2"/>
      <c r="H1995" s="2" t="s">
        <v>571</v>
      </c>
    </row>
    <row r="1996" ht="15.75" customHeight="1">
      <c r="A1996" s="2" t="s">
        <v>2667</v>
      </c>
      <c r="B1996" s="2" t="s">
        <v>402</v>
      </c>
      <c r="C1996" s="6">
        <v>46128.12258101852</v>
      </c>
      <c r="D1996" s="2">
        <v>-4.0</v>
      </c>
      <c r="E1996" s="2"/>
      <c r="H1996" s="2" t="s">
        <v>571</v>
      </c>
    </row>
    <row r="1997" ht="15.75" customHeight="1">
      <c r="A1997" s="2" t="s">
        <v>2668</v>
      </c>
      <c r="B1997" s="2" t="s">
        <v>327</v>
      </c>
      <c r="C1997" s="6">
        <v>46128.755578703705</v>
      </c>
      <c r="D1997" s="2">
        <v>-12.0</v>
      </c>
      <c r="E1997" s="2"/>
      <c r="H1997" s="2" t="s">
        <v>599</v>
      </c>
    </row>
    <row r="1998" ht="15.75" customHeight="1">
      <c r="A1998" s="2" t="s">
        <v>2669</v>
      </c>
      <c r="B1998" s="2" t="s">
        <v>408</v>
      </c>
      <c r="C1998" s="6">
        <v>46128.75576388889</v>
      </c>
      <c r="D1998" s="2">
        <v>-17.0</v>
      </c>
      <c r="E1998" s="2"/>
      <c r="H1998" s="2" t="s">
        <v>599</v>
      </c>
    </row>
    <row r="1999" ht="15.75" customHeight="1">
      <c r="A1999" s="2" t="s">
        <v>2670</v>
      </c>
      <c r="B1999" s="2" t="s">
        <v>289</v>
      </c>
      <c r="C1999" s="6">
        <v>46128.7559837963</v>
      </c>
      <c r="D1999" s="2">
        <v>-7.0</v>
      </c>
      <c r="E1999" s="2"/>
      <c r="H1999" s="2" t="s">
        <v>599</v>
      </c>
    </row>
    <row r="2000" ht="15.75" customHeight="1">
      <c r="A2000" s="2" t="s">
        <v>2671</v>
      </c>
      <c r="B2000" s="2" t="s">
        <v>271</v>
      </c>
      <c r="C2000" s="6">
        <v>46128.75608796296</v>
      </c>
      <c r="D2000" s="2">
        <v>-15.0</v>
      </c>
      <c r="E2000" s="2"/>
      <c r="H2000" s="2" t="s">
        <v>599</v>
      </c>
    </row>
    <row r="2001" ht="15.75" customHeight="1">
      <c r="A2001" s="2" t="s">
        <v>2672</v>
      </c>
      <c r="B2001" s="5" t="s">
        <v>217</v>
      </c>
      <c r="C2001" s="6">
        <v>46128.75614583334</v>
      </c>
      <c r="D2001" s="2">
        <v>-3.0</v>
      </c>
      <c r="E2001" s="2"/>
      <c r="H2001" s="2" t="s">
        <v>599</v>
      </c>
    </row>
    <row r="2002" ht="15.75" customHeight="1">
      <c r="A2002" s="2" t="s">
        <v>2673</v>
      </c>
      <c r="B2002" s="5" t="s">
        <v>171</v>
      </c>
      <c r="C2002" s="6">
        <v>46128.75667824074</v>
      </c>
      <c r="D2002" s="2">
        <v>-11.0</v>
      </c>
      <c r="E2002" s="2"/>
      <c r="H2002" s="2" t="s">
        <v>599</v>
      </c>
    </row>
    <row r="2003" ht="15.75" customHeight="1">
      <c r="A2003" s="2" t="s">
        <v>2674</v>
      </c>
      <c r="B2003" s="2" t="s">
        <v>384</v>
      </c>
      <c r="C2003" s="6">
        <v>46128.756886574076</v>
      </c>
      <c r="D2003" s="2">
        <v>-5.0</v>
      </c>
      <c r="E2003" s="2"/>
      <c r="H2003" s="2" t="s">
        <v>599</v>
      </c>
    </row>
    <row r="2004" ht="15.75" customHeight="1">
      <c r="A2004" s="2" t="s">
        <v>2675</v>
      </c>
      <c r="B2004" s="2" t="s">
        <v>372</v>
      </c>
      <c r="C2004" s="6">
        <v>46128.757152777776</v>
      </c>
      <c r="D2004" s="2">
        <v>-13.0</v>
      </c>
      <c r="E2004" s="2"/>
      <c r="H2004" s="2" t="s">
        <v>599</v>
      </c>
    </row>
    <row r="2005" ht="15.75" customHeight="1">
      <c r="A2005" s="2" t="s">
        <v>2676</v>
      </c>
      <c r="B2005" s="5" t="s">
        <v>165</v>
      </c>
      <c r="C2005" s="6">
        <v>46128.75747685185</v>
      </c>
      <c r="D2005" s="2">
        <v>-6.0</v>
      </c>
      <c r="E2005" s="2"/>
      <c r="H2005" s="2" t="s">
        <v>599</v>
      </c>
    </row>
    <row r="2006" ht="15.75" customHeight="1">
      <c r="A2006" s="2" t="s">
        <v>2677</v>
      </c>
      <c r="B2006" s="2" t="s">
        <v>384</v>
      </c>
      <c r="C2006" s="6">
        <v>46128.75800925926</v>
      </c>
      <c r="D2006" s="2">
        <v>-2.0</v>
      </c>
      <c r="E2006" s="2"/>
      <c r="H2006" s="2" t="s">
        <v>599</v>
      </c>
    </row>
    <row r="2007" ht="15.75" customHeight="1">
      <c r="A2007" s="2" t="s">
        <v>2678</v>
      </c>
      <c r="B2007" s="2" t="s">
        <v>375</v>
      </c>
      <c r="C2007" s="6">
        <v>46128.75815972222</v>
      </c>
      <c r="D2007" s="2">
        <v>-12.0</v>
      </c>
      <c r="E2007" s="2"/>
      <c r="H2007" s="2" t="s">
        <v>599</v>
      </c>
    </row>
    <row r="2008" ht="15.75" customHeight="1">
      <c r="A2008" s="2" t="s">
        <v>2679</v>
      </c>
      <c r="B2008" s="2" t="s">
        <v>393</v>
      </c>
      <c r="C2008" s="6">
        <v>46128.75886574074</v>
      </c>
      <c r="D2008" s="2">
        <v>-5.0</v>
      </c>
      <c r="E2008" s="2"/>
      <c r="H2008" s="2" t="s">
        <v>599</v>
      </c>
    </row>
    <row r="2009" ht="15.75" customHeight="1">
      <c r="A2009" s="2" t="s">
        <v>2680</v>
      </c>
      <c r="B2009" s="2" t="s">
        <v>295</v>
      </c>
      <c r="C2009" s="6">
        <v>46128.75908564815</v>
      </c>
      <c r="D2009" s="2">
        <v>-6.0</v>
      </c>
      <c r="E2009" s="2"/>
      <c r="H2009" s="2" t="s">
        <v>599</v>
      </c>
    </row>
    <row r="2010" ht="15.75" customHeight="1">
      <c r="A2010" s="2" t="s">
        <v>2681</v>
      </c>
      <c r="B2010" s="2" t="s">
        <v>369</v>
      </c>
      <c r="C2010" s="6">
        <v>46128.75950231482</v>
      </c>
      <c r="D2010" s="2">
        <v>-3.0</v>
      </c>
      <c r="E2010" s="2"/>
      <c r="H2010" s="2" t="s">
        <v>599</v>
      </c>
    </row>
    <row r="2011" ht="15.75" customHeight="1">
      <c r="A2011" s="2" t="s">
        <v>2682</v>
      </c>
      <c r="B2011" s="2" t="s">
        <v>342</v>
      </c>
      <c r="C2011" s="6">
        <v>46128.760625</v>
      </c>
      <c r="D2011" s="2">
        <v>-2.0</v>
      </c>
      <c r="E2011" s="2"/>
      <c r="H2011" s="2" t="s">
        <v>599</v>
      </c>
    </row>
    <row r="2012" ht="15.75" customHeight="1">
      <c r="A2012" s="2" t="s">
        <v>2683</v>
      </c>
      <c r="B2012" s="5" t="s">
        <v>96</v>
      </c>
      <c r="C2012" s="6">
        <v>46128.760787037034</v>
      </c>
      <c r="D2012" s="2">
        <v>-11.0</v>
      </c>
      <c r="E2012" s="2"/>
      <c r="H2012" s="2" t="s">
        <v>599</v>
      </c>
    </row>
    <row r="2013" ht="15.75" customHeight="1">
      <c r="A2013" s="2" t="s">
        <v>2684</v>
      </c>
      <c r="B2013" s="5" t="s">
        <v>59</v>
      </c>
      <c r="C2013" s="6">
        <v>46128.761145833334</v>
      </c>
      <c r="D2013" s="2">
        <v>-1.0</v>
      </c>
      <c r="E2013" s="2"/>
      <c r="H2013" s="2" t="s">
        <v>599</v>
      </c>
    </row>
    <row r="2014" ht="15.75" customHeight="1">
      <c r="A2014" s="2" t="s">
        <v>2685</v>
      </c>
      <c r="B2014" s="5" t="s">
        <v>134</v>
      </c>
      <c r="C2014" s="6">
        <v>46128.76128472222</v>
      </c>
      <c r="D2014" s="2">
        <v>-1.0</v>
      </c>
      <c r="E2014" s="2"/>
      <c r="H2014" s="2" t="s">
        <v>599</v>
      </c>
    </row>
    <row r="2015" ht="15.75" customHeight="1">
      <c r="A2015" s="2" t="s">
        <v>2686</v>
      </c>
      <c r="B2015" s="5" t="s">
        <v>142</v>
      </c>
      <c r="C2015" s="6">
        <v>46128.76155092593</v>
      </c>
      <c r="D2015" s="2">
        <v>-16.0</v>
      </c>
      <c r="E2015" s="2"/>
      <c r="H2015" s="2" t="s">
        <v>599</v>
      </c>
    </row>
    <row r="2016" ht="15.75" customHeight="1">
      <c r="A2016" s="2" t="s">
        <v>2687</v>
      </c>
      <c r="B2016" s="2" t="s">
        <v>301</v>
      </c>
      <c r="C2016" s="6">
        <v>46128.76248842593</v>
      </c>
      <c r="D2016" s="2">
        <v>-1.0</v>
      </c>
      <c r="E2016" s="2"/>
      <c r="H2016" s="2" t="s">
        <v>599</v>
      </c>
    </row>
    <row r="2017" ht="15.75" customHeight="1">
      <c r="A2017" s="2" t="s">
        <v>2688</v>
      </c>
      <c r="B2017" s="5" t="s">
        <v>85</v>
      </c>
      <c r="C2017" s="6">
        <v>46128.76258101852</v>
      </c>
      <c r="D2017" s="2">
        <v>-5.0</v>
      </c>
      <c r="E2017" s="2"/>
      <c r="H2017" s="2" t="s">
        <v>599</v>
      </c>
    </row>
    <row r="2018" ht="15.75" customHeight="1">
      <c r="A2018" s="2" t="s">
        <v>2689</v>
      </c>
      <c r="B2018" s="5" t="s">
        <v>192</v>
      </c>
      <c r="C2018" s="6">
        <v>46128.76273148148</v>
      </c>
      <c r="D2018" s="2">
        <v>-16.0</v>
      </c>
      <c r="E2018" s="2"/>
      <c r="H2018" s="2" t="s">
        <v>599</v>
      </c>
    </row>
    <row r="2019" ht="15.75" customHeight="1">
      <c r="A2019" s="2" t="s">
        <v>2690</v>
      </c>
      <c r="B2019" s="2" t="s">
        <v>327</v>
      </c>
      <c r="C2019" s="6">
        <v>46129.7025</v>
      </c>
      <c r="D2019" s="2">
        <v>-9.0</v>
      </c>
      <c r="E2019" s="2"/>
      <c r="H2019" s="2" t="s">
        <v>599</v>
      </c>
    </row>
    <row r="2020" ht="15.75" customHeight="1">
      <c r="A2020" s="2" t="s">
        <v>2691</v>
      </c>
      <c r="B2020" s="2" t="s">
        <v>289</v>
      </c>
      <c r="C2020" s="6">
        <v>46129.70265046296</v>
      </c>
      <c r="D2020" s="2">
        <v>-5.0</v>
      </c>
      <c r="E2020" s="2"/>
      <c r="H2020" s="2" t="s">
        <v>599</v>
      </c>
    </row>
    <row r="2021" ht="15.75" customHeight="1">
      <c r="A2021" s="2" t="s">
        <v>2692</v>
      </c>
      <c r="B2021" s="2" t="s">
        <v>271</v>
      </c>
      <c r="C2021" s="6">
        <v>46129.70300925926</v>
      </c>
      <c r="D2021" s="2">
        <v>-13.0</v>
      </c>
      <c r="E2021" s="2"/>
      <c r="H2021" s="2" t="s">
        <v>599</v>
      </c>
    </row>
    <row r="2022" ht="15.75" customHeight="1">
      <c r="A2022" s="2" t="s">
        <v>2693</v>
      </c>
      <c r="B2022" s="5" t="s">
        <v>217</v>
      </c>
      <c r="C2022" s="6">
        <v>46129.703194444446</v>
      </c>
      <c r="D2022" s="2">
        <v>-20.0</v>
      </c>
      <c r="E2022" s="2"/>
      <c r="H2022" s="2" t="s">
        <v>599</v>
      </c>
    </row>
    <row r="2023" ht="15.75" customHeight="1">
      <c r="A2023" s="2" t="s">
        <v>2694</v>
      </c>
      <c r="B2023" s="2" t="s">
        <v>372</v>
      </c>
      <c r="C2023" s="6">
        <v>46129.705509259256</v>
      </c>
      <c r="D2023" s="2">
        <v>-24.0</v>
      </c>
      <c r="E2023" s="2"/>
      <c r="H2023" s="2" t="s">
        <v>599</v>
      </c>
    </row>
    <row r="2024" ht="15.75" customHeight="1">
      <c r="A2024" s="2" t="s">
        <v>2695</v>
      </c>
      <c r="B2024" s="2" t="s">
        <v>378</v>
      </c>
      <c r="C2024" s="6">
        <v>46129.705613425926</v>
      </c>
      <c r="D2024" s="2">
        <v>-24.0</v>
      </c>
      <c r="E2024" s="2"/>
      <c r="H2024" s="2" t="s">
        <v>599</v>
      </c>
    </row>
    <row r="2025" ht="15.75" customHeight="1">
      <c r="A2025" s="2" t="s">
        <v>2696</v>
      </c>
      <c r="B2025" s="2" t="s">
        <v>295</v>
      </c>
      <c r="C2025" s="6">
        <v>46129.70574074074</v>
      </c>
      <c r="D2025" s="2">
        <v>-24.0</v>
      </c>
      <c r="E2025" s="2"/>
      <c r="H2025" s="2" t="s">
        <v>599</v>
      </c>
    </row>
    <row r="2026" ht="15.75" customHeight="1">
      <c r="A2026" s="2" t="s">
        <v>2697</v>
      </c>
      <c r="B2026" s="5" t="s">
        <v>96</v>
      </c>
      <c r="C2026" s="6">
        <v>46129.70600694444</v>
      </c>
      <c r="D2026" s="2">
        <v>-6.0</v>
      </c>
      <c r="E2026" s="2"/>
      <c r="H2026" s="2" t="s">
        <v>599</v>
      </c>
    </row>
    <row r="2027" ht="15.75" customHeight="1">
      <c r="A2027" s="2" t="s">
        <v>2698</v>
      </c>
      <c r="B2027" s="5" t="s">
        <v>134</v>
      </c>
      <c r="C2027" s="6">
        <v>46129.70642361111</v>
      </c>
      <c r="D2027" s="2">
        <v>-6.0</v>
      </c>
      <c r="E2027" s="2"/>
      <c r="H2027" s="2" t="s">
        <v>599</v>
      </c>
    </row>
    <row r="2028" ht="15.75" customHeight="1">
      <c r="A2028" s="2" t="s">
        <v>2699</v>
      </c>
      <c r="B2028" s="5" t="s">
        <v>142</v>
      </c>
      <c r="C2028" s="6">
        <v>46129.70675925926</v>
      </c>
      <c r="D2028" s="2">
        <v>-5.0</v>
      </c>
      <c r="E2028" s="2"/>
      <c r="H2028" s="2" t="s">
        <v>599</v>
      </c>
    </row>
    <row r="2029" ht="15.75" customHeight="1">
      <c r="A2029" s="2" t="s">
        <v>2700</v>
      </c>
      <c r="B2029" s="2" t="s">
        <v>342</v>
      </c>
      <c r="C2029" s="6">
        <v>46129.75203703704</v>
      </c>
      <c r="D2029" s="2">
        <v>-7.0</v>
      </c>
      <c r="E2029" s="2"/>
      <c r="H2029" s="2" t="s">
        <v>571</v>
      </c>
    </row>
    <row r="2030" ht="15.75" customHeight="1">
      <c r="A2030" s="2" t="s">
        <v>2701</v>
      </c>
      <c r="B2030" s="5" t="s">
        <v>120</v>
      </c>
      <c r="C2030" s="6">
        <v>46129.75550925926</v>
      </c>
      <c r="D2030" s="2">
        <v>-13.0</v>
      </c>
      <c r="E2030" s="2"/>
      <c r="H2030" s="2" t="s">
        <v>571</v>
      </c>
    </row>
    <row r="2031" ht="15.75" customHeight="1">
      <c r="A2031" s="2" t="s">
        <v>2702</v>
      </c>
      <c r="B2031" s="5" t="s">
        <v>165</v>
      </c>
      <c r="C2031" s="6">
        <v>46129.757199074076</v>
      </c>
      <c r="D2031" s="2">
        <v>-20.0</v>
      </c>
      <c r="E2031" s="2"/>
      <c r="H2031" s="2" t="s">
        <v>571</v>
      </c>
    </row>
    <row r="2032" ht="15.75" customHeight="1">
      <c r="A2032" s="2" t="s">
        <v>2703</v>
      </c>
      <c r="B2032" s="5" t="s">
        <v>171</v>
      </c>
      <c r="C2032" s="6">
        <v>46129.76259259259</v>
      </c>
      <c r="D2032" s="2">
        <v>4.0</v>
      </c>
      <c r="E2032" s="2"/>
      <c r="H2032" s="2" t="s">
        <v>599</v>
      </c>
    </row>
    <row r="2033" ht="15.75" customHeight="1">
      <c r="A2033" s="2" t="s">
        <v>2704</v>
      </c>
      <c r="B2033" s="2" t="s">
        <v>289</v>
      </c>
      <c r="C2033" s="6">
        <v>46130.55180555556</v>
      </c>
      <c r="D2033" s="2">
        <v>-30.0</v>
      </c>
      <c r="E2033" s="2"/>
      <c r="H2033" s="2" t="s">
        <v>571</v>
      </c>
    </row>
    <row r="2034" ht="15.75" customHeight="1">
      <c r="A2034" s="2" t="s">
        <v>2705</v>
      </c>
      <c r="B2034" s="2" t="s">
        <v>327</v>
      </c>
      <c r="C2034" s="6">
        <v>46130.684699074074</v>
      </c>
      <c r="D2034" s="2">
        <v>-19.0</v>
      </c>
      <c r="E2034" s="2"/>
      <c r="H2034" s="2" t="s">
        <v>571</v>
      </c>
    </row>
    <row r="2035" ht="15.75" customHeight="1">
      <c r="A2035" s="2" t="s">
        <v>2706</v>
      </c>
      <c r="B2035" s="2" t="s">
        <v>271</v>
      </c>
      <c r="C2035" s="6">
        <v>46130.68491898148</v>
      </c>
      <c r="D2035" s="2">
        <v>-20.0</v>
      </c>
      <c r="E2035" s="2"/>
      <c r="H2035" s="2" t="s">
        <v>571</v>
      </c>
    </row>
    <row r="2036" ht="15.75" customHeight="1">
      <c r="A2036" s="2" t="s">
        <v>2707</v>
      </c>
      <c r="B2036" s="5" t="s">
        <v>217</v>
      </c>
      <c r="C2036" s="6">
        <v>46130.68497685185</v>
      </c>
      <c r="D2036" s="2">
        <v>-30.0</v>
      </c>
      <c r="E2036" s="2"/>
      <c r="H2036" s="2" t="s">
        <v>571</v>
      </c>
    </row>
    <row r="2037" ht="15.75" customHeight="1">
      <c r="A2037" s="2" t="s">
        <v>2708</v>
      </c>
      <c r="B2037" s="2" t="s">
        <v>339</v>
      </c>
      <c r="C2037" s="6">
        <v>46130.685162037036</v>
      </c>
      <c r="D2037" s="2">
        <v>-6.0</v>
      </c>
      <c r="E2037" s="2"/>
      <c r="H2037" s="2" t="s">
        <v>571</v>
      </c>
    </row>
    <row r="2038" ht="15.75" customHeight="1">
      <c r="A2038" s="2" t="s">
        <v>2709</v>
      </c>
      <c r="B2038" s="5" t="s">
        <v>131</v>
      </c>
      <c r="C2038" s="6">
        <v>46130.68537037037</v>
      </c>
      <c r="D2038" s="2">
        <v>5.0</v>
      </c>
      <c r="E2038" s="2"/>
      <c r="H2038" s="2" t="s">
        <v>571</v>
      </c>
    </row>
    <row r="2039" ht="15.75" customHeight="1">
      <c r="A2039" s="2" t="s">
        <v>2710</v>
      </c>
      <c r="B2039" s="2" t="s">
        <v>372</v>
      </c>
      <c r="C2039" s="6">
        <v>46130.685740740744</v>
      </c>
      <c r="D2039" s="2">
        <v>-6.0</v>
      </c>
      <c r="E2039" s="2"/>
      <c r="H2039" s="2" t="s">
        <v>571</v>
      </c>
    </row>
    <row r="2040" ht="15.75" customHeight="1">
      <c r="A2040" s="2" t="s">
        <v>2711</v>
      </c>
      <c r="B2040" s="2" t="s">
        <v>384</v>
      </c>
      <c r="C2040" s="6">
        <v>46130.68587962963</v>
      </c>
      <c r="D2040" s="2">
        <v>-8.0</v>
      </c>
      <c r="E2040" s="2"/>
      <c r="H2040" s="2" t="s">
        <v>571</v>
      </c>
    </row>
    <row r="2041" ht="15.75" customHeight="1">
      <c r="A2041" s="2" t="s">
        <v>2712</v>
      </c>
      <c r="B2041" s="5" t="s">
        <v>186</v>
      </c>
      <c r="C2041" s="6">
        <v>46130.68605324074</v>
      </c>
      <c r="D2041" s="2">
        <v>1.0</v>
      </c>
      <c r="E2041" s="2"/>
      <c r="H2041" s="2" t="s">
        <v>571</v>
      </c>
    </row>
    <row r="2042" ht="15.75" customHeight="1">
      <c r="A2042" s="2" t="s">
        <v>2713</v>
      </c>
      <c r="B2042" s="5" t="s">
        <v>157</v>
      </c>
      <c r="C2042" s="6">
        <v>46130.68614583334</v>
      </c>
      <c r="D2042" s="2">
        <v>-10.0</v>
      </c>
      <c r="E2042" s="2"/>
      <c r="H2042" s="2" t="s">
        <v>571</v>
      </c>
    </row>
    <row r="2043" ht="15.75" customHeight="1">
      <c r="A2043" s="2" t="s">
        <v>2714</v>
      </c>
      <c r="B2043" s="5" t="s">
        <v>134</v>
      </c>
      <c r="C2043" s="6">
        <v>46130.68636574074</v>
      </c>
      <c r="D2043" s="2">
        <v>-6.0</v>
      </c>
      <c r="E2043" s="2"/>
      <c r="H2043" s="2" t="s">
        <v>571</v>
      </c>
    </row>
    <row r="2044" ht="15.75" customHeight="1">
      <c r="A2044" s="2" t="s">
        <v>2715</v>
      </c>
      <c r="B2044" s="5" t="s">
        <v>59</v>
      </c>
      <c r="C2044" s="6">
        <v>46130.6865625</v>
      </c>
      <c r="D2044" s="2">
        <v>-11.0</v>
      </c>
      <c r="E2044" s="2"/>
      <c r="H2044" s="2" t="s">
        <v>571</v>
      </c>
    </row>
    <row r="2045" ht="15.75" customHeight="1">
      <c r="A2045" s="2" t="s">
        <v>2716</v>
      </c>
      <c r="B2045" s="5" t="s">
        <v>192</v>
      </c>
      <c r="C2045" s="6">
        <v>46130.68667824074</v>
      </c>
      <c r="D2045" s="2">
        <v>-5.0</v>
      </c>
      <c r="E2045" s="2"/>
      <c r="H2045" s="2" t="s">
        <v>571</v>
      </c>
    </row>
    <row r="2046" ht="15.75" customHeight="1">
      <c r="A2046" s="2" t="s">
        <v>2717</v>
      </c>
      <c r="B2046" s="5" t="s">
        <v>217</v>
      </c>
      <c r="C2046" s="6">
        <v>46130.687997685185</v>
      </c>
      <c r="D2046" s="2">
        <v>30.0</v>
      </c>
      <c r="E2046" s="2" t="s">
        <v>2718</v>
      </c>
      <c r="H2046" s="2" t="s">
        <v>571</v>
      </c>
    </row>
    <row r="2047" ht="15.75" customHeight="1">
      <c r="A2047" s="2" t="s">
        <v>2719</v>
      </c>
      <c r="B2047" s="5" t="s">
        <v>96</v>
      </c>
      <c r="C2047" s="6">
        <v>46130.688043981485</v>
      </c>
      <c r="D2047" s="2">
        <v>24.0</v>
      </c>
      <c r="E2047" s="2" t="s">
        <v>2718</v>
      </c>
      <c r="H2047" s="2" t="s">
        <v>571</v>
      </c>
    </row>
    <row r="2048" ht="15.75" customHeight="1">
      <c r="A2048" s="2" t="s">
        <v>2720</v>
      </c>
      <c r="B2048" s="5" t="s">
        <v>59</v>
      </c>
      <c r="C2048" s="6">
        <v>46130.68809027778</v>
      </c>
      <c r="D2048" s="2">
        <v>54.0</v>
      </c>
      <c r="E2048" s="2" t="s">
        <v>2718</v>
      </c>
      <c r="H2048" s="2" t="s">
        <v>571</v>
      </c>
    </row>
    <row r="2049" ht="15.75" customHeight="1">
      <c r="A2049" s="2" t="s">
        <v>2721</v>
      </c>
      <c r="B2049" s="5" t="s">
        <v>134</v>
      </c>
      <c r="C2049" s="6">
        <v>46130.68813657408</v>
      </c>
      <c r="D2049" s="2">
        <v>54.0</v>
      </c>
      <c r="E2049" s="2" t="s">
        <v>2718</v>
      </c>
      <c r="H2049" s="2" t="s">
        <v>571</v>
      </c>
    </row>
    <row r="2050" ht="15.75" customHeight="1">
      <c r="A2050" s="2" t="s">
        <v>2722</v>
      </c>
      <c r="B2050" s="5" t="s">
        <v>157</v>
      </c>
      <c r="C2050" s="6">
        <v>46130.68818287037</v>
      </c>
      <c r="D2050" s="2">
        <v>10.0</v>
      </c>
      <c r="E2050" s="2" t="s">
        <v>2718</v>
      </c>
      <c r="H2050" s="2" t="s">
        <v>571</v>
      </c>
    </row>
    <row r="2051" ht="15.75" customHeight="1">
      <c r="A2051" s="2" t="s">
        <v>2723</v>
      </c>
      <c r="B2051" s="5" t="s">
        <v>217</v>
      </c>
      <c r="C2051" s="6">
        <v>46130.68840277778</v>
      </c>
      <c r="D2051" s="2">
        <v>2.0</v>
      </c>
      <c r="E2051" s="2"/>
      <c r="H2051" s="2" t="s">
        <v>571</v>
      </c>
    </row>
    <row r="2052" ht="15.75" customHeight="1">
      <c r="A2052" s="2" t="s">
        <v>2724</v>
      </c>
      <c r="B2052" s="5" t="s">
        <v>142</v>
      </c>
      <c r="C2052" s="6">
        <v>46130.732824074075</v>
      </c>
      <c r="D2052" s="2">
        <v>72.0</v>
      </c>
      <c r="E2052" s="2"/>
      <c r="H2052" s="2" t="s">
        <v>571</v>
      </c>
    </row>
    <row r="2053" ht="15.75" customHeight="1">
      <c r="A2053" s="2" t="s">
        <v>2725</v>
      </c>
      <c r="B2053" s="2" t="s">
        <v>372</v>
      </c>
      <c r="C2053" s="6">
        <v>46130.801712962966</v>
      </c>
      <c r="D2053" s="2">
        <v>29.0</v>
      </c>
      <c r="E2053" s="2"/>
      <c r="H2053" s="2" t="s">
        <v>571</v>
      </c>
    </row>
    <row r="2054" ht="15.75" customHeight="1">
      <c r="A2054" s="2" t="s">
        <v>2726</v>
      </c>
      <c r="B2054" s="2" t="s">
        <v>378</v>
      </c>
      <c r="C2054" s="6">
        <v>46130.80243055556</v>
      </c>
      <c r="D2054" s="2">
        <v>14.0</v>
      </c>
      <c r="E2054" s="2"/>
      <c r="H2054" s="2" t="s">
        <v>571</v>
      </c>
    </row>
    <row r="2055" ht="15.75" customHeight="1">
      <c r="A2055" s="2" t="s">
        <v>2727</v>
      </c>
      <c r="B2055" s="5" t="s">
        <v>217</v>
      </c>
      <c r="C2055" s="6">
        <v>46130.807280092595</v>
      </c>
      <c r="D2055" s="2">
        <v>330.0</v>
      </c>
      <c r="E2055" s="2" t="s">
        <v>2728</v>
      </c>
      <c r="H2055" s="2" t="s">
        <v>571</v>
      </c>
    </row>
    <row r="2056" ht="15.75" customHeight="1">
      <c r="A2056" s="2" t="s">
        <v>2729</v>
      </c>
      <c r="B2056" s="2" t="s">
        <v>271</v>
      </c>
      <c r="C2056" s="6">
        <v>46130.80732638889</v>
      </c>
      <c r="D2056" s="2">
        <v>105.0</v>
      </c>
      <c r="E2056" s="2" t="s">
        <v>2728</v>
      </c>
      <c r="H2056" s="2" t="s">
        <v>571</v>
      </c>
    </row>
    <row r="2057" ht="15.75" customHeight="1">
      <c r="A2057" s="2" t="s">
        <v>2730</v>
      </c>
      <c r="B2057" s="5" t="s">
        <v>148</v>
      </c>
      <c r="C2057" s="6">
        <v>46130.81055555555</v>
      </c>
      <c r="D2057" s="2">
        <v>25.0</v>
      </c>
      <c r="E2057" s="2" t="s">
        <v>2731</v>
      </c>
      <c r="H2057" s="2" t="s">
        <v>571</v>
      </c>
    </row>
    <row r="2058" ht="15.75" customHeight="1">
      <c r="A2058" s="2" t="s">
        <v>2732</v>
      </c>
      <c r="B2058" s="5" t="s">
        <v>142</v>
      </c>
      <c r="C2058" s="6">
        <v>46130.810590277775</v>
      </c>
      <c r="D2058" s="2">
        <v>24.0</v>
      </c>
      <c r="E2058" s="2" t="s">
        <v>2731</v>
      </c>
      <c r="H2058" s="2" t="s">
        <v>571</v>
      </c>
    </row>
    <row r="2059" ht="15.75" customHeight="1">
      <c r="A2059" s="2" t="s">
        <v>2733</v>
      </c>
      <c r="B2059" s="2" t="s">
        <v>405</v>
      </c>
      <c r="C2059" s="6">
        <v>46130.810636574075</v>
      </c>
      <c r="D2059" s="2">
        <v>48.0</v>
      </c>
      <c r="E2059" s="2" t="s">
        <v>2731</v>
      </c>
      <c r="H2059" s="2" t="s">
        <v>571</v>
      </c>
    </row>
    <row r="2060" ht="15.75" customHeight="1">
      <c r="A2060" s="2" t="s">
        <v>2734</v>
      </c>
      <c r="B2060" s="5" t="s">
        <v>186</v>
      </c>
      <c r="C2060" s="6">
        <v>46130.81068287037</v>
      </c>
      <c r="D2060" s="2">
        <v>30.0</v>
      </c>
      <c r="E2060" s="2" t="s">
        <v>2731</v>
      </c>
      <c r="H2060" s="2" t="s">
        <v>571</v>
      </c>
    </row>
    <row r="2061" ht="15.75" customHeight="1">
      <c r="A2061" s="2" t="s">
        <v>2735</v>
      </c>
      <c r="B2061" s="2" t="s">
        <v>289</v>
      </c>
      <c r="C2061" s="6">
        <v>46130.81072916667</v>
      </c>
      <c r="D2061" s="2">
        <v>54.0</v>
      </c>
      <c r="E2061" s="2" t="s">
        <v>2731</v>
      </c>
      <c r="H2061" s="2" t="s">
        <v>571</v>
      </c>
    </row>
    <row r="2062" ht="15.75" customHeight="1">
      <c r="A2062" s="2" t="s">
        <v>2736</v>
      </c>
      <c r="B2062" s="2" t="s">
        <v>372</v>
      </c>
      <c r="C2062" s="6">
        <v>46130.81077546296</v>
      </c>
      <c r="D2062" s="2">
        <v>72.0</v>
      </c>
      <c r="E2062" s="2" t="s">
        <v>2731</v>
      </c>
      <c r="H2062" s="2" t="s">
        <v>571</v>
      </c>
    </row>
    <row r="2063" ht="15.75" customHeight="1">
      <c r="A2063" s="2" t="s">
        <v>2737</v>
      </c>
      <c r="B2063" s="2" t="s">
        <v>384</v>
      </c>
      <c r="C2063" s="6">
        <v>46130.81083333334</v>
      </c>
      <c r="D2063" s="2">
        <v>72.0</v>
      </c>
      <c r="E2063" s="2" t="s">
        <v>2731</v>
      </c>
      <c r="H2063" s="2" t="s">
        <v>571</v>
      </c>
    </row>
    <row r="2064" ht="15.75" customHeight="1">
      <c r="A2064" s="2" t="s">
        <v>2738</v>
      </c>
      <c r="B2064" s="2" t="s">
        <v>378</v>
      </c>
      <c r="C2064" s="6">
        <v>46130.81087962963</v>
      </c>
      <c r="D2064" s="2">
        <v>96.0</v>
      </c>
      <c r="E2064" s="2" t="s">
        <v>2731</v>
      </c>
      <c r="H2064" s="2" t="s">
        <v>571</v>
      </c>
    </row>
    <row r="2065" ht="15.75" customHeight="1">
      <c r="A2065" s="2" t="s">
        <v>2739</v>
      </c>
      <c r="B2065" s="2" t="s">
        <v>342</v>
      </c>
      <c r="C2065" s="6">
        <v>46130.81114583334</v>
      </c>
      <c r="D2065" s="2">
        <v>30.0</v>
      </c>
      <c r="E2065" s="2" t="s">
        <v>2740</v>
      </c>
      <c r="H2065" s="2" t="s">
        <v>571</v>
      </c>
    </row>
    <row r="2066" ht="15.75" customHeight="1">
      <c r="A2066" s="2" t="s">
        <v>2741</v>
      </c>
      <c r="B2066" s="2" t="s">
        <v>289</v>
      </c>
      <c r="C2066" s="6">
        <v>46131.54917824074</v>
      </c>
      <c r="D2066" s="2">
        <v>-23.0</v>
      </c>
      <c r="E2066" s="2"/>
      <c r="H2066" s="2" t="s">
        <v>571</v>
      </c>
    </row>
    <row r="2067" ht="15.75" customHeight="1">
      <c r="A2067" s="2" t="s">
        <v>2742</v>
      </c>
      <c r="B2067" s="2" t="s">
        <v>372</v>
      </c>
      <c r="C2067" s="6">
        <v>46131.549375</v>
      </c>
      <c r="D2067" s="2">
        <v>-31.0</v>
      </c>
      <c r="E2067" s="2"/>
      <c r="H2067" s="2" t="s">
        <v>571</v>
      </c>
    </row>
    <row r="2068" ht="15.75" customHeight="1">
      <c r="A2068" s="2" t="s">
        <v>2743</v>
      </c>
      <c r="B2068" s="5" t="s">
        <v>217</v>
      </c>
      <c r="C2068" s="6">
        <v>46131.54958333333</v>
      </c>
      <c r="D2068" s="2">
        <v>-18.0</v>
      </c>
      <c r="E2068" s="2"/>
      <c r="H2068" s="2" t="s">
        <v>571</v>
      </c>
    </row>
    <row r="2069" ht="15.75" customHeight="1">
      <c r="A2069" s="2" t="s">
        <v>2744</v>
      </c>
      <c r="B2069" s="5" t="s">
        <v>148</v>
      </c>
      <c r="C2069" s="6">
        <v>46131.54974537037</v>
      </c>
      <c r="D2069" s="2">
        <v>-20.0</v>
      </c>
      <c r="E2069" s="2"/>
      <c r="H2069" s="2" t="s">
        <v>571</v>
      </c>
    </row>
    <row r="2070" ht="15.75" customHeight="1">
      <c r="A2070" s="2" t="s">
        <v>2745</v>
      </c>
      <c r="B2070" s="2" t="s">
        <v>295</v>
      </c>
      <c r="C2070" s="6">
        <v>46131.54988425926</v>
      </c>
      <c r="D2070" s="2">
        <v>-28.0</v>
      </c>
      <c r="E2070" s="2"/>
      <c r="H2070" s="2" t="s">
        <v>571</v>
      </c>
    </row>
    <row r="2071" ht="15.75" customHeight="1">
      <c r="A2071" s="2" t="s">
        <v>2746</v>
      </c>
      <c r="B2071" s="2" t="s">
        <v>271</v>
      </c>
      <c r="C2071" s="6">
        <v>46131.550046296295</v>
      </c>
      <c r="D2071" s="2">
        <v>-28.0</v>
      </c>
      <c r="E2071" s="2"/>
      <c r="H2071" s="2" t="s">
        <v>571</v>
      </c>
    </row>
    <row r="2072" ht="15.75" customHeight="1">
      <c r="A2072" s="2" t="s">
        <v>2747</v>
      </c>
      <c r="B2072" s="5" t="s">
        <v>186</v>
      </c>
      <c r="C2072" s="6">
        <v>46131.550162037034</v>
      </c>
      <c r="D2072" s="2">
        <v>-6.0</v>
      </c>
      <c r="E2072" s="2"/>
      <c r="H2072" s="2" t="s">
        <v>571</v>
      </c>
    </row>
    <row r="2073" ht="15.75" customHeight="1">
      <c r="A2073" s="2" t="s">
        <v>2748</v>
      </c>
      <c r="B2073" s="5" t="s">
        <v>96</v>
      </c>
      <c r="C2073" s="6">
        <v>46131.55032407407</v>
      </c>
      <c r="D2073" s="2">
        <v>-11.0</v>
      </c>
      <c r="E2073" s="2"/>
      <c r="H2073" s="2" t="s">
        <v>571</v>
      </c>
    </row>
    <row r="2074" ht="15.75" customHeight="1">
      <c r="A2074" s="2" t="s">
        <v>2749</v>
      </c>
      <c r="B2074" s="2" t="s">
        <v>405</v>
      </c>
      <c r="C2074" s="6">
        <v>46131.55043981481</v>
      </c>
      <c r="D2074" s="2">
        <v>-11.0</v>
      </c>
      <c r="E2074" s="2"/>
      <c r="H2074" s="2" t="s">
        <v>571</v>
      </c>
    </row>
    <row r="2075" ht="15.75" customHeight="1">
      <c r="A2075" s="2" t="s">
        <v>2750</v>
      </c>
      <c r="B2075" s="2" t="s">
        <v>342</v>
      </c>
      <c r="C2075" s="6">
        <v>46131.55055555556</v>
      </c>
      <c r="D2075" s="2">
        <v>-9.0</v>
      </c>
      <c r="E2075" s="2"/>
      <c r="H2075" s="2" t="s">
        <v>571</v>
      </c>
    </row>
    <row r="2076" ht="15.75" customHeight="1">
      <c r="A2076" s="2" t="s">
        <v>2751</v>
      </c>
      <c r="B2076" s="5" t="s">
        <v>142</v>
      </c>
      <c r="C2076" s="6">
        <v>46131.550671296296</v>
      </c>
      <c r="D2076" s="2">
        <v>-9.0</v>
      </c>
      <c r="E2076" s="2"/>
      <c r="H2076" s="2" t="s">
        <v>571</v>
      </c>
    </row>
    <row r="2077" ht="15.75" customHeight="1">
      <c r="A2077" s="2" t="s">
        <v>2752</v>
      </c>
      <c r="B2077" s="2" t="s">
        <v>327</v>
      </c>
      <c r="C2077" s="6">
        <v>46131.550775462965</v>
      </c>
      <c r="D2077" s="2">
        <v>-7.0</v>
      </c>
      <c r="E2077" s="2"/>
      <c r="H2077" s="2" t="s">
        <v>571</v>
      </c>
    </row>
    <row r="2078" ht="15.75" customHeight="1">
      <c r="A2078" s="2" t="s">
        <v>2753</v>
      </c>
      <c r="B2078" s="5" t="s">
        <v>59</v>
      </c>
      <c r="C2078" s="6">
        <v>46131.55094907407</v>
      </c>
      <c r="D2078" s="2">
        <v>-11.0</v>
      </c>
      <c r="E2078" s="2"/>
      <c r="H2078" s="2" t="s">
        <v>571</v>
      </c>
    </row>
    <row r="2079" ht="15.75" customHeight="1">
      <c r="A2079" s="2" t="s">
        <v>2754</v>
      </c>
      <c r="B2079" s="5" t="s">
        <v>134</v>
      </c>
      <c r="C2079" s="6">
        <v>46131.551087962966</v>
      </c>
      <c r="D2079" s="2">
        <v>-7.0</v>
      </c>
      <c r="E2079" s="2"/>
      <c r="H2079" s="2" t="s">
        <v>571</v>
      </c>
    </row>
    <row r="2080" ht="15.75" customHeight="1">
      <c r="A2080" s="2" t="s">
        <v>2755</v>
      </c>
      <c r="B2080" s="5" t="s">
        <v>214</v>
      </c>
      <c r="C2080" s="6">
        <v>46131.5512962963</v>
      </c>
      <c r="D2080" s="2">
        <v>-60.0</v>
      </c>
      <c r="E2080" s="2"/>
      <c r="H2080" s="2" t="s">
        <v>571</v>
      </c>
    </row>
    <row r="2081" ht="15.75" customHeight="1">
      <c r="A2081" s="2" t="s">
        <v>2756</v>
      </c>
      <c r="B2081" s="5" t="s">
        <v>192</v>
      </c>
      <c r="C2081" s="6">
        <v>46131.551712962966</v>
      </c>
      <c r="D2081" s="2">
        <v>-9.0</v>
      </c>
      <c r="E2081" s="2"/>
      <c r="H2081" s="2" t="s">
        <v>571</v>
      </c>
    </row>
    <row r="2082" ht="15.75" customHeight="1">
      <c r="A2082" s="2" t="s">
        <v>2757</v>
      </c>
      <c r="B2082" s="2" t="s">
        <v>378</v>
      </c>
      <c r="C2082" s="6">
        <v>46131.55186342593</v>
      </c>
      <c r="D2082" s="2">
        <v>-16.0</v>
      </c>
      <c r="E2082" s="2"/>
      <c r="H2082" s="2" t="s">
        <v>571</v>
      </c>
    </row>
    <row r="2083" ht="15.75" customHeight="1">
      <c r="A2083" s="2" t="s">
        <v>2758</v>
      </c>
      <c r="B2083" s="2" t="s">
        <v>384</v>
      </c>
      <c r="C2083" s="6">
        <v>46131.55199074074</v>
      </c>
      <c r="D2083" s="2">
        <v>-10.0</v>
      </c>
      <c r="E2083" s="2"/>
      <c r="H2083" s="2" t="s">
        <v>571</v>
      </c>
    </row>
    <row r="2084" ht="15.75" customHeight="1">
      <c r="A2084" s="2" t="s">
        <v>2759</v>
      </c>
      <c r="B2084" s="2" t="s">
        <v>304</v>
      </c>
      <c r="C2084" s="6">
        <v>46131.55212962963</v>
      </c>
      <c r="D2084" s="2">
        <v>-2.0</v>
      </c>
      <c r="E2084" s="2"/>
      <c r="H2084" s="2" t="s">
        <v>571</v>
      </c>
    </row>
    <row r="2085" ht="15.75" customHeight="1">
      <c r="A2085" s="2" t="s">
        <v>2760</v>
      </c>
      <c r="B2085" s="2" t="s">
        <v>384</v>
      </c>
      <c r="C2085" s="6">
        <v>46131.68053240741</v>
      </c>
      <c r="D2085" s="2">
        <v>-16.0</v>
      </c>
      <c r="E2085" s="2"/>
      <c r="H2085" s="2" t="s">
        <v>599</v>
      </c>
    </row>
    <row r="2086" ht="15.75" customHeight="1">
      <c r="A2086" s="5" t="s">
        <v>2761</v>
      </c>
      <c r="B2086" s="2" t="s">
        <v>372</v>
      </c>
      <c r="C2086" s="6">
        <v>46131.68063657408</v>
      </c>
      <c r="D2086" s="2">
        <v>-13.0</v>
      </c>
      <c r="E2086" s="2"/>
      <c r="H2086" s="2" t="s">
        <v>599</v>
      </c>
    </row>
    <row r="2087" ht="15.75" customHeight="1">
      <c r="A2087" s="2" t="s">
        <v>2762</v>
      </c>
      <c r="B2087" s="2" t="s">
        <v>378</v>
      </c>
      <c r="C2087" s="6">
        <v>46131.681180555555</v>
      </c>
      <c r="D2087" s="2">
        <v>-24.0</v>
      </c>
      <c r="E2087" s="2"/>
      <c r="H2087" s="2" t="s">
        <v>599</v>
      </c>
    </row>
    <row r="2088" ht="15.75" customHeight="1">
      <c r="A2088" s="2" t="s">
        <v>2763</v>
      </c>
      <c r="B2088" s="2" t="s">
        <v>271</v>
      </c>
      <c r="C2088" s="6">
        <v>46131.68158564815</v>
      </c>
      <c r="D2088" s="2">
        <v>-15.0</v>
      </c>
      <c r="E2088" s="2"/>
      <c r="H2088" s="2" t="s">
        <v>599</v>
      </c>
    </row>
    <row r="2089" ht="15.75" customHeight="1">
      <c r="A2089" s="2" t="s">
        <v>2764</v>
      </c>
      <c r="B2089" s="5" t="s">
        <v>217</v>
      </c>
      <c r="C2089" s="6">
        <v>46131.68171296296</v>
      </c>
      <c r="D2089" s="2">
        <v>-18.0</v>
      </c>
      <c r="E2089" s="2"/>
      <c r="H2089" s="2" t="s">
        <v>599</v>
      </c>
    </row>
    <row r="2090" ht="15.75" customHeight="1">
      <c r="A2090" s="2" t="s">
        <v>2765</v>
      </c>
      <c r="B2090" s="2" t="s">
        <v>289</v>
      </c>
      <c r="C2090" s="6">
        <v>46131.681875</v>
      </c>
      <c r="D2090" s="2">
        <v>-14.0</v>
      </c>
      <c r="E2090" s="2"/>
      <c r="H2090" s="2" t="s">
        <v>599</v>
      </c>
    </row>
    <row r="2091" ht="15.75" customHeight="1">
      <c r="A2091" s="2" t="s">
        <v>2766</v>
      </c>
      <c r="B2091" s="2" t="s">
        <v>408</v>
      </c>
      <c r="C2091" s="6">
        <v>46131.681967592594</v>
      </c>
      <c r="D2091" s="2">
        <v>-7.0</v>
      </c>
      <c r="E2091" s="2"/>
      <c r="H2091" s="2" t="s">
        <v>599</v>
      </c>
    </row>
    <row r="2092" ht="15.75" customHeight="1">
      <c r="A2092" s="2" t="s">
        <v>2767</v>
      </c>
      <c r="B2092" s="2" t="s">
        <v>327</v>
      </c>
      <c r="C2092" s="6">
        <v>46131.68201388889</v>
      </c>
      <c r="D2092" s="2">
        <v>-14.0</v>
      </c>
      <c r="E2092" s="2"/>
      <c r="H2092" s="2" t="s">
        <v>599</v>
      </c>
    </row>
    <row r="2093" ht="15.75" customHeight="1">
      <c r="A2093" s="2" t="s">
        <v>2768</v>
      </c>
      <c r="B2093" s="2" t="s">
        <v>295</v>
      </c>
      <c r="C2093" s="6">
        <v>46131.68226851852</v>
      </c>
      <c r="D2093" s="2">
        <v>-6.0</v>
      </c>
      <c r="E2093" s="2"/>
      <c r="H2093" s="2" t="s">
        <v>599</v>
      </c>
    </row>
    <row r="2094" ht="15.75" customHeight="1">
      <c r="A2094" s="2" t="s">
        <v>2769</v>
      </c>
      <c r="B2094" s="2" t="s">
        <v>369</v>
      </c>
      <c r="C2094" s="6">
        <v>46131.68315972222</v>
      </c>
      <c r="D2094" s="2">
        <v>-6.0</v>
      </c>
      <c r="E2094" s="2"/>
      <c r="H2094" s="2" t="s">
        <v>599</v>
      </c>
    </row>
    <row r="2095" ht="15.75" customHeight="1">
      <c r="A2095" s="2" t="s">
        <v>2770</v>
      </c>
      <c r="B2095" s="5" t="s">
        <v>96</v>
      </c>
      <c r="C2095" s="6">
        <v>46131.68325231481</v>
      </c>
      <c r="D2095" s="2">
        <v>-13.0</v>
      </c>
      <c r="E2095" s="2"/>
      <c r="H2095" s="2" t="s">
        <v>599</v>
      </c>
    </row>
    <row r="2096" ht="15.75" customHeight="1">
      <c r="A2096" s="2" t="s">
        <v>2771</v>
      </c>
      <c r="B2096" s="5" t="s">
        <v>59</v>
      </c>
      <c r="C2096" s="6">
        <v>46131.68388888889</v>
      </c>
      <c r="D2096" s="2">
        <v>-4.0</v>
      </c>
      <c r="E2096" s="2"/>
      <c r="H2096" s="2" t="s">
        <v>599</v>
      </c>
    </row>
    <row r="2097" ht="15.75" customHeight="1">
      <c r="A2097" s="2" t="s">
        <v>2772</v>
      </c>
      <c r="B2097" s="5" t="s">
        <v>142</v>
      </c>
      <c r="C2097" s="6">
        <v>46131.68415509259</v>
      </c>
      <c r="D2097" s="2">
        <v>-13.0</v>
      </c>
      <c r="E2097" s="2"/>
      <c r="H2097" s="2" t="s">
        <v>599</v>
      </c>
    </row>
    <row r="2098" ht="15.75" customHeight="1">
      <c r="A2098" s="2" t="s">
        <v>2773</v>
      </c>
      <c r="B2098" s="2" t="s">
        <v>387</v>
      </c>
      <c r="C2098" s="6">
        <v>46131.68457175926</v>
      </c>
      <c r="D2098" s="2">
        <v>-7.0</v>
      </c>
      <c r="E2098" s="2"/>
      <c r="H2098" s="2" t="s">
        <v>599</v>
      </c>
    </row>
    <row r="2099" ht="15.75" customHeight="1">
      <c r="A2099" s="2" t="s">
        <v>2774</v>
      </c>
      <c r="B2099" s="2" t="s">
        <v>405</v>
      </c>
      <c r="C2099" s="6">
        <v>46131.68519675926</v>
      </c>
      <c r="D2099" s="2">
        <v>-4.0</v>
      </c>
      <c r="E2099" s="2"/>
      <c r="H2099" s="2" t="s">
        <v>599</v>
      </c>
    </row>
    <row r="2100" ht="15.75" customHeight="1">
      <c r="A2100" s="2" t="s">
        <v>2775</v>
      </c>
      <c r="B2100" s="5" t="s">
        <v>192</v>
      </c>
      <c r="C2100" s="6">
        <v>46131.685625</v>
      </c>
      <c r="D2100" s="2">
        <v>-24.0</v>
      </c>
      <c r="E2100" s="2"/>
      <c r="H2100" s="2" t="s">
        <v>599</v>
      </c>
    </row>
    <row r="2101" ht="15.75" customHeight="1">
      <c r="A2101" s="2" t="s">
        <v>2776</v>
      </c>
      <c r="B2101" s="2" t="s">
        <v>327</v>
      </c>
      <c r="C2101" s="6">
        <v>46131.687893518516</v>
      </c>
      <c r="D2101" s="2">
        <v>-6.0</v>
      </c>
      <c r="E2101" s="2"/>
      <c r="H2101" s="2" t="s">
        <v>599</v>
      </c>
    </row>
    <row r="2102" ht="15.75" customHeight="1">
      <c r="A2102" s="2" t="s">
        <v>2777</v>
      </c>
      <c r="B2102" s="5" t="s">
        <v>217</v>
      </c>
      <c r="C2102" s="6">
        <v>46131.68803240741</v>
      </c>
      <c r="D2102" s="2">
        <v>-15.0</v>
      </c>
      <c r="E2102" s="2"/>
      <c r="H2102" s="2" t="s">
        <v>599</v>
      </c>
    </row>
    <row r="2103" ht="15.75" customHeight="1">
      <c r="A2103" s="2" t="s">
        <v>2778</v>
      </c>
      <c r="B2103" s="2" t="s">
        <v>271</v>
      </c>
      <c r="C2103" s="6">
        <v>46131.688101851854</v>
      </c>
      <c r="D2103" s="2">
        <v>-15.0</v>
      </c>
      <c r="E2103" s="2"/>
      <c r="H2103" s="2" t="s">
        <v>599</v>
      </c>
    </row>
    <row r="2104" ht="15.75" customHeight="1">
      <c r="A2104" s="2" t="s">
        <v>2779</v>
      </c>
      <c r="B2104" s="2" t="s">
        <v>408</v>
      </c>
      <c r="C2104" s="6">
        <v>46131.68822916667</v>
      </c>
      <c r="D2104" s="2">
        <v>-7.0</v>
      </c>
      <c r="E2104" s="2"/>
      <c r="H2104" s="2" t="s">
        <v>599</v>
      </c>
    </row>
    <row r="2105" ht="15.75" customHeight="1">
      <c r="A2105" s="2" t="s">
        <v>2780</v>
      </c>
      <c r="B2105" s="2" t="s">
        <v>289</v>
      </c>
      <c r="C2105" s="6">
        <v>46131.68828703704</v>
      </c>
      <c r="D2105" s="2">
        <v>-7.0</v>
      </c>
      <c r="E2105" s="2"/>
      <c r="H2105" s="2" t="s">
        <v>599</v>
      </c>
    </row>
    <row r="2106" ht="15.75" customHeight="1">
      <c r="A2106" s="2" t="s">
        <v>2781</v>
      </c>
      <c r="B2106" s="2" t="s">
        <v>372</v>
      </c>
      <c r="C2106" s="6">
        <v>46131.68895833333</v>
      </c>
      <c r="D2106" s="2">
        <v>-9.0</v>
      </c>
      <c r="E2106" s="2"/>
      <c r="H2106" s="2" t="s">
        <v>599</v>
      </c>
    </row>
    <row r="2107" ht="15.75" customHeight="1">
      <c r="A2107" s="2" t="s">
        <v>2782</v>
      </c>
      <c r="B2107" s="2" t="s">
        <v>295</v>
      </c>
      <c r="C2107" s="6">
        <v>46131.689050925925</v>
      </c>
      <c r="D2107" s="2">
        <v>-24.0</v>
      </c>
      <c r="E2107" s="2"/>
      <c r="H2107" s="2" t="s">
        <v>599</v>
      </c>
    </row>
    <row r="2108" ht="15.75" customHeight="1">
      <c r="A2108" s="2" t="s">
        <v>2783</v>
      </c>
      <c r="B2108" s="2" t="s">
        <v>342</v>
      </c>
      <c r="C2108" s="6">
        <v>46131.68927083333</v>
      </c>
      <c r="D2108" s="2">
        <v>-15.0</v>
      </c>
      <c r="E2108" s="2"/>
      <c r="H2108" s="2" t="s">
        <v>599</v>
      </c>
    </row>
    <row r="2109" ht="15.75" customHeight="1">
      <c r="A2109" s="2" t="s">
        <v>2784</v>
      </c>
      <c r="B2109" s="5" t="s">
        <v>192</v>
      </c>
      <c r="C2109" s="6">
        <v>46131.69012731482</v>
      </c>
      <c r="D2109" s="2">
        <v>-10.0</v>
      </c>
      <c r="E2109" s="2"/>
      <c r="H2109" s="2" t="s">
        <v>599</v>
      </c>
    </row>
    <row r="2110" ht="15.75" customHeight="1">
      <c r="A2110" s="2" t="s">
        <v>2785</v>
      </c>
      <c r="B2110" s="5" t="s">
        <v>142</v>
      </c>
      <c r="C2110" s="6">
        <v>46131.69065972222</v>
      </c>
      <c r="D2110" s="2">
        <v>-9.0</v>
      </c>
      <c r="E2110" s="2"/>
      <c r="H2110" s="2" t="s">
        <v>599</v>
      </c>
    </row>
    <row r="2111" ht="15.75" customHeight="1">
      <c r="A2111" s="2" t="s">
        <v>2786</v>
      </c>
      <c r="B2111" s="5" t="s">
        <v>85</v>
      </c>
      <c r="C2111" s="6">
        <v>46131.69138888889</v>
      </c>
      <c r="D2111" s="2">
        <v>-4.0</v>
      </c>
      <c r="E2111" s="2"/>
      <c r="H2111" s="2" t="s">
        <v>599</v>
      </c>
    </row>
    <row r="2112" ht="15.75" customHeight="1">
      <c r="A2112" s="2" t="s">
        <v>2787</v>
      </c>
      <c r="B2112" s="2" t="s">
        <v>387</v>
      </c>
      <c r="C2112" s="6">
        <v>46131.691666666666</v>
      </c>
      <c r="D2112" s="2">
        <v>-5.0</v>
      </c>
      <c r="E2112" s="2"/>
      <c r="H2112" s="2" t="s">
        <v>599</v>
      </c>
    </row>
    <row r="2113" ht="15.75" customHeight="1">
      <c r="A2113" s="2" t="s">
        <v>2788</v>
      </c>
      <c r="B2113" s="2" t="s">
        <v>405</v>
      </c>
      <c r="C2113" s="6">
        <v>46131.69204861111</v>
      </c>
      <c r="D2113" s="2">
        <v>-7.0</v>
      </c>
      <c r="E2113" s="2"/>
      <c r="H2113" s="2" t="s">
        <v>599</v>
      </c>
    </row>
    <row r="2114" ht="15.75" customHeight="1">
      <c r="A2114" s="2" t="s">
        <v>2789</v>
      </c>
      <c r="B2114" s="2" t="s">
        <v>342</v>
      </c>
      <c r="C2114" s="6">
        <v>46131.77956018518</v>
      </c>
      <c r="D2114" s="2">
        <v>1.0</v>
      </c>
      <c r="E2114" s="2"/>
      <c r="H2114" s="2" t="s">
        <v>599</v>
      </c>
    </row>
    <row r="2115" ht="15.75" customHeight="1">
      <c r="A2115" s="2" t="s">
        <v>2790</v>
      </c>
      <c r="B2115" s="5" t="s">
        <v>165</v>
      </c>
      <c r="C2115" s="6">
        <v>46131.779861111114</v>
      </c>
      <c r="D2115" s="2">
        <v>14.0</v>
      </c>
      <c r="E2115" s="2"/>
      <c r="H2115" s="2" t="s">
        <v>599</v>
      </c>
    </row>
    <row r="2116" ht="15.75" customHeight="1">
      <c r="A2116" s="2" t="s">
        <v>2791</v>
      </c>
      <c r="B2116" s="5" t="s">
        <v>214</v>
      </c>
      <c r="C2116" s="6">
        <v>46131.944398148145</v>
      </c>
      <c r="D2116" s="2">
        <v>1188.0</v>
      </c>
      <c r="E2116" s="2" t="s">
        <v>2792</v>
      </c>
      <c r="H2116" s="2" t="s">
        <v>571</v>
      </c>
    </row>
    <row r="2117" ht="15.75" customHeight="1">
      <c r="A2117" s="2" t="s">
        <v>2793</v>
      </c>
      <c r="B2117" s="2" t="s">
        <v>289</v>
      </c>
      <c r="C2117" s="6">
        <v>46131.9447337963</v>
      </c>
      <c r="D2117" s="2">
        <v>-40.0</v>
      </c>
      <c r="E2117" s="2"/>
      <c r="H2117" s="2" t="s">
        <v>571</v>
      </c>
    </row>
    <row r="2118" ht="15.75" customHeight="1">
      <c r="A2118" s="2" t="s">
        <v>2794</v>
      </c>
      <c r="B2118" s="5" t="s">
        <v>217</v>
      </c>
      <c r="C2118" s="6">
        <v>46131.945185185185</v>
      </c>
      <c r="D2118" s="2">
        <v>-15.0</v>
      </c>
      <c r="E2118" s="2"/>
      <c r="H2118" s="2" t="s">
        <v>571</v>
      </c>
    </row>
    <row r="2119" ht="15.75" customHeight="1">
      <c r="A2119" s="2" t="s">
        <v>2795</v>
      </c>
      <c r="B2119" s="2" t="s">
        <v>271</v>
      </c>
      <c r="C2119" s="6">
        <v>46131.94527777778</v>
      </c>
      <c r="D2119" s="2">
        <v>-14.0</v>
      </c>
      <c r="E2119" s="2"/>
      <c r="H2119" s="2" t="s">
        <v>571</v>
      </c>
    </row>
    <row r="2120" ht="15.75" customHeight="1">
      <c r="A2120" s="2" t="s">
        <v>2796</v>
      </c>
      <c r="B2120" s="2" t="s">
        <v>372</v>
      </c>
      <c r="C2120" s="6">
        <v>46131.94550925926</v>
      </c>
      <c r="D2120" s="2">
        <v>-20.0</v>
      </c>
      <c r="E2120" s="2"/>
      <c r="H2120" s="2" t="s">
        <v>571</v>
      </c>
    </row>
    <row r="2121" ht="15.75" customHeight="1">
      <c r="A2121" s="2" t="s">
        <v>2797</v>
      </c>
      <c r="B2121" s="2" t="s">
        <v>378</v>
      </c>
      <c r="C2121" s="6">
        <v>46131.94564814815</v>
      </c>
      <c r="D2121" s="2">
        <v>-16.0</v>
      </c>
      <c r="E2121" s="2"/>
      <c r="H2121" s="2" t="s">
        <v>571</v>
      </c>
    </row>
    <row r="2122" ht="15.75" customHeight="1">
      <c r="A2122" s="2" t="s">
        <v>2798</v>
      </c>
      <c r="B2122" s="2" t="s">
        <v>378</v>
      </c>
      <c r="C2122" s="6">
        <v>46131.945972222224</v>
      </c>
      <c r="D2122" s="2">
        <v>-10.0</v>
      </c>
      <c r="E2122" s="2"/>
      <c r="H2122" s="2" t="s">
        <v>571</v>
      </c>
    </row>
    <row r="2123" ht="15.75" customHeight="1">
      <c r="A2123" s="2" t="s">
        <v>2799</v>
      </c>
      <c r="B2123" s="5" t="s">
        <v>142</v>
      </c>
      <c r="C2123" s="6">
        <v>46131.94609953704</v>
      </c>
      <c r="D2123" s="2">
        <v>-5.0</v>
      </c>
      <c r="E2123" s="2"/>
      <c r="H2123" s="2" t="s">
        <v>571</v>
      </c>
    </row>
    <row r="2124" ht="15.75" customHeight="1">
      <c r="A2124" s="2" t="s">
        <v>2800</v>
      </c>
      <c r="B2124" s="2" t="s">
        <v>405</v>
      </c>
      <c r="C2124" s="6">
        <v>46131.946238425924</v>
      </c>
      <c r="D2124" s="2">
        <v>-2.0</v>
      </c>
      <c r="E2124" s="2"/>
      <c r="H2124" s="2" t="s">
        <v>571</v>
      </c>
    </row>
    <row r="2125" ht="15.75" customHeight="1">
      <c r="A2125" s="2" t="s">
        <v>2801</v>
      </c>
      <c r="B2125" s="5" t="s">
        <v>134</v>
      </c>
      <c r="C2125" s="6">
        <v>46131.94636574074</v>
      </c>
      <c r="D2125" s="2">
        <v>-6.0</v>
      </c>
      <c r="E2125" s="2"/>
      <c r="H2125" s="2" t="s">
        <v>571</v>
      </c>
    </row>
    <row r="2126" ht="15.75" customHeight="1">
      <c r="A2126" s="2" t="s">
        <v>2802</v>
      </c>
      <c r="B2126" s="5" t="s">
        <v>214</v>
      </c>
      <c r="C2126" s="6">
        <v>46131.94684027778</v>
      </c>
      <c r="D2126" s="2">
        <v>-120.0</v>
      </c>
      <c r="E2126" s="2"/>
      <c r="H2126" s="2" t="s">
        <v>571</v>
      </c>
    </row>
    <row r="2127" ht="15.75" customHeight="1">
      <c r="A2127" s="2" t="s">
        <v>2803</v>
      </c>
      <c r="B2127" s="5" t="s">
        <v>214</v>
      </c>
      <c r="C2127" s="6">
        <v>46131.94788194444</v>
      </c>
      <c r="D2127" s="2">
        <v>60.0</v>
      </c>
      <c r="E2127" s="2" t="s">
        <v>2804</v>
      </c>
      <c r="H2127" s="2" t="s">
        <v>571</v>
      </c>
    </row>
    <row r="2128" ht="15.75" customHeight="1">
      <c r="A2128" s="2" t="s">
        <v>2805</v>
      </c>
      <c r="B2128" s="2" t="s">
        <v>354</v>
      </c>
      <c r="C2128" s="6">
        <v>46131.96077546296</v>
      </c>
      <c r="D2128" s="2">
        <v>-15.0</v>
      </c>
      <c r="E2128" s="2"/>
      <c r="H2128" s="2" t="s">
        <v>571</v>
      </c>
    </row>
    <row r="2129" ht="15.75" customHeight="1">
      <c r="A2129" s="2" t="s">
        <v>2806</v>
      </c>
      <c r="B2129" s="5" t="s">
        <v>192</v>
      </c>
      <c r="C2129" s="6">
        <v>46131.96097222222</v>
      </c>
      <c r="D2129" s="2">
        <v>-6.0</v>
      </c>
      <c r="E2129" s="2"/>
      <c r="H2129" s="2" t="s">
        <v>571</v>
      </c>
    </row>
    <row r="2130" ht="15.75" customHeight="1">
      <c r="A2130" s="2" t="s">
        <v>2807</v>
      </c>
      <c r="B2130" s="2" t="s">
        <v>360</v>
      </c>
      <c r="C2130" s="6">
        <v>46131.962592592594</v>
      </c>
      <c r="D2130" s="2">
        <v>-10.0</v>
      </c>
      <c r="E2130" s="2"/>
      <c r="H2130" s="2" t="s">
        <v>571</v>
      </c>
    </row>
    <row r="2131" ht="15.75" customHeight="1">
      <c r="A2131" s="2" t="s">
        <v>2808</v>
      </c>
      <c r="B2131" s="2" t="s">
        <v>289</v>
      </c>
      <c r="C2131" s="6">
        <v>46131.97083333333</v>
      </c>
      <c r="D2131" s="2">
        <v>-14.0</v>
      </c>
      <c r="E2131" s="2"/>
      <c r="H2131" s="2" t="s">
        <v>599</v>
      </c>
    </row>
    <row r="2132" ht="15.75" customHeight="1">
      <c r="A2132" s="2" t="s">
        <v>2809</v>
      </c>
      <c r="B2132" s="2" t="s">
        <v>408</v>
      </c>
      <c r="C2132" s="6">
        <v>46131.971180555556</v>
      </c>
      <c r="D2132" s="2">
        <v>-6.0</v>
      </c>
      <c r="E2132" s="2"/>
      <c r="H2132" s="2" t="s">
        <v>599</v>
      </c>
    </row>
    <row r="2133" ht="15.75" customHeight="1">
      <c r="A2133" s="2" t="s">
        <v>2810</v>
      </c>
      <c r="B2133" s="2" t="s">
        <v>339</v>
      </c>
      <c r="C2133" s="6">
        <v>46131.971342592595</v>
      </c>
      <c r="D2133" s="2">
        <v>-7.0</v>
      </c>
      <c r="E2133" s="2"/>
      <c r="H2133" s="2" t="s">
        <v>599</v>
      </c>
    </row>
    <row r="2134" ht="15.75" customHeight="1">
      <c r="A2134" s="2" t="s">
        <v>2811</v>
      </c>
      <c r="B2134" s="5" t="s">
        <v>131</v>
      </c>
      <c r="C2134" s="6">
        <v>46131.97143518519</v>
      </c>
      <c r="D2134" s="2">
        <v>-3.0</v>
      </c>
      <c r="E2134" s="2"/>
      <c r="H2134" s="2" t="s">
        <v>599</v>
      </c>
    </row>
    <row r="2135" ht="15.75" customHeight="1">
      <c r="A2135" s="2" t="s">
        <v>2812</v>
      </c>
      <c r="B2135" s="5" t="s">
        <v>217</v>
      </c>
      <c r="C2135" s="6">
        <v>46131.971666666665</v>
      </c>
      <c r="D2135" s="2">
        <v>-9.0</v>
      </c>
      <c r="E2135" s="2"/>
      <c r="H2135" s="2" t="s">
        <v>599</v>
      </c>
    </row>
    <row r="2136" ht="15.75" customHeight="1">
      <c r="A2136" s="2" t="s">
        <v>2813</v>
      </c>
      <c r="B2136" s="2" t="s">
        <v>271</v>
      </c>
      <c r="C2136" s="6">
        <v>46131.97178240741</v>
      </c>
      <c r="D2136" s="2">
        <v>-9.0</v>
      </c>
      <c r="E2136" s="2"/>
      <c r="H2136" s="2" t="s">
        <v>599</v>
      </c>
    </row>
    <row r="2137" ht="15.75" customHeight="1">
      <c r="A2137" s="2" t="s">
        <v>2814</v>
      </c>
      <c r="B2137" s="5" t="s">
        <v>186</v>
      </c>
      <c r="C2137" s="6">
        <v>46131.97195601852</v>
      </c>
      <c r="D2137" s="2">
        <v>-12.0</v>
      </c>
      <c r="E2137" s="2"/>
      <c r="H2137" s="2" t="s">
        <v>599</v>
      </c>
    </row>
    <row r="2138" ht="15.75" customHeight="1">
      <c r="A2138" s="2" t="s">
        <v>2815</v>
      </c>
      <c r="B2138" s="5" t="s">
        <v>171</v>
      </c>
      <c r="C2138" s="6">
        <v>46131.97244212963</v>
      </c>
      <c r="D2138" s="2">
        <v>-6.0</v>
      </c>
      <c r="E2138" s="2"/>
      <c r="H2138" s="2" t="s">
        <v>599</v>
      </c>
    </row>
    <row r="2139" ht="15.75" customHeight="1">
      <c r="A2139" s="2" t="s">
        <v>2816</v>
      </c>
      <c r="B2139" s="2" t="s">
        <v>384</v>
      </c>
      <c r="C2139" s="6">
        <v>46131.97282407407</v>
      </c>
      <c r="D2139" s="2">
        <v>-11.0</v>
      </c>
      <c r="E2139" s="2"/>
      <c r="H2139" s="2" t="s">
        <v>599</v>
      </c>
    </row>
    <row r="2140" ht="15.75" customHeight="1">
      <c r="A2140" s="2" t="s">
        <v>2817</v>
      </c>
      <c r="B2140" s="2" t="s">
        <v>378</v>
      </c>
      <c r="C2140" s="6">
        <v>46131.97347222222</v>
      </c>
      <c r="D2140" s="2">
        <v>-13.0</v>
      </c>
      <c r="E2140" s="2"/>
      <c r="H2140" s="2" t="s">
        <v>599</v>
      </c>
    </row>
    <row r="2141" ht="15.75" customHeight="1">
      <c r="A2141" s="2" t="s">
        <v>2818</v>
      </c>
      <c r="B2141" s="2" t="s">
        <v>360</v>
      </c>
      <c r="C2141" s="6">
        <v>46131.97408564815</v>
      </c>
      <c r="D2141" s="2">
        <v>-21.0</v>
      </c>
      <c r="E2141" s="2"/>
      <c r="H2141" s="2" t="s">
        <v>599</v>
      </c>
    </row>
    <row r="2142" ht="15.75" customHeight="1">
      <c r="A2142" s="2" t="s">
        <v>2819</v>
      </c>
      <c r="B2142" s="5" t="s">
        <v>59</v>
      </c>
      <c r="C2142" s="6">
        <v>46131.97461805555</v>
      </c>
      <c r="D2142" s="2">
        <v>-2.0</v>
      </c>
      <c r="E2142" s="2"/>
      <c r="H2142" s="2" t="s">
        <v>599</v>
      </c>
    </row>
    <row r="2143" ht="15.75" customHeight="1">
      <c r="A2143" s="2" t="s">
        <v>2820</v>
      </c>
      <c r="B2143" s="5" t="s">
        <v>134</v>
      </c>
      <c r="C2143" s="6">
        <v>46131.97476851852</v>
      </c>
      <c r="D2143" s="2">
        <v>-4.0</v>
      </c>
      <c r="E2143" s="2"/>
      <c r="H2143" s="2" t="s">
        <v>599</v>
      </c>
    </row>
    <row r="2144" ht="15.75" customHeight="1">
      <c r="A2144" s="2" t="s">
        <v>2821</v>
      </c>
      <c r="B2144" s="5" t="s">
        <v>142</v>
      </c>
      <c r="C2144" s="6">
        <v>46131.975173611114</v>
      </c>
      <c r="D2144" s="2">
        <v>-15.0</v>
      </c>
      <c r="E2144" s="2"/>
      <c r="H2144" s="2" t="s">
        <v>599</v>
      </c>
    </row>
    <row r="2145" ht="15.75" customHeight="1">
      <c r="A2145" s="2" t="s">
        <v>2822</v>
      </c>
      <c r="B2145" s="2" t="s">
        <v>387</v>
      </c>
      <c r="C2145" s="6">
        <v>46131.975752314815</v>
      </c>
      <c r="D2145" s="2">
        <v>-7.0</v>
      </c>
      <c r="E2145" s="2"/>
      <c r="H2145" s="2" t="s">
        <v>599</v>
      </c>
    </row>
    <row r="2146" ht="15.75" customHeight="1">
      <c r="A2146" s="2" t="s">
        <v>2823</v>
      </c>
      <c r="B2146" s="5" t="s">
        <v>85</v>
      </c>
      <c r="C2146" s="6">
        <v>46131.9762962963</v>
      </c>
      <c r="D2146" s="2">
        <v>-5.0</v>
      </c>
      <c r="E2146" s="2"/>
      <c r="H2146" s="2" t="s">
        <v>599</v>
      </c>
    </row>
    <row r="2147" ht="15.75" customHeight="1">
      <c r="A2147" s="2" t="s">
        <v>2824</v>
      </c>
      <c r="B2147" s="2" t="s">
        <v>381</v>
      </c>
      <c r="C2147" s="6">
        <v>46131.976793981485</v>
      </c>
      <c r="D2147" s="2">
        <v>-7.0</v>
      </c>
      <c r="E2147" s="2"/>
      <c r="H2147" s="2" t="s">
        <v>599</v>
      </c>
    </row>
    <row r="2148" ht="15.75" customHeight="1">
      <c r="A2148" s="2" t="s">
        <v>2825</v>
      </c>
      <c r="B2148" s="2" t="s">
        <v>405</v>
      </c>
      <c r="C2148" s="6">
        <v>46131.97771990741</v>
      </c>
      <c r="D2148" s="2">
        <v>-12.0</v>
      </c>
      <c r="E2148" s="2"/>
      <c r="H2148" s="2" t="s">
        <v>599</v>
      </c>
    </row>
    <row r="2149" ht="15.75" customHeight="1">
      <c r="A2149" s="2" t="s">
        <v>2826</v>
      </c>
      <c r="B2149" s="5" t="s">
        <v>214</v>
      </c>
      <c r="C2149" s="6">
        <v>46131.979108796295</v>
      </c>
      <c r="D2149" s="2">
        <v>-60.0</v>
      </c>
      <c r="E2149" s="2"/>
      <c r="H2149" s="2" t="s">
        <v>599</v>
      </c>
    </row>
    <row r="2150" ht="15.75" customHeight="1">
      <c r="A2150" s="2" t="s">
        <v>2827</v>
      </c>
      <c r="B2150" s="5" t="s">
        <v>49</v>
      </c>
      <c r="C2150" s="6">
        <v>46132.026655092595</v>
      </c>
      <c r="D2150" s="2">
        <v>3.0</v>
      </c>
      <c r="E2150" s="2"/>
      <c r="H2150" s="2" t="s">
        <v>599</v>
      </c>
    </row>
    <row r="2151" ht="15.75" customHeight="1">
      <c r="A2151" s="2" t="s">
        <v>2828</v>
      </c>
      <c r="B2151" s="5" t="s">
        <v>186</v>
      </c>
      <c r="C2151" s="6">
        <v>46132.02673611111</v>
      </c>
      <c r="D2151" s="2">
        <v>5.0</v>
      </c>
      <c r="E2151" s="2"/>
      <c r="H2151" s="2" t="s">
        <v>599</v>
      </c>
    </row>
    <row r="2152" ht="15.75" customHeight="1">
      <c r="A2152" s="2" t="s">
        <v>2829</v>
      </c>
      <c r="B2152" s="2" t="s">
        <v>384</v>
      </c>
      <c r="C2152" s="6">
        <v>46132.06344907408</v>
      </c>
      <c r="D2152" s="2">
        <v>28.0</v>
      </c>
      <c r="E2152" s="2"/>
      <c r="H2152" s="2" t="s">
        <v>571</v>
      </c>
    </row>
    <row r="2153" ht="15.75" customHeight="1">
      <c r="A2153" s="2" t="s">
        <v>2830</v>
      </c>
      <c r="B2153" s="2" t="s">
        <v>378</v>
      </c>
      <c r="C2153" s="6">
        <v>46132.06361111111</v>
      </c>
      <c r="D2153" s="2">
        <v>16.0</v>
      </c>
      <c r="E2153" s="2"/>
      <c r="H2153" s="2" t="s">
        <v>571</v>
      </c>
    </row>
    <row r="2154" ht="15.75" customHeight="1">
      <c r="A2154" s="2" t="s">
        <v>2831</v>
      </c>
      <c r="B2154" s="5" t="s">
        <v>186</v>
      </c>
      <c r="C2154" s="6">
        <v>46132.06622685185</v>
      </c>
      <c r="D2154" s="2">
        <v>-6.0</v>
      </c>
      <c r="E2154" s="2"/>
      <c r="H2154" s="2" t="s">
        <v>571</v>
      </c>
    </row>
    <row r="2155" ht="15.75" customHeight="1">
      <c r="A2155" s="2" t="s">
        <v>2832</v>
      </c>
      <c r="B2155" s="5" t="s">
        <v>157</v>
      </c>
      <c r="C2155" s="6">
        <v>46132.17424768519</v>
      </c>
      <c r="D2155" s="2">
        <v>10.0</v>
      </c>
      <c r="E2155" s="2" t="s">
        <v>2833</v>
      </c>
      <c r="H2155" s="2" t="s">
        <v>571</v>
      </c>
    </row>
    <row r="2156" ht="15.75" customHeight="1">
      <c r="A2156" s="2" t="s">
        <v>2834</v>
      </c>
      <c r="B2156" s="2" t="s">
        <v>289</v>
      </c>
      <c r="C2156" s="6">
        <v>46132.174305555556</v>
      </c>
      <c r="D2156" s="2">
        <v>36.0</v>
      </c>
      <c r="E2156" s="2" t="s">
        <v>2833</v>
      </c>
      <c r="H2156" s="2" t="s">
        <v>571</v>
      </c>
    </row>
    <row r="2157" ht="15.75" customHeight="1">
      <c r="A2157" s="2" t="s">
        <v>2835</v>
      </c>
      <c r="B2157" s="2" t="s">
        <v>399</v>
      </c>
      <c r="C2157" s="6">
        <v>46132.17435185185</v>
      </c>
      <c r="D2157" s="2">
        <v>12.0</v>
      </c>
      <c r="E2157" s="2" t="s">
        <v>2833</v>
      </c>
      <c r="H2157" s="2" t="s">
        <v>571</v>
      </c>
    </row>
    <row r="2158" ht="15.75" customHeight="1">
      <c r="A2158" s="2" t="s">
        <v>2836</v>
      </c>
      <c r="B2158" s="2" t="s">
        <v>289</v>
      </c>
      <c r="C2158" s="6">
        <v>46132.174467592595</v>
      </c>
      <c r="D2158" s="2">
        <v>-10.0</v>
      </c>
      <c r="E2158" s="2"/>
      <c r="H2158" s="2" t="s">
        <v>571</v>
      </c>
    </row>
    <row r="2159" ht="15.75" customHeight="1">
      <c r="A2159" s="2" t="s">
        <v>2837</v>
      </c>
      <c r="B2159" s="5" t="s">
        <v>217</v>
      </c>
      <c r="C2159" s="6">
        <v>46132.17461805556</v>
      </c>
      <c r="D2159" s="2">
        <v>-28.0</v>
      </c>
      <c r="E2159" s="2"/>
      <c r="H2159" s="2" t="s">
        <v>571</v>
      </c>
    </row>
    <row r="2160" ht="15.75" customHeight="1">
      <c r="A2160" s="2" t="s">
        <v>2838</v>
      </c>
      <c r="B2160" s="2" t="s">
        <v>271</v>
      </c>
      <c r="C2160" s="6">
        <v>46132.174733796295</v>
      </c>
      <c r="D2160" s="2">
        <v>-7.0</v>
      </c>
      <c r="E2160" s="2"/>
      <c r="H2160" s="2" t="s">
        <v>571</v>
      </c>
    </row>
    <row r="2161" ht="15.75" customHeight="1">
      <c r="A2161" s="2" t="s">
        <v>2839</v>
      </c>
      <c r="B2161" s="5" t="s">
        <v>131</v>
      </c>
      <c r="C2161" s="6">
        <v>46132.17490740741</v>
      </c>
      <c r="D2161" s="2">
        <v>-7.0</v>
      </c>
      <c r="E2161" s="2"/>
      <c r="H2161" s="2" t="s">
        <v>571</v>
      </c>
    </row>
    <row r="2162" ht="15.75" customHeight="1">
      <c r="A2162" s="2" t="s">
        <v>2840</v>
      </c>
      <c r="B2162" s="2" t="s">
        <v>360</v>
      </c>
      <c r="C2162" s="6">
        <v>46132.17503472222</v>
      </c>
      <c r="D2162" s="2">
        <v>-24.0</v>
      </c>
      <c r="E2162" s="2"/>
      <c r="H2162" s="2" t="s">
        <v>571</v>
      </c>
    </row>
    <row r="2163" ht="15.75" customHeight="1">
      <c r="A2163" s="2" t="s">
        <v>2841</v>
      </c>
      <c r="B2163" s="5" t="s">
        <v>214</v>
      </c>
      <c r="C2163" s="6">
        <v>46132.17524305556</v>
      </c>
      <c r="D2163" s="2">
        <v>-60.0</v>
      </c>
      <c r="E2163" s="2"/>
      <c r="H2163" s="2" t="s">
        <v>571</v>
      </c>
    </row>
    <row r="2164" ht="15.75" customHeight="1">
      <c r="A2164" s="2" t="s">
        <v>2842</v>
      </c>
      <c r="B2164" s="5" t="s">
        <v>142</v>
      </c>
      <c r="C2164" s="6">
        <v>46132.17570601852</v>
      </c>
      <c r="D2164" s="2">
        <v>-13.0</v>
      </c>
      <c r="E2164" s="2"/>
      <c r="H2164" s="2" t="s">
        <v>571</v>
      </c>
    </row>
    <row r="2165" ht="15.75" customHeight="1">
      <c r="A2165" s="2" t="s">
        <v>2843</v>
      </c>
      <c r="B2165" s="5" t="s">
        <v>165</v>
      </c>
      <c r="C2165" s="6">
        <v>46132.17582175926</v>
      </c>
      <c r="D2165" s="2">
        <v>-14.0</v>
      </c>
      <c r="E2165" s="2"/>
      <c r="H2165" s="2" t="s">
        <v>571</v>
      </c>
    </row>
    <row r="2166" ht="15.75" customHeight="1">
      <c r="A2166" s="2" t="s">
        <v>2844</v>
      </c>
      <c r="B2166" s="2" t="s">
        <v>408</v>
      </c>
      <c r="C2166" s="6">
        <v>46132.17606481481</v>
      </c>
      <c r="D2166" s="2">
        <v>-7.0</v>
      </c>
      <c r="E2166" s="2"/>
      <c r="H2166" s="2" t="s">
        <v>571</v>
      </c>
    </row>
    <row r="2167" ht="15.75" customHeight="1">
      <c r="A2167" s="2" t="s">
        <v>2845</v>
      </c>
      <c r="B2167" s="2" t="s">
        <v>310</v>
      </c>
      <c r="C2167" s="6">
        <v>46132.17648148148</v>
      </c>
      <c r="D2167" s="2">
        <v>-3.0</v>
      </c>
      <c r="E2167" s="2"/>
      <c r="H2167" s="2" t="s">
        <v>571</v>
      </c>
    </row>
    <row r="2168" ht="15.75" customHeight="1">
      <c r="A2168" s="2" t="s">
        <v>2846</v>
      </c>
      <c r="B2168" s="5" t="s">
        <v>186</v>
      </c>
      <c r="C2168" s="6">
        <v>46132.17659722222</v>
      </c>
      <c r="D2168" s="2">
        <v>-6.0</v>
      </c>
      <c r="E2168" s="2"/>
      <c r="H2168" s="2" t="s">
        <v>571</v>
      </c>
    </row>
    <row r="2169" ht="15.75" customHeight="1">
      <c r="A2169" s="2" t="s">
        <v>2847</v>
      </c>
      <c r="B2169" s="2" t="s">
        <v>399</v>
      </c>
      <c r="C2169" s="6">
        <v>46132.17695601852</v>
      </c>
      <c r="D2169" s="2">
        <v>-12.0</v>
      </c>
      <c r="E2169" s="2"/>
      <c r="H2169" s="2" t="s">
        <v>571</v>
      </c>
    </row>
    <row r="2170" ht="15.75" customHeight="1">
      <c r="A2170" s="2" t="s">
        <v>2848</v>
      </c>
      <c r="B2170" s="5" t="s">
        <v>192</v>
      </c>
      <c r="C2170" s="6">
        <v>46132.84412037037</v>
      </c>
      <c r="D2170" s="2">
        <v>120.0</v>
      </c>
      <c r="E2170" s="2" t="s">
        <v>2849</v>
      </c>
      <c r="H2170" s="2" t="s">
        <v>571</v>
      </c>
    </row>
    <row r="2171" ht="15.75" customHeight="1">
      <c r="A2171" s="2" t="s">
        <v>2850</v>
      </c>
      <c r="B2171" s="5" t="s">
        <v>142</v>
      </c>
      <c r="C2171" s="6">
        <v>46132.84416666667</v>
      </c>
      <c r="D2171" s="2">
        <v>120.0</v>
      </c>
      <c r="E2171" s="2" t="s">
        <v>2849</v>
      </c>
      <c r="H2171" s="2" t="s">
        <v>571</v>
      </c>
    </row>
    <row r="2172" ht="15.75" customHeight="1">
      <c r="A2172" s="2" t="s">
        <v>2851</v>
      </c>
      <c r="B2172" s="2" t="s">
        <v>405</v>
      </c>
      <c r="C2172" s="6">
        <v>46132.84421296296</v>
      </c>
      <c r="D2172" s="2">
        <v>72.0</v>
      </c>
      <c r="E2172" s="2" t="s">
        <v>2849</v>
      </c>
      <c r="H2172" s="2" t="s">
        <v>571</v>
      </c>
    </row>
    <row r="2173" ht="15.75" customHeight="1">
      <c r="A2173" s="2" t="s">
        <v>2852</v>
      </c>
      <c r="B2173" s="5" t="s">
        <v>148</v>
      </c>
      <c r="C2173" s="6">
        <v>46132.84425925926</v>
      </c>
      <c r="D2173" s="2">
        <v>50.0</v>
      </c>
      <c r="E2173" s="2" t="s">
        <v>2849</v>
      </c>
      <c r="H2173" s="2" t="s">
        <v>571</v>
      </c>
    </row>
    <row r="2174" ht="15.75" customHeight="1">
      <c r="A2174" s="2" t="s">
        <v>2853</v>
      </c>
      <c r="B2174" s="5" t="s">
        <v>157</v>
      </c>
      <c r="C2174" s="6">
        <v>46132.84431712963</v>
      </c>
      <c r="D2174" s="2">
        <v>10.0</v>
      </c>
      <c r="E2174" s="2" t="s">
        <v>2849</v>
      </c>
      <c r="H2174" s="2" t="s">
        <v>571</v>
      </c>
    </row>
    <row r="2175" ht="15.75" customHeight="1">
      <c r="A2175" s="2" t="s">
        <v>2854</v>
      </c>
      <c r="B2175" s="5" t="s">
        <v>186</v>
      </c>
      <c r="C2175" s="6">
        <v>46132.844363425924</v>
      </c>
      <c r="D2175" s="2">
        <v>60.0</v>
      </c>
      <c r="E2175" s="2" t="s">
        <v>2849</v>
      </c>
      <c r="H2175" s="2" t="s">
        <v>571</v>
      </c>
    </row>
    <row r="2176" ht="15.75" customHeight="1">
      <c r="A2176" s="2" t="s">
        <v>2855</v>
      </c>
      <c r="B2176" s="2" t="s">
        <v>369</v>
      </c>
      <c r="C2176" s="6">
        <v>46132.84525462963</v>
      </c>
      <c r="D2176" s="2">
        <v>36.0</v>
      </c>
      <c r="E2176" s="2" t="s">
        <v>2856</v>
      </c>
      <c r="H2176" s="2" t="s">
        <v>571</v>
      </c>
    </row>
    <row r="2177" ht="15.75" customHeight="1">
      <c r="A2177" s="2" t="s">
        <v>2857</v>
      </c>
      <c r="B2177" s="5" t="s">
        <v>131</v>
      </c>
      <c r="C2177" s="6">
        <v>46132.845300925925</v>
      </c>
      <c r="D2177" s="2">
        <v>24.0</v>
      </c>
      <c r="E2177" s="2" t="s">
        <v>2856</v>
      </c>
      <c r="H2177" s="2" t="s">
        <v>571</v>
      </c>
    </row>
    <row r="2178" ht="15.75" customHeight="1">
      <c r="A2178" s="2" t="s">
        <v>2858</v>
      </c>
      <c r="B2178" s="2" t="s">
        <v>366</v>
      </c>
      <c r="C2178" s="6">
        <v>46132.84680555556</v>
      </c>
      <c r="D2178" s="2">
        <v>24.0</v>
      </c>
      <c r="E2178" s="2" t="s">
        <v>2859</v>
      </c>
      <c r="H2178" s="2" t="s">
        <v>571</v>
      </c>
    </row>
    <row r="2179" ht="15.75" customHeight="1">
      <c r="A2179" s="2" t="s">
        <v>2860</v>
      </c>
      <c r="B2179" s="2" t="s">
        <v>411</v>
      </c>
      <c r="C2179" s="6">
        <v>46132.86530092593</v>
      </c>
      <c r="D2179" s="2">
        <v>30.0</v>
      </c>
      <c r="E2179" s="2" t="s">
        <v>2859</v>
      </c>
      <c r="H2179" s="2" t="s">
        <v>571</v>
      </c>
    </row>
    <row r="2180" ht="15.75" customHeight="1">
      <c r="A2180" s="2" t="s">
        <v>2861</v>
      </c>
      <c r="B2180" s="2" t="s">
        <v>271</v>
      </c>
      <c r="C2180" s="6">
        <v>46132.86944444444</v>
      </c>
      <c r="D2180" s="2">
        <v>-13.0</v>
      </c>
      <c r="E2180" s="2"/>
      <c r="H2180" s="2" t="s">
        <v>571</v>
      </c>
    </row>
    <row r="2181" ht="15.75" customHeight="1">
      <c r="A2181" s="2" t="s">
        <v>2862</v>
      </c>
      <c r="B2181" s="2" t="s">
        <v>342</v>
      </c>
      <c r="C2181" s="6">
        <v>46132.87091435185</v>
      </c>
      <c r="D2181" s="2">
        <v>48.0</v>
      </c>
      <c r="E2181" s="2" t="s">
        <v>2859</v>
      </c>
      <c r="H2181" s="2" t="s">
        <v>571</v>
      </c>
    </row>
    <row r="2182" ht="15.75" customHeight="1">
      <c r="A2182" s="2" t="s">
        <v>2863</v>
      </c>
      <c r="B2182" s="2" t="s">
        <v>342</v>
      </c>
      <c r="C2182" s="6">
        <v>46132.87131944444</v>
      </c>
      <c r="D2182" s="2">
        <v>-5.0</v>
      </c>
      <c r="E2182" s="2"/>
      <c r="H2182" s="2" t="s">
        <v>571</v>
      </c>
    </row>
    <row r="2183" ht="15.75" customHeight="1">
      <c r="A2183" s="2" t="s">
        <v>2864</v>
      </c>
      <c r="B2183" s="2" t="s">
        <v>366</v>
      </c>
      <c r="C2183" s="6">
        <v>46133.71160879629</v>
      </c>
      <c r="D2183" s="2">
        <v>-26.0</v>
      </c>
      <c r="E2183" s="2"/>
      <c r="H2183" s="2" t="s">
        <v>571</v>
      </c>
    </row>
    <row r="2184" ht="15.75" customHeight="1">
      <c r="A2184" s="2" t="s">
        <v>2865</v>
      </c>
      <c r="B2184" s="2" t="s">
        <v>411</v>
      </c>
      <c r="C2184" s="6">
        <v>46133.71173611111</v>
      </c>
      <c r="D2184" s="2">
        <v>-28.0</v>
      </c>
      <c r="E2184" s="2"/>
      <c r="H2184" s="2" t="s">
        <v>571</v>
      </c>
    </row>
    <row r="2185" ht="15.75" customHeight="1">
      <c r="A2185" s="2" t="s">
        <v>2866</v>
      </c>
      <c r="B2185" s="5" t="s">
        <v>217</v>
      </c>
      <c r="C2185" s="6">
        <v>46133.71193287037</v>
      </c>
      <c r="D2185" s="2">
        <v>-4.0</v>
      </c>
      <c r="E2185" s="2"/>
      <c r="H2185" s="2" t="s">
        <v>571</v>
      </c>
    </row>
    <row r="2186" ht="15.75" customHeight="1">
      <c r="A2186" s="2" t="s">
        <v>2867</v>
      </c>
      <c r="B2186" s="5" t="s">
        <v>131</v>
      </c>
      <c r="C2186" s="6">
        <v>46133.71207175926</v>
      </c>
      <c r="D2186" s="2">
        <v>-6.0</v>
      </c>
      <c r="E2186" s="2"/>
      <c r="H2186" s="2" t="s">
        <v>571</v>
      </c>
    </row>
    <row r="2187" ht="15.75" customHeight="1">
      <c r="A2187" s="2" t="s">
        <v>2868</v>
      </c>
      <c r="B2187" s="5" t="s">
        <v>148</v>
      </c>
      <c r="C2187" s="6">
        <v>46133.71219907407</v>
      </c>
      <c r="D2187" s="2">
        <v>-15.0</v>
      </c>
      <c r="E2187" s="2"/>
      <c r="H2187" s="2" t="s">
        <v>571</v>
      </c>
    </row>
    <row r="2188" ht="15.75" customHeight="1">
      <c r="A2188" s="2" t="s">
        <v>2869</v>
      </c>
      <c r="B2188" s="2" t="s">
        <v>372</v>
      </c>
      <c r="C2188" s="6">
        <v>46133.71236111111</v>
      </c>
      <c r="D2188" s="2">
        <v>-9.0</v>
      </c>
      <c r="E2188" s="2"/>
      <c r="H2188" s="2" t="s">
        <v>571</v>
      </c>
    </row>
    <row r="2189" ht="15.75" customHeight="1">
      <c r="A2189" s="2" t="s">
        <v>2870</v>
      </c>
      <c r="B2189" s="2" t="s">
        <v>378</v>
      </c>
      <c r="C2189" s="6">
        <v>46133.71251157407</v>
      </c>
      <c r="D2189" s="2">
        <v>-12.0</v>
      </c>
      <c r="E2189" s="2"/>
      <c r="H2189" s="2" t="s">
        <v>571</v>
      </c>
    </row>
    <row r="2190" ht="15.75" customHeight="1">
      <c r="A2190" s="2" t="s">
        <v>2871</v>
      </c>
      <c r="B2190" s="5" t="s">
        <v>186</v>
      </c>
      <c r="C2190" s="6">
        <v>46133.71261574074</v>
      </c>
      <c r="D2190" s="2">
        <v>-5.0</v>
      </c>
      <c r="E2190" s="2"/>
      <c r="H2190" s="2" t="s">
        <v>571</v>
      </c>
    </row>
    <row r="2191" ht="15.75" customHeight="1">
      <c r="A2191" s="2" t="s">
        <v>2872</v>
      </c>
      <c r="B2191" s="2" t="s">
        <v>369</v>
      </c>
      <c r="C2191" s="6">
        <v>46133.7127662037</v>
      </c>
      <c r="D2191" s="2">
        <v>-13.0</v>
      </c>
      <c r="E2191" s="2"/>
      <c r="H2191" s="2" t="s">
        <v>571</v>
      </c>
    </row>
    <row r="2192" ht="15.75" customHeight="1">
      <c r="A2192" s="2" t="s">
        <v>2873</v>
      </c>
      <c r="B2192" s="2" t="s">
        <v>414</v>
      </c>
      <c r="C2192" s="6">
        <v>46133.71383101852</v>
      </c>
      <c r="D2192" s="2">
        <v>24.0</v>
      </c>
      <c r="E2192" s="2" t="s">
        <v>2856</v>
      </c>
      <c r="H2192" s="2" t="s">
        <v>571</v>
      </c>
    </row>
    <row r="2193" ht="15.75" customHeight="1">
      <c r="A2193" s="2" t="s">
        <v>2874</v>
      </c>
      <c r="B2193" s="2" t="s">
        <v>414</v>
      </c>
      <c r="C2193" s="6">
        <v>46133.71398148148</v>
      </c>
      <c r="D2193" s="2">
        <v>-6.0</v>
      </c>
      <c r="E2193" s="2"/>
      <c r="H2193" s="2" t="s">
        <v>571</v>
      </c>
    </row>
    <row r="2194" ht="15.75" customHeight="1">
      <c r="A2194" s="2" t="s">
        <v>2875</v>
      </c>
      <c r="B2194" s="2" t="s">
        <v>342</v>
      </c>
      <c r="C2194" s="6">
        <v>46133.71418981482</v>
      </c>
      <c r="D2194" s="2">
        <v>-7.0</v>
      </c>
      <c r="E2194" s="2"/>
      <c r="H2194" s="2" t="s">
        <v>571</v>
      </c>
    </row>
    <row r="2195" ht="15.75" customHeight="1">
      <c r="A2195" s="2" t="s">
        <v>2876</v>
      </c>
      <c r="B2195" s="5" t="s">
        <v>142</v>
      </c>
      <c r="C2195" s="6">
        <v>46133.71431712963</v>
      </c>
      <c r="D2195" s="2">
        <v>-7.0</v>
      </c>
      <c r="E2195" s="2"/>
      <c r="H2195" s="2" t="s">
        <v>571</v>
      </c>
    </row>
    <row r="2196" ht="15.75" customHeight="1">
      <c r="A2196" s="2" t="s">
        <v>2877</v>
      </c>
      <c r="B2196" s="2" t="s">
        <v>405</v>
      </c>
      <c r="C2196" s="6">
        <v>46133.71450231481</v>
      </c>
      <c r="D2196" s="2">
        <v>-10.0</v>
      </c>
      <c r="E2196" s="2"/>
      <c r="H2196" s="2" t="s">
        <v>571</v>
      </c>
    </row>
    <row r="2197" ht="15.75" customHeight="1">
      <c r="A2197" s="2" t="s">
        <v>2878</v>
      </c>
      <c r="B2197" s="5" t="s">
        <v>134</v>
      </c>
      <c r="C2197" s="6">
        <v>46133.71462962963</v>
      </c>
      <c r="D2197" s="2">
        <v>-11.0</v>
      </c>
      <c r="E2197" s="2"/>
      <c r="H2197" s="2" t="s">
        <v>571</v>
      </c>
    </row>
    <row r="2198" ht="15.75" customHeight="1">
      <c r="A2198" s="2" t="s">
        <v>2879</v>
      </c>
      <c r="B2198" s="5" t="s">
        <v>59</v>
      </c>
      <c r="C2198" s="6">
        <v>46133.71480324074</v>
      </c>
      <c r="D2198" s="2">
        <v>-5.0</v>
      </c>
      <c r="E2198" s="2"/>
      <c r="H2198" s="2" t="s">
        <v>571</v>
      </c>
    </row>
    <row r="2199" ht="15.75" customHeight="1">
      <c r="A2199" s="2" t="s">
        <v>2880</v>
      </c>
      <c r="B2199" s="5" t="s">
        <v>192</v>
      </c>
      <c r="C2199" s="6">
        <v>46133.71494212963</v>
      </c>
      <c r="D2199" s="2">
        <v>-16.0</v>
      </c>
      <c r="E2199" s="2"/>
      <c r="H2199" s="2" t="s">
        <v>571</v>
      </c>
    </row>
    <row r="2200" ht="15.75" customHeight="1">
      <c r="A2200" s="2" t="s">
        <v>2881</v>
      </c>
      <c r="B2200" s="5" t="s">
        <v>214</v>
      </c>
      <c r="C2200" s="6">
        <v>46133.71519675926</v>
      </c>
      <c r="D2200" s="2">
        <v>-60.0</v>
      </c>
      <c r="E2200" s="2"/>
      <c r="H2200" s="2" t="s">
        <v>571</v>
      </c>
    </row>
    <row r="2201" ht="15.75" customHeight="1">
      <c r="A2201" s="2" t="s">
        <v>2882</v>
      </c>
      <c r="B2201" s="2" t="s">
        <v>327</v>
      </c>
      <c r="C2201" s="6">
        <v>46134.45164351852</v>
      </c>
      <c r="D2201" s="2">
        <v>-4.0</v>
      </c>
      <c r="E2201" s="2"/>
      <c r="H2201" s="2" t="s">
        <v>599</v>
      </c>
    </row>
    <row r="2202" ht="15.75" customHeight="1">
      <c r="A2202" s="2" t="s">
        <v>2883</v>
      </c>
      <c r="B2202" s="2" t="s">
        <v>408</v>
      </c>
      <c r="C2202" s="6">
        <v>46134.451828703706</v>
      </c>
      <c r="D2202" s="2">
        <v>-3.0</v>
      </c>
      <c r="E2202" s="2"/>
      <c r="H2202" s="2" t="s">
        <v>599</v>
      </c>
    </row>
    <row r="2203" ht="15.75" customHeight="1">
      <c r="A2203" s="2" t="s">
        <v>2884</v>
      </c>
      <c r="B2203" s="5" t="s">
        <v>217</v>
      </c>
      <c r="C2203" s="6">
        <v>46134.451944444445</v>
      </c>
      <c r="D2203" s="2">
        <v>-24.0</v>
      </c>
      <c r="E2203" s="2"/>
      <c r="H2203" s="2" t="s">
        <v>599</v>
      </c>
    </row>
    <row r="2204" ht="15.75" customHeight="1">
      <c r="A2204" s="2" t="s">
        <v>2885</v>
      </c>
      <c r="B2204" s="5" t="s">
        <v>171</v>
      </c>
      <c r="C2204" s="6">
        <v>46134.45245370371</v>
      </c>
      <c r="D2204" s="2">
        <v>-6.0</v>
      </c>
      <c r="E2204" s="2"/>
      <c r="H2204" s="2" t="s">
        <v>599</v>
      </c>
    </row>
    <row r="2205" ht="15.75" customHeight="1">
      <c r="A2205" s="2" t="s">
        <v>2886</v>
      </c>
      <c r="B2205" s="2" t="s">
        <v>384</v>
      </c>
      <c r="C2205" s="6">
        <v>46134.45469907407</v>
      </c>
      <c r="D2205" s="2">
        <v>-16.0</v>
      </c>
      <c r="E2205" s="2"/>
      <c r="H2205" s="2" t="s">
        <v>599</v>
      </c>
    </row>
    <row r="2206" ht="15.75" customHeight="1">
      <c r="A2206" s="2" t="s">
        <v>2887</v>
      </c>
      <c r="B2206" s="2" t="s">
        <v>378</v>
      </c>
      <c r="C2206" s="6">
        <v>46134.454780092594</v>
      </c>
      <c r="D2206" s="2">
        <v>-16.0</v>
      </c>
      <c r="E2206" s="2"/>
      <c r="H2206" s="2" t="s">
        <v>599</v>
      </c>
    </row>
    <row r="2207" ht="15.75" customHeight="1">
      <c r="A2207" s="2" t="s">
        <v>2888</v>
      </c>
      <c r="B2207" s="2" t="s">
        <v>372</v>
      </c>
      <c r="C2207" s="6">
        <v>46134.45490740741</v>
      </c>
      <c r="D2207" s="2">
        <v>-16.0</v>
      </c>
      <c r="E2207" s="2"/>
      <c r="H2207" s="2" t="s">
        <v>599</v>
      </c>
    </row>
    <row r="2208" ht="15.75" customHeight="1">
      <c r="A2208" s="2" t="s">
        <v>2889</v>
      </c>
      <c r="B2208" s="2" t="s">
        <v>295</v>
      </c>
      <c r="C2208" s="6">
        <v>46134.45517361111</v>
      </c>
      <c r="D2208" s="2">
        <v>-12.0</v>
      </c>
      <c r="E2208" s="2"/>
      <c r="H2208" s="2" t="s">
        <v>599</v>
      </c>
    </row>
    <row r="2209" ht="15.75" customHeight="1">
      <c r="A2209" s="2" t="s">
        <v>2890</v>
      </c>
      <c r="B2209" s="2" t="s">
        <v>369</v>
      </c>
      <c r="C2209" s="6">
        <v>46134.45575231482</v>
      </c>
      <c r="D2209" s="2">
        <v>-12.0</v>
      </c>
      <c r="E2209" s="2"/>
      <c r="H2209" s="2" t="s">
        <v>599</v>
      </c>
    </row>
    <row r="2210" ht="15.75" customHeight="1">
      <c r="A2210" s="2" t="s">
        <v>2891</v>
      </c>
      <c r="B2210" s="5" t="s">
        <v>142</v>
      </c>
      <c r="C2210" s="6">
        <v>46134.45737268519</v>
      </c>
      <c r="D2210" s="2">
        <v>-10.0</v>
      </c>
      <c r="E2210" s="2"/>
      <c r="H2210" s="2" t="s">
        <v>599</v>
      </c>
    </row>
    <row r="2211" ht="15.75" customHeight="1">
      <c r="A2211" s="2" t="s">
        <v>2892</v>
      </c>
      <c r="B2211" s="2" t="s">
        <v>387</v>
      </c>
      <c r="C2211" s="6">
        <v>46134.457766203705</v>
      </c>
      <c r="D2211" s="2">
        <v>-4.0</v>
      </c>
      <c r="E2211" s="2"/>
      <c r="H2211" s="2" t="s">
        <v>599</v>
      </c>
    </row>
    <row r="2212" ht="15.75" customHeight="1">
      <c r="A2212" s="2" t="s">
        <v>2893</v>
      </c>
      <c r="B2212" s="2" t="s">
        <v>381</v>
      </c>
      <c r="C2212" s="6">
        <v>46134.45826388889</v>
      </c>
      <c r="D2212" s="2">
        <v>-5.0</v>
      </c>
      <c r="E2212" s="2"/>
      <c r="H2212" s="2" t="s">
        <v>599</v>
      </c>
    </row>
    <row r="2213" ht="15.75" customHeight="1">
      <c r="A2213" s="2" t="s">
        <v>2894</v>
      </c>
      <c r="B2213" s="2" t="s">
        <v>405</v>
      </c>
      <c r="C2213" s="6">
        <v>46134.45868055556</v>
      </c>
      <c r="D2213" s="2">
        <v>-4.0</v>
      </c>
      <c r="E2213" s="2"/>
      <c r="H2213" s="2" t="s">
        <v>599</v>
      </c>
    </row>
    <row r="2214" ht="15.75" customHeight="1">
      <c r="A2214" s="2" t="s">
        <v>2895</v>
      </c>
      <c r="B2214" s="5" t="s">
        <v>192</v>
      </c>
      <c r="C2214" s="6">
        <v>46134.45923611111</v>
      </c>
      <c r="D2214" s="2">
        <v>-5.0</v>
      </c>
      <c r="E2214" s="2"/>
      <c r="H2214" s="2" t="s">
        <v>599</v>
      </c>
    </row>
    <row r="2215" ht="15.75" customHeight="1">
      <c r="A2215" s="2" t="s">
        <v>2896</v>
      </c>
      <c r="B2215" s="5" t="s">
        <v>214</v>
      </c>
      <c r="C2215" s="6">
        <v>46134.46009259259</v>
      </c>
      <c r="D2215" s="2">
        <v>-60.0</v>
      </c>
      <c r="E2215" s="2"/>
      <c r="H2215" s="2" t="s">
        <v>599</v>
      </c>
    </row>
    <row r="2216" ht="15.75" customHeight="1">
      <c r="A2216" s="2" t="s">
        <v>2897</v>
      </c>
      <c r="B2216" s="2" t="s">
        <v>354</v>
      </c>
      <c r="C2216" s="6">
        <v>46134.712175925924</v>
      </c>
      <c r="D2216" s="2">
        <v>48.0</v>
      </c>
      <c r="E2216" s="2" t="s">
        <v>2898</v>
      </c>
      <c r="H2216" s="2" t="s">
        <v>571</v>
      </c>
    </row>
    <row r="2217" ht="15.75" customHeight="1">
      <c r="A2217" s="2" t="s">
        <v>2899</v>
      </c>
      <c r="B2217" s="5" t="s">
        <v>165</v>
      </c>
      <c r="C2217" s="6">
        <v>46134.712743055556</v>
      </c>
      <c r="D2217" s="2">
        <v>72.0</v>
      </c>
      <c r="E2217" s="2" t="s">
        <v>2900</v>
      </c>
      <c r="H2217" s="2" t="s">
        <v>571</v>
      </c>
    </row>
    <row r="2218" ht="15.75" customHeight="1">
      <c r="A2218" s="2" t="s">
        <v>2901</v>
      </c>
      <c r="B2218" s="2" t="s">
        <v>327</v>
      </c>
      <c r="C2218" s="6">
        <v>46134.71283564815</v>
      </c>
      <c r="D2218" s="2">
        <v>60.0</v>
      </c>
      <c r="E2218" s="2" t="s">
        <v>2900</v>
      </c>
      <c r="H2218" s="2" t="s">
        <v>571</v>
      </c>
    </row>
    <row r="2219" ht="15.75" customHeight="1">
      <c r="A2219" s="2" t="s">
        <v>2902</v>
      </c>
      <c r="B2219" s="5" t="s">
        <v>134</v>
      </c>
      <c r="C2219" s="6">
        <v>46134.72048611111</v>
      </c>
      <c r="D2219" s="2">
        <v>54.0</v>
      </c>
      <c r="E2219" s="2" t="s">
        <v>2903</v>
      </c>
      <c r="H2219" s="2" t="s">
        <v>571</v>
      </c>
    </row>
    <row r="2220" ht="15.75" customHeight="1">
      <c r="A2220" s="2" t="s">
        <v>2904</v>
      </c>
      <c r="B2220" s="5" t="s">
        <v>59</v>
      </c>
      <c r="C2220" s="6">
        <v>46134.720555555556</v>
      </c>
      <c r="D2220" s="2">
        <v>54.0</v>
      </c>
      <c r="E2220" s="2" t="s">
        <v>2903</v>
      </c>
      <c r="H2220" s="2" t="s">
        <v>571</v>
      </c>
    </row>
    <row r="2221" ht="15.75" customHeight="1">
      <c r="A2221" s="2" t="s">
        <v>2905</v>
      </c>
      <c r="B2221" s="2" t="s">
        <v>372</v>
      </c>
      <c r="C2221" s="6">
        <v>46134.720613425925</v>
      </c>
      <c r="D2221" s="2">
        <v>48.0</v>
      </c>
      <c r="E2221" s="2" t="s">
        <v>2903</v>
      </c>
      <c r="H2221" s="2" t="s">
        <v>571</v>
      </c>
    </row>
    <row r="2222" ht="15.75" customHeight="1">
      <c r="A2222" s="2" t="s">
        <v>2906</v>
      </c>
      <c r="B2222" s="2" t="s">
        <v>408</v>
      </c>
      <c r="C2222" s="6">
        <v>46134.72068287037</v>
      </c>
      <c r="D2222" s="2">
        <v>36.0</v>
      </c>
      <c r="E2222" s="2" t="s">
        <v>2903</v>
      </c>
      <c r="H2222" s="2" t="s">
        <v>571</v>
      </c>
    </row>
    <row r="2223" ht="15.75" customHeight="1">
      <c r="A2223" s="2" t="s">
        <v>2907</v>
      </c>
      <c r="B2223" s="2" t="s">
        <v>408</v>
      </c>
      <c r="C2223" s="6">
        <v>46134.72099537037</v>
      </c>
      <c r="D2223" s="2">
        <v>-11.0</v>
      </c>
      <c r="E2223" s="2"/>
      <c r="H2223" s="2" t="s">
        <v>571</v>
      </c>
    </row>
    <row r="2224" ht="15.75" customHeight="1">
      <c r="A2224" s="2" t="s">
        <v>2908</v>
      </c>
      <c r="B2224" s="2" t="s">
        <v>327</v>
      </c>
      <c r="C2224" s="6">
        <v>46134.72126157407</v>
      </c>
      <c r="D2224" s="2">
        <v>-21.0</v>
      </c>
      <c r="E2224" s="2"/>
      <c r="H2224" s="2" t="s">
        <v>571</v>
      </c>
    </row>
    <row r="2225" ht="15.75" customHeight="1">
      <c r="A2225" s="2" t="s">
        <v>2909</v>
      </c>
      <c r="B2225" s="5" t="s">
        <v>217</v>
      </c>
      <c r="C2225" s="6">
        <v>46134.721400462964</v>
      </c>
      <c r="D2225" s="2">
        <v>-15.0</v>
      </c>
      <c r="E2225" s="2"/>
      <c r="H2225" s="2" t="s">
        <v>571</v>
      </c>
    </row>
    <row r="2226" ht="15.75" customHeight="1">
      <c r="A2226" s="2" t="s">
        <v>2910</v>
      </c>
      <c r="B2226" s="2" t="s">
        <v>271</v>
      </c>
      <c r="C2226" s="6">
        <v>46134.72153935185</v>
      </c>
      <c r="D2226" s="2">
        <v>-4.0</v>
      </c>
      <c r="E2226" s="2"/>
      <c r="H2226" s="2" t="s">
        <v>571</v>
      </c>
    </row>
    <row r="2227" ht="15.75" customHeight="1">
      <c r="A2227" s="2" t="s">
        <v>2911</v>
      </c>
      <c r="B2227" s="5" t="s">
        <v>165</v>
      </c>
      <c r="C2227" s="6">
        <v>46134.721724537034</v>
      </c>
      <c r="D2227" s="2">
        <v>-17.0</v>
      </c>
      <c r="E2227" s="2"/>
      <c r="H2227" s="2" t="s">
        <v>571</v>
      </c>
    </row>
    <row r="2228" ht="15.75" customHeight="1">
      <c r="A2228" s="2" t="s">
        <v>2912</v>
      </c>
      <c r="B2228" s="5" t="s">
        <v>148</v>
      </c>
      <c r="C2228" s="6">
        <v>46134.721863425926</v>
      </c>
      <c r="D2228" s="2">
        <v>-10.0</v>
      </c>
      <c r="E2228" s="2"/>
      <c r="H2228" s="2" t="s">
        <v>571</v>
      </c>
    </row>
    <row r="2229" ht="15.75" customHeight="1">
      <c r="A2229" s="2" t="s">
        <v>2913</v>
      </c>
      <c r="B2229" s="2" t="s">
        <v>372</v>
      </c>
      <c r="C2229" s="6">
        <v>46134.72199074074</v>
      </c>
      <c r="D2229" s="2">
        <v>-10.0</v>
      </c>
      <c r="E2229" s="2"/>
      <c r="H2229" s="2" t="s">
        <v>571</v>
      </c>
    </row>
    <row r="2230" ht="15.75" customHeight="1">
      <c r="A2230" s="2" t="s">
        <v>2914</v>
      </c>
      <c r="B2230" s="2" t="s">
        <v>384</v>
      </c>
      <c r="C2230" s="6">
        <v>46134.72215277778</v>
      </c>
      <c r="D2230" s="2">
        <v>-16.0</v>
      </c>
      <c r="E2230" s="2"/>
      <c r="H2230" s="2" t="s">
        <v>571</v>
      </c>
    </row>
    <row r="2231" ht="15.75" customHeight="1">
      <c r="A2231" s="2" t="s">
        <v>2915</v>
      </c>
      <c r="B2231" s="5" t="s">
        <v>186</v>
      </c>
      <c r="C2231" s="6">
        <v>46134.722291666665</v>
      </c>
      <c r="D2231" s="2">
        <v>-11.0</v>
      </c>
      <c r="E2231" s="2"/>
      <c r="H2231" s="2" t="s">
        <v>571</v>
      </c>
    </row>
    <row r="2232" ht="15.75" customHeight="1">
      <c r="A2232" s="2" t="s">
        <v>2916</v>
      </c>
      <c r="B2232" s="2" t="s">
        <v>369</v>
      </c>
      <c r="C2232" s="6">
        <v>46134.72243055556</v>
      </c>
      <c r="D2232" s="2">
        <v>-5.0</v>
      </c>
      <c r="E2232" s="2"/>
      <c r="H2232" s="2" t="s">
        <v>571</v>
      </c>
    </row>
    <row r="2233" ht="15.75" customHeight="1">
      <c r="A2233" s="2" t="s">
        <v>2917</v>
      </c>
      <c r="B2233" s="2" t="s">
        <v>414</v>
      </c>
      <c r="C2233" s="6">
        <v>46134.722604166665</v>
      </c>
      <c r="D2233" s="2">
        <v>-9.0</v>
      </c>
      <c r="E2233" s="2"/>
      <c r="H2233" s="2" t="s">
        <v>571</v>
      </c>
    </row>
    <row r="2234" ht="15.75" customHeight="1">
      <c r="A2234" s="2" t="s">
        <v>2918</v>
      </c>
      <c r="B2234" s="2" t="s">
        <v>342</v>
      </c>
      <c r="C2234" s="6">
        <v>46134.722766203704</v>
      </c>
      <c r="D2234" s="2">
        <v>-12.0</v>
      </c>
      <c r="E2234" s="2"/>
      <c r="H2234" s="2" t="s">
        <v>571</v>
      </c>
    </row>
    <row r="2235" ht="15.75" customHeight="1">
      <c r="A2235" s="2" t="s">
        <v>2919</v>
      </c>
      <c r="B2235" s="5" t="s">
        <v>142</v>
      </c>
      <c r="C2235" s="6">
        <v>46134.72287037037</v>
      </c>
      <c r="D2235" s="2">
        <v>-3.0</v>
      </c>
      <c r="E2235" s="2"/>
      <c r="H2235" s="2" t="s">
        <v>571</v>
      </c>
    </row>
    <row r="2236" ht="15.75" customHeight="1">
      <c r="A2236" s="2" t="s">
        <v>2920</v>
      </c>
      <c r="B2236" s="2" t="s">
        <v>405</v>
      </c>
      <c r="C2236" s="6">
        <v>46134.722962962966</v>
      </c>
      <c r="D2236" s="2">
        <v>-6.0</v>
      </c>
      <c r="E2236" s="2"/>
      <c r="H2236" s="2" t="s">
        <v>571</v>
      </c>
    </row>
    <row r="2237" ht="15.75" customHeight="1">
      <c r="A2237" s="2" t="s">
        <v>2921</v>
      </c>
      <c r="B2237" s="5" t="s">
        <v>134</v>
      </c>
      <c r="C2237" s="6">
        <v>46134.723125</v>
      </c>
      <c r="D2237" s="2">
        <v>-13.0</v>
      </c>
      <c r="E2237" s="2"/>
      <c r="H2237" s="2" t="s">
        <v>571</v>
      </c>
    </row>
    <row r="2238" ht="15.75" customHeight="1">
      <c r="A2238" s="2" t="s">
        <v>2922</v>
      </c>
      <c r="B2238" s="5" t="s">
        <v>59</v>
      </c>
      <c r="C2238" s="6">
        <v>46134.72325231481</v>
      </c>
      <c r="D2238" s="2">
        <v>-6.0</v>
      </c>
      <c r="E2238" s="2"/>
      <c r="H2238" s="2" t="s">
        <v>571</v>
      </c>
    </row>
    <row r="2239" ht="15.75" customHeight="1">
      <c r="A2239" s="2" t="s">
        <v>2923</v>
      </c>
      <c r="B2239" s="5" t="s">
        <v>214</v>
      </c>
      <c r="C2239" s="6">
        <v>46134.723391203705</v>
      </c>
      <c r="D2239" s="2">
        <v>-84.0</v>
      </c>
      <c r="E2239" s="2"/>
      <c r="H2239" s="2" t="s">
        <v>571</v>
      </c>
    </row>
    <row r="2240" ht="15.75" customHeight="1">
      <c r="A2240" s="2" t="s">
        <v>2924</v>
      </c>
      <c r="B2240" s="5" t="s">
        <v>192</v>
      </c>
      <c r="C2240" s="6">
        <v>46134.72368055556</v>
      </c>
      <c r="D2240" s="2">
        <v>-7.0</v>
      </c>
      <c r="E2240" s="2"/>
      <c r="H2240" s="2" t="s">
        <v>571</v>
      </c>
    </row>
    <row r="2241" ht="15.75" customHeight="1">
      <c r="A2241" s="2" t="s">
        <v>2925</v>
      </c>
      <c r="B2241" s="2" t="s">
        <v>327</v>
      </c>
      <c r="C2241" s="6">
        <v>46134.875601851854</v>
      </c>
      <c r="D2241" s="2">
        <v>-7.0</v>
      </c>
      <c r="E2241" s="2"/>
      <c r="H2241" s="2" t="s">
        <v>599</v>
      </c>
    </row>
    <row r="2242" ht="15.75" customHeight="1">
      <c r="A2242" s="2" t="s">
        <v>2926</v>
      </c>
      <c r="B2242" s="2" t="s">
        <v>408</v>
      </c>
      <c r="C2242" s="6">
        <v>46134.87579861111</v>
      </c>
      <c r="D2242" s="2">
        <v>-14.0</v>
      </c>
      <c r="E2242" s="2"/>
      <c r="H2242" s="2" t="s">
        <v>599</v>
      </c>
    </row>
    <row r="2243" ht="15.75" customHeight="1">
      <c r="A2243" s="2" t="s">
        <v>2927</v>
      </c>
      <c r="B2243" s="2" t="s">
        <v>339</v>
      </c>
      <c r="C2243" s="6">
        <v>46134.875914351855</v>
      </c>
      <c r="D2243" s="2">
        <v>-6.0</v>
      </c>
      <c r="E2243" s="2"/>
      <c r="H2243" s="2" t="s">
        <v>599</v>
      </c>
    </row>
    <row r="2244" ht="15.75" customHeight="1">
      <c r="A2244" s="2" t="s">
        <v>2928</v>
      </c>
      <c r="B2244" s="5" t="s">
        <v>131</v>
      </c>
      <c r="C2244" s="6">
        <v>46134.87598379629</v>
      </c>
      <c r="D2244" s="2">
        <v>-6.0</v>
      </c>
      <c r="E2244" s="2"/>
      <c r="H2244" s="2" t="s">
        <v>599</v>
      </c>
    </row>
    <row r="2245" ht="15.75" customHeight="1">
      <c r="A2245" s="2" t="s">
        <v>2929</v>
      </c>
      <c r="B2245" s="5" t="s">
        <v>217</v>
      </c>
      <c r="C2245" s="6">
        <v>46134.877858796295</v>
      </c>
      <c r="D2245" s="2">
        <v>-11.0</v>
      </c>
      <c r="E2245" s="2"/>
      <c r="H2245" s="2" t="s">
        <v>599</v>
      </c>
    </row>
    <row r="2246" ht="15.75" customHeight="1">
      <c r="A2246" s="2" t="s">
        <v>2930</v>
      </c>
      <c r="B2246" s="5" t="s">
        <v>186</v>
      </c>
      <c r="C2246" s="6">
        <v>46134.87829861111</v>
      </c>
      <c r="D2246" s="2">
        <v>-10.0</v>
      </c>
      <c r="E2246" s="2"/>
      <c r="H2246" s="2" t="s">
        <v>599</v>
      </c>
    </row>
    <row r="2247" ht="15.75" customHeight="1">
      <c r="A2247" s="2" t="s">
        <v>2931</v>
      </c>
      <c r="B2247" s="5" t="s">
        <v>165</v>
      </c>
      <c r="C2247" s="6">
        <v>46134.87851851852</v>
      </c>
      <c r="D2247" s="2">
        <v>-13.0</v>
      </c>
      <c r="E2247" s="2"/>
      <c r="H2247" s="2" t="s">
        <v>599</v>
      </c>
    </row>
    <row r="2248" ht="15.75" customHeight="1">
      <c r="A2248" s="2" t="s">
        <v>2932</v>
      </c>
      <c r="B2248" s="2" t="s">
        <v>372</v>
      </c>
      <c r="C2248" s="6">
        <v>46134.88010416667</v>
      </c>
      <c r="D2248" s="2">
        <v>-13.0</v>
      </c>
      <c r="E2248" s="2"/>
      <c r="H2248" s="2" t="s">
        <v>599</v>
      </c>
    </row>
    <row r="2249" ht="15.75" customHeight="1">
      <c r="A2249" s="2" t="s">
        <v>2933</v>
      </c>
      <c r="B2249" s="5" t="s">
        <v>148</v>
      </c>
      <c r="C2249" s="6">
        <v>46134.881064814814</v>
      </c>
      <c r="D2249" s="2">
        <v>-10.0</v>
      </c>
      <c r="E2249" s="2"/>
      <c r="H2249" s="2" t="s">
        <v>599</v>
      </c>
    </row>
    <row r="2250" ht="15.75" customHeight="1">
      <c r="A2250" s="2" t="s">
        <v>2934</v>
      </c>
      <c r="B2250" s="5" t="s">
        <v>171</v>
      </c>
      <c r="C2250" s="6">
        <v>46134.88180555555</v>
      </c>
      <c r="D2250" s="2">
        <v>-12.0</v>
      </c>
      <c r="E2250" s="2"/>
      <c r="H2250" s="2" t="s">
        <v>599</v>
      </c>
    </row>
    <row r="2251" ht="15.75" customHeight="1">
      <c r="A2251" s="2" t="s">
        <v>2935</v>
      </c>
      <c r="B2251" s="2" t="s">
        <v>378</v>
      </c>
      <c r="C2251" s="6">
        <v>46134.88222222222</v>
      </c>
      <c r="D2251" s="2">
        <v>-11.0</v>
      </c>
      <c r="E2251" s="2"/>
      <c r="H2251" s="2" t="s">
        <v>599</v>
      </c>
    </row>
    <row r="2252" ht="15.75" customHeight="1">
      <c r="A2252" s="2" t="s">
        <v>2936</v>
      </c>
      <c r="B2252" s="2" t="s">
        <v>295</v>
      </c>
      <c r="C2252" s="6">
        <v>46134.88247685185</v>
      </c>
      <c r="D2252" s="2">
        <v>-24.0</v>
      </c>
      <c r="E2252" s="2"/>
      <c r="H2252" s="2" t="s">
        <v>599</v>
      </c>
    </row>
    <row r="2253" ht="15.75" customHeight="1">
      <c r="A2253" s="2" t="s">
        <v>2937</v>
      </c>
      <c r="B2253" s="5" t="s">
        <v>134</v>
      </c>
      <c r="C2253" s="6">
        <v>46134.88270833333</v>
      </c>
      <c r="D2253" s="2">
        <v>-5.0</v>
      </c>
      <c r="E2253" s="2"/>
      <c r="H2253" s="2" t="s">
        <v>599</v>
      </c>
    </row>
    <row r="2254" ht="15.75" customHeight="1">
      <c r="A2254" s="2" t="s">
        <v>2938</v>
      </c>
      <c r="B2254" s="2" t="s">
        <v>354</v>
      </c>
      <c r="C2254" s="6">
        <v>46134.883252314816</v>
      </c>
      <c r="D2254" s="2">
        <v>-12.0</v>
      </c>
      <c r="E2254" s="2"/>
      <c r="H2254" s="2" t="s">
        <v>599</v>
      </c>
    </row>
    <row r="2255" ht="15.75" customHeight="1">
      <c r="A2255" s="2" t="s">
        <v>2939</v>
      </c>
      <c r="B2255" s="5" t="s">
        <v>142</v>
      </c>
      <c r="C2255" s="6">
        <v>46134.8837037037</v>
      </c>
      <c r="D2255" s="2">
        <v>-14.0</v>
      </c>
      <c r="E2255" s="2"/>
      <c r="H2255" s="2" t="s">
        <v>599</v>
      </c>
    </row>
    <row r="2256" ht="15.75" customHeight="1">
      <c r="A2256" s="2" t="s">
        <v>2940</v>
      </c>
      <c r="B2256" s="2" t="s">
        <v>405</v>
      </c>
      <c r="C2256" s="6">
        <v>46134.88548611111</v>
      </c>
      <c r="D2256" s="2">
        <v>-7.0</v>
      </c>
      <c r="E2256" s="2"/>
      <c r="H2256" s="2" t="s">
        <v>599</v>
      </c>
    </row>
    <row r="2257" ht="15.75" customHeight="1">
      <c r="A2257" s="2" t="s">
        <v>2941</v>
      </c>
      <c r="B2257" s="5" t="s">
        <v>192</v>
      </c>
      <c r="C2257" s="6">
        <v>46134.88559027778</v>
      </c>
      <c r="D2257" s="2">
        <v>-21.0</v>
      </c>
      <c r="E2257" s="2"/>
      <c r="H2257" s="2" t="s">
        <v>599</v>
      </c>
    </row>
    <row r="2258" ht="15.75" customHeight="1">
      <c r="A2258" s="2" t="s">
        <v>2942</v>
      </c>
      <c r="B2258" s="5" t="s">
        <v>214</v>
      </c>
      <c r="C2258" s="6">
        <v>46134.88684027778</v>
      </c>
      <c r="D2258" s="2">
        <v>-60.0</v>
      </c>
      <c r="E2258" s="2"/>
      <c r="H2258" s="2" t="s">
        <v>599</v>
      </c>
    </row>
    <row r="2259" ht="15.75" customHeight="1">
      <c r="A2259" s="2" t="s">
        <v>2943</v>
      </c>
      <c r="B2259" s="2" t="s">
        <v>327</v>
      </c>
      <c r="C2259" s="6">
        <v>46136.58143518519</v>
      </c>
      <c r="D2259" s="2">
        <v>-12.0</v>
      </c>
      <c r="E2259" s="2"/>
      <c r="H2259" s="2" t="s">
        <v>599</v>
      </c>
    </row>
    <row r="2260" ht="15.75" customHeight="1">
      <c r="A2260" s="2" t="s">
        <v>2944</v>
      </c>
      <c r="B2260" s="2" t="s">
        <v>408</v>
      </c>
      <c r="C2260" s="6">
        <v>46136.58155092593</v>
      </c>
      <c r="D2260" s="2">
        <v>0.0</v>
      </c>
      <c r="E2260" s="2"/>
      <c r="H2260" s="2" t="s">
        <v>599</v>
      </c>
    </row>
    <row r="2261" ht="15.75" customHeight="1">
      <c r="A2261" s="2" t="s">
        <v>2945</v>
      </c>
      <c r="B2261" s="5" t="s">
        <v>217</v>
      </c>
      <c r="C2261" s="6">
        <v>46136.58164351852</v>
      </c>
      <c r="D2261" s="2">
        <v>-44.0</v>
      </c>
      <c r="E2261" s="2"/>
      <c r="H2261" s="2" t="s">
        <v>599</v>
      </c>
    </row>
    <row r="2262" ht="15.75" customHeight="1">
      <c r="A2262" s="2" t="s">
        <v>2946</v>
      </c>
      <c r="B2262" s="2" t="s">
        <v>295</v>
      </c>
      <c r="C2262" s="6">
        <v>46136.58200231481</v>
      </c>
      <c r="D2262" s="2">
        <v>-12.0</v>
      </c>
      <c r="E2262" s="2"/>
      <c r="H2262" s="2" t="s">
        <v>599</v>
      </c>
    </row>
    <row r="2263" ht="15.75" customHeight="1">
      <c r="A2263" s="2" t="s">
        <v>2947</v>
      </c>
      <c r="B2263" s="5" t="s">
        <v>134</v>
      </c>
      <c r="C2263" s="6">
        <v>46136.583125</v>
      </c>
      <c r="D2263" s="2">
        <v>-4.0</v>
      </c>
      <c r="E2263" s="2"/>
      <c r="H2263" s="2" t="s">
        <v>599</v>
      </c>
    </row>
    <row r="2264" ht="15.75" customHeight="1">
      <c r="A2264" s="2" t="s">
        <v>2948</v>
      </c>
      <c r="B2264" s="5" t="s">
        <v>192</v>
      </c>
      <c r="C2264" s="6">
        <v>46136.58436342593</v>
      </c>
      <c r="D2264" s="2">
        <v>-15.0</v>
      </c>
      <c r="E2264" s="2"/>
      <c r="H2264" s="2" t="s">
        <v>599</v>
      </c>
    </row>
    <row r="2265" ht="15.75" customHeight="1">
      <c r="A2265" s="2" t="s">
        <v>2949</v>
      </c>
      <c r="B2265" s="5" t="s">
        <v>214</v>
      </c>
      <c r="C2265" s="6">
        <v>46136.58449074074</v>
      </c>
      <c r="D2265" s="2">
        <v>-60.0</v>
      </c>
      <c r="E2265" s="2"/>
      <c r="H2265" s="2" t="s">
        <v>599</v>
      </c>
    </row>
    <row r="2266" ht="15.75" customHeight="1">
      <c r="A2266" s="2" t="s">
        <v>2950</v>
      </c>
      <c r="B2266" s="2" t="s">
        <v>333</v>
      </c>
      <c r="C2266" s="6">
        <v>46136.586539351854</v>
      </c>
      <c r="D2266" s="2">
        <v>-12.0</v>
      </c>
      <c r="E2266" s="2"/>
      <c r="H2266" s="2" t="s">
        <v>599</v>
      </c>
    </row>
    <row r="2267" ht="15.75" customHeight="1">
      <c r="A2267" s="2" t="s">
        <v>2951</v>
      </c>
      <c r="B2267" s="5" t="s">
        <v>217</v>
      </c>
      <c r="C2267" s="6">
        <v>46136.588113425925</v>
      </c>
      <c r="D2267" s="2">
        <v>-45.0</v>
      </c>
      <c r="E2267" s="2"/>
      <c r="H2267" s="2" t="s">
        <v>599</v>
      </c>
    </row>
    <row r="2268" ht="15.75" customHeight="1">
      <c r="A2268" s="2" t="s">
        <v>2952</v>
      </c>
      <c r="B2268" s="2" t="s">
        <v>327</v>
      </c>
      <c r="C2268" s="6">
        <v>46136.58824074074</v>
      </c>
      <c r="D2268" s="2">
        <v>-11.0</v>
      </c>
      <c r="E2268" s="2"/>
      <c r="H2268" s="2" t="s">
        <v>599</v>
      </c>
    </row>
    <row r="2269" ht="15.75" customHeight="1">
      <c r="A2269" s="2" t="s">
        <v>2953</v>
      </c>
      <c r="B2269" s="5" t="s">
        <v>165</v>
      </c>
      <c r="C2269" s="6">
        <v>46136.58855324074</v>
      </c>
      <c r="D2269" s="2">
        <v>-12.0</v>
      </c>
      <c r="E2269" s="2"/>
      <c r="H2269" s="2" t="s">
        <v>599</v>
      </c>
    </row>
    <row r="2270" ht="15.75" customHeight="1">
      <c r="A2270" s="2" t="s">
        <v>2954</v>
      </c>
      <c r="B2270" s="2" t="s">
        <v>384</v>
      </c>
      <c r="C2270" s="6">
        <v>46136.58929398148</v>
      </c>
      <c r="D2270" s="2">
        <v>-4.0</v>
      </c>
      <c r="E2270" s="2"/>
      <c r="H2270" s="2" t="s">
        <v>599</v>
      </c>
    </row>
    <row r="2271" ht="15.75" customHeight="1">
      <c r="A2271" s="2" t="s">
        <v>2955</v>
      </c>
      <c r="B2271" s="2" t="s">
        <v>378</v>
      </c>
      <c r="C2271" s="6">
        <v>46136.589479166665</v>
      </c>
      <c r="D2271" s="2">
        <v>-4.0</v>
      </c>
      <c r="E2271" s="2"/>
      <c r="H2271" s="2" t="s">
        <v>599</v>
      </c>
    </row>
    <row r="2272" ht="15.75" customHeight="1">
      <c r="A2272" s="2" t="s">
        <v>2956</v>
      </c>
      <c r="B2272" s="2" t="s">
        <v>295</v>
      </c>
      <c r="C2272" s="6">
        <v>46136.589791666665</v>
      </c>
      <c r="D2272" s="2">
        <v>-24.0</v>
      </c>
      <c r="E2272" s="2"/>
      <c r="H2272" s="2" t="s">
        <v>599</v>
      </c>
    </row>
    <row r="2273" ht="15.75" customHeight="1">
      <c r="A2273" s="2" t="s">
        <v>2957</v>
      </c>
      <c r="B2273" s="2" t="s">
        <v>369</v>
      </c>
      <c r="C2273" s="6">
        <v>46136.59</v>
      </c>
      <c r="D2273" s="2">
        <v>-16.0</v>
      </c>
      <c r="E2273" s="2"/>
      <c r="H2273" s="2" t="s">
        <v>599</v>
      </c>
    </row>
    <row r="2274" ht="15.75" customHeight="1">
      <c r="A2274" s="2" t="s">
        <v>2958</v>
      </c>
      <c r="B2274" s="5" t="s">
        <v>134</v>
      </c>
      <c r="C2274" s="6">
        <v>46136.59100694444</v>
      </c>
      <c r="D2274" s="2">
        <v>-8.0</v>
      </c>
      <c r="E2274" s="2"/>
      <c r="H2274" s="2" t="s">
        <v>599</v>
      </c>
    </row>
    <row r="2275" ht="15.75" customHeight="1">
      <c r="A2275" s="2" t="s">
        <v>2959</v>
      </c>
      <c r="B2275" s="5" t="s">
        <v>214</v>
      </c>
      <c r="C2275" s="6">
        <v>46136.59135416667</v>
      </c>
      <c r="D2275" s="2">
        <v>-60.0</v>
      </c>
      <c r="E2275" s="2"/>
      <c r="H2275" s="2" t="s">
        <v>599</v>
      </c>
    </row>
    <row r="2276" ht="15.75" customHeight="1">
      <c r="A2276" s="2" t="s">
        <v>2960</v>
      </c>
      <c r="B2276" s="5" t="s">
        <v>192</v>
      </c>
      <c r="C2276" s="6">
        <v>46136.59153935185</v>
      </c>
      <c r="D2276" s="2">
        <v>-26.0</v>
      </c>
      <c r="E2276" s="2"/>
      <c r="H2276" s="2" t="s">
        <v>599</v>
      </c>
    </row>
    <row r="2277" ht="15.75" customHeight="1">
      <c r="A2277" s="2" t="s">
        <v>2961</v>
      </c>
      <c r="B2277" s="5" t="s">
        <v>142</v>
      </c>
      <c r="C2277" s="6">
        <v>46136.59292824074</v>
      </c>
      <c r="D2277" s="2">
        <v>-13.0</v>
      </c>
      <c r="E2277" s="2"/>
      <c r="H2277" s="2" t="s">
        <v>599</v>
      </c>
    </row>
    <row r="2278" ht="15.75" customHeight="1">
      <c r="A2278" s="2" t="s">
        <v>2962</v>
      </c>
      <c r="B2278" s="2" t="s">
        <v>405</v>
      </c>
      <c r="C2278" s="6">
        <v>46136.59339120371</v>
      </c>
      <c r="D2278" s="2">
        <v>-5.0</v>
      </c>
      <c r="E2278" s="2"/>
      <c r="H2278" s="2" t="s">
        <v>599</v>
      </c>
    </row>
    <row r="2279" ht="15.75" customHeight="1">
      <c r="A2279" s="2" t="s">
        <v>2963</v>
      </c>
      <c r="B2279" s="2" t="s">
        <v>327</v>
      </c>
      <c r="C2279" s="6">
        <v>46136.72158564815</v>
      </c>
      <c r="D2279" s="2">
        <v>-2.0</v>
      </c>
      <c r="E2279" s="2"/>
      <c r="H2279" s="2" t="s">
        <v>571</v>
      </c>
    </row>
    <row r="2280" ht="15.75" customHeight="1">
      <c r="A2280" s="2" t="s">
        <v>2964</v>
      </c>
      <c r="B2280" s="2" t="s">
        <v>408</v>
      </c>
      <c r="C2280" s="6">
        <v>46136.72164351852</v>
      </c>
      <c r="D2280" s="2">
        <v>-2.0</v>
      </c>
      <c r="E2280" s="2"/>
      <c r="H2280" s="2" t="s">
        <v>571</v>
      </c>
    </row>
    <row r="2281" ht="15.75" customHeight="1">
      <c r="A2281" s="2" t="s">
        <v>2965</v>
      </c>
      <c r="B2281" s="5" t="s">
        <v>217</v>
      </c>
      <c r="C2281" s="6">
        <v>46136.72179398148</v>
      </c>
      <c r="D2281" s="2">
        <v>-9.0</v>
      </c>
      <c r="E2281" s="2"/>
      <c r="H2281" s="2" t="s">
        <v>571</v>
      </c>
    </row>
    <row r="2282" ht="15.75" customHeight="1">
      <c r="A2282" s="2" t="s">
        <v>2966</v>
      </c>
      <c r="B2282" s="5" t="s">
        <v>131</v>
      </c>
      <c r="C2282" s="6">
        <v>46136.72206018519</v>
      </c>
      <c r="D2282" s="2">
        <v>-3.0</v>
      </c>
      <c r="E2282" s="2"/>
      <c r="H2282" s="2" t="s">
        <v>571</v>
      </c>
    </row>
    <row r="2283" ht="15.75" customHeight="1">
      <c r="A2283" s="2" t="s">
        <v>2967</v>
      </c>
      <c r="B2283" s="5" t="s">
        <v>142</v>
      </c>
      <c r="C2283" s="6">
        <v>46136.72219907407</v>
      </c>
      <c r="D2283" s="2">
        <v>-6.0</v>
      </c>
      <c r="E2283" s="2"/>
      <c r="H2283" s="2" t="s">
        <v>571</v>
      </c>
    </row>
    <row r="2284" ht="15.75" customHeight="1">
      <c r="A2284" s="2" t="s">
        <v>2968</v>
      </c>
      <c r="B2284" s="2" t="s">
        <v>405</v>
      </c>
      <c r="C2284" s="6">
        <v>46136.72237268519</v>
      </c>
      <c r="D2284" s="2">
        <v>-3.0</v>
      </c>
      <c r="E2284" s="2"/>
      <c r="H2284" s="2" t="s">
        <v>571</v>
      </c>
    </row>
    <row r="2285" ht="15.75" customHeight="1">
      <c r="A2285" s="2" t="s">
        <v>2969</v>
      </c>
      <c r="B2285" s="5" t="s">
        <v>214</v>
      </c>
      <c r="C2285" s="6">
        <v>46136.7225</v>
      </c>
      <c r="D2285" s="2">
        <v>-36.0</v>
      </c>
      <c r="E2285" s="2"/>
      <c r="H2285" s="2" t="s">
        <v>571</v>
      </c>
    </row>
    <row r="2286" ht="15.75" customHeight="1">
      <c r="A2286" s="2" t="s">
        <v>2970</v>
      </c>
      <c r="B2286" s="2" t="s">
        <v>354</v>
      </c>
      <c r="C2286" s="6">
        <v>46136.72289351852</v>
      </c>
      <c r="D2286" s="2">
        <v>-7.0</v>
      </c>
      <c r="E2286" s="2"/>
      <c r="H2286" s="2" t="s">
        <v>571</v>
      </c>
    </row>
    <row r="2287" ht="15.75" customHeight="1">
      <c r="A2287" s="2" t="s">
        <v>2971</v>
      </c>
      <c r="B2287" s="5" t="s">
        <v>217</v>
      </c>
      <c r="C2287" s="6">
        <v>46137.60340277778</v>
      </c>
      <c r="D2287" s="2">
        <v>-4.0</v>
      </c>
      <c r="E2287" s="2"/>
      <c r="H2287" s="2" t="s">
        <v>571</v>
      </c>
    </row>
    <row r="2288" ht="15.75" customHeight="1">
      <c r="A2288" s="2" t="s">
        <v>2972</v>
      </c>
      <c r="B2288" s="5" t="s">
        <v>131</v>
      </c>
      <c r="C2288" s="6">
        <v>46137.60359953704</v>
      </c>
      <c r="D2288" s="2">
        <v>-6.0</v>
      </c>
      <c r="E2288" s="2"/>
      <c r="H2288" s="2" t="s">
        <v>571</v>
      </c>
    </row>
    <row r="2289" ht="15.75" customHeight="1">
      <c r="A2289" s="2" t="s">
        <v>2973</v>
      </c>
      <c r="B2289" s="5" t="s">
        <v>148</v>
      </c>
      <c r="C2289" s="6">
        <v>46137.60377314815</v>
      </c>
      <c r="D2289" s="2">
        <v>-5.0</v>
      </c>
      <c r="E2289" s="2"/>
      <c r="H2289" s="2" t="s">
        <v>571</v>
      </c>
    </row>
    <row r="2290" ht="15.75" customHeight="1">
      <c r="A2290" s="2" t="s">
        <v>2974</v>
      </c>
      <c r="B2290" s="5" t="s">
        <v>186</v>
      </c>
      <c r="C2290" s="6">
        <v>46137.60391203704</v>
      </c>
      <c r="D2290" s="2">
        <v>-5.0</v>
      </c>
      <c r="E2290" s="2"/>
      <c r="H2290" s="2" t="s">
        <v>571</v>
      </c>
    </row>
    <row r="2291" ht="15.75" customHeight="1">
      <c r="A2291" s="2" t="s">
        <v>2975</v>
      </c>
      <c r="B2291" s="5" t="s">
        <v>157</v>
      </c>
      <c r="C2291" s="6">
        <v>46137.60408564815</v>
      </c>
      <c r="D2291" s="2">
        <v>-20.0</v>
      </c>
      <c r="E2291" s="2"/>
      <c r="H2291" s="2" t="s">
        <v>571</v>
      </c>
    </row>
    <row r="2292" ht="15.75" customHeight="1">
      <c r="A2292" s="2" t="s">
        <v>2976</v>
      </c>
      <c r="B2292" s="2" t="s">
        <v>369</v>
      </c>
      <c r="C2292" s="6">
        <v>46137.604212962964</v>
      </c>
      <c r="D2292" s="2">
        <v>8.0</v>
      </c>
      <c r="E2292" s="2"/>
      <c r="H2292" s="2" t="s">
        <v>571</v>
      </c>
    </row>
    <row r="2293" ht="15.75" customHeight="1">
      <c r="A2293" s="2" t="s">
        <v>2977</v>
      </c>
      <c r="B2293" s="2" t="s">
        <v>342</v>
      </c>
      <c r="C2293" s="6">
        <v>46137.60434027778</v>
      </c>
      <c r="D2293" s="2">
        <v>-6.0</v>
      </c>
      <c r="E2293" s="2"/>
      <c r="H2293" s="2" t="s">
        <v>571</v>
      </c>
    </row>
    <row r="2294" ht="15.75" customHeight="1">
      <c r="A2294" s="2" t="s">
        <v>2978</v>
      </c>
      <c r="B2294" s="2" t="s">
        <v>414</v>
      </c>
      <c r="C2294" s="6">
        <v>46137.60444444444</v>
      </c>
      <c r="D2294" s="2">
        <v>-9.0</v>
      </c>
      <c r="E2294" s="2"/>
      <c r="H2294" s="2" t="s">
        <v>571</v>
      </c>
    </row>
    <row r="2295" ht="15.75" customHeight="1">
      <c r="A2295" s="2" t="s">
        <v>2979</v>
      </c>
      <c r="B2295" s="5" t="s">
        <v>142</v>
      </c>
      <c r="C2295" s="6">
        <v>46137.60459490741</v>
      </c>
      <c r="D2295" s="2">
        <v>-2.0</v>
      </c>
      <c r="E2295" s="2"/>
      <c r="H2295" s="2" t="s">
        <v>571</v>
      </c>
    </row>
    <row r="2296" ht="15.75" customHeight="1">
      <c r="A2296" s="2" t="s">
        <v>2980</v>
      </c>
      <c r="B2296" s="5" t="s">
        <v>134</v>
      </c>
      <c r="C2296" s="6">
        <v>46137.60469907407</v>
      </c>
      <c r="D2296" s="2">
        <v>-18.0</v>
      </c>
      <c r="E2296" s="2"/>
      <c r="H2296" s="2" t="s">
        <v>571</v>
      </c>
    </row>
    <row r="2297" ht="15.75" customHeight="1">
      <c r="A2297" s="2" t="s">
        <v>2981</v>
      </c>
      <c r="B2297" s="5" t="s">
        <v>59</v>
      </c>
      <c r="C2297" s="6">
        <v>46137.60488425926</v>
      </c>
      <c r="D2297" s="2">
        <v>-9.0</v>
      </c>
      <c r="E2297" s="2"/>
      <c r="H2297" s="2" t="s">
        <v>571</v>
      </c>
    </row>
    <row r="2298" ht="15.75" customHeight="1">
      <c r="A2298" s="2" t="s">
        <v>2982</v>
      </c>
      <c r="B2298" s="5" t="s">
        <v>214</v>
      </c>
      <c r="C2298" s="6">
        <v>46137.60511574074</v>
      </c>
      <c r="D2298" s="2">
        <v>-60.0</v>
      </c>
      <c r="E2298" s="2"/>
      <c r="H2298" s="2" t="s">
        <v>571</v>
      </c>
    </row>
    <row r="2299" ht="15.75" customHeight="1">
      <c r="A2299" s="2" t="s">
        <v>2983</v>
      </c>
      <c r="B2299" s="5" t="s">
        <v>192</v>
      </c>
      <c r="C2299" s="6">
        <v>46137.60525462963</v>
      </c>
      <c r="D2299" s="2">
        <v>-3.0</v>
      </c>
      <c r="E2299" s="2"/>
      <c r="H2299" s="2" t="s">
        <v>571</v>
      </c>
    </row>
    <row r="2300" ht="15.75" customHeight="1">
      <c r="A2300" s="2" t="s">
        <v>2984</v>
      </c>
      <c r="B2300" s="2" t="s">
        <v>354</v>
      </c>
      <c r="C2300" s="6">
        <v>46137.605416666665</v>
      </c>
      <c r="D2300" s="2">
        <v>-5.0</v>
      </c>
      <c r="E2300" s="2"/>
      <c r="H2300" s="2" t="s">
        <v>571</v>
      </c>
    </row>
    <row r="2301" ht="15.75" customHeight="1">
      <c r="A2301" s="2" t="s">
        <v>2985</v>
      </c>
      <c r="B2301" s="2" t="s">
        <v>375</v>
      </c>
      <c r="C2301" s="6">
        <v>46137.60603009259</v>
      </c>
      <c r="D2301" s="2">
        <v>-1.0</v>
      </c>
      <c r="E2301" s="2"/>
      <c r="H2301" s="2" t="s">
        <v>571</v>
      </c>
    </row>
    <row r="2302" ht="15.75" customHeight="1">
      <c r="A2302" s="2" t="s">
        <v>2986</v>
      </c>
      <c r="B2302" s="5" t="s">
        <v>66</v>
      </c>
      <c r="C2302" s="6">
        <v>46137.60839120371</v>
      </c>
      <c r="D2302" s="2">
        <v>-1.0</v>
      </c>
      <c r="E2302" s="2"/>
      <c r="H2302" s="2" t="s">
        <v>571</v>
      </c>
    </row>
    <row r="2303" ht="15.75" customHeight="1">
      <c r="A2303" s="2" t="s">
        <v>2987</v>
      </c>
      <c r="B2303" s="5" t="s">
        <v>217</v>
      </c>
      <c r="C2303" s="6">
        <v>46137.70527777778</v>
      </c>
      <c r="D2303" s="2">
        <v>-28.0</v>
      </c>
      <c r="E2303" s="2"/>
      <c r="H2303" s="2" t="s">
        <v>599</v>
      </c>
    </row>
    <row r="2304" ht="15.75" customHeight="1">
      <c r="A2304" s="2" t="s">
        <v>2988</v>
      </c>
      <c r="B2304" s="2" t="s">
        <v>408</v>
      </c>
      <c r="C2304" s="6">
        <v>46137.70538194444</v>
      </c>
      <c r="D2304" s="2">
        <v>-3.0</v>
      </c>
      <c r="E2304" s="2"/>
      <c r="H2304" s="2" t="s">
        <v>599</v>
      </c>
    </row>
    <row r="2305" ht="15.75" customHeight="1">
      <c r="A2305" s="2" t="s">
        <v>2989</v>
      </c>
      <c r="B2305" s="2" t="s">
        <v>363</v>
      </c>
      <c r="C2305" s="6">
        <v>46137.70556712963</v>
      </c>
      <c r="D2305" s="2">
        <v>-1.0</v>
      </c>
      <c r="E2305" s="2"/>
      <c r="H2305" s="2" t="s">
        <v>599</v>
      </c>
    </row>
    <row r="2306" ht="15.75" customHeight="1">
      <c r="A2306" s="2" t="s">
        <v>2990</v>
      </c>
      <c r="B2306" s="2" t="s">
        <v>411</v>
      </c>
      <c r="C2306" s="6">
        <v>46137.70583333333</v>
      </c>
      <c r="D2306" s="2">
        <v>-2.0</v>
      </c>
      <c r="E2306" s="2"/>
      <c r="H2306" s="2" t="s">
        <v>599</v>
      </c>
    </row>
    <row r="2307" ht="15.75" customHeight="1">
      <c r="A2307" s="2" t="s">
        <v>2991</v>
      </c>
      <c r="B2307" s="5" t="s">
        <v>131</v>
      </c>
      <c r="C2307" s="6">
        <v>46137.70631944444</v>
      </c>
      <c r="D2307" s="2">
        <v>-4.0</v>
      </c>
      <c r="E2307" s="2"/>
      <c r="H2307" s="2" t="s">
        <v>599</v>
      </c>
    </row>
    <row r="2308" ht="15.75" customHeight="1">
      <c r="A2308" s="2" t="s">
        <v>2992</v>
      </c>
      <c r="B2308" s="5" t="s">
        <v>186</v>
      </c>
      <c r="C2308" s="6">
        <v>46137.70659722222</v>
      </c>
      <c r="D2308" s="2">
        <v>-16.0</v>
      </c>
      <c r="E2308" s="2"/>
      <c r="H2308" s="2" t="s">
        <v>599</v>
      </c>
    </row>
    <row r="2309" ht="15.75" customHeight="1">
      <c r="A2309" s="2" t="s">
        <v>2993</v>
      </c>
      <c r="B2309" s="5" t="s">
        <v>148</v>
      </c>
      <c r="C2309" s="6">
        <v>46137.706967592596</v>
      </c>
      <c r="D2309" s="2">
        <v>-10.0</v>
      </c>
      <c r="E2309" s="2"/>
      <c r="H2309" s="2" t="s">
        <v>599</v>
      </c>
    </row>
    <row r="2310" ht="15.75" customHeight="1">
      <c r="A2310" s="2" t="s">
        <v>2994</v>
      </c>
      <c r="B2310" s="5" t="s">
        <v>165</v>
      </c>
      <c r="C2310" s="6">
        <v>46137.70736111111</v>
      </c>
      <c r="D2310" s="2">
        <v>-6.0</v>
      </c>
      <c r="E2310" s="2"/>
      <c r="H2310" s="2" t="s">
        <v>599</v>
      </c>
    </row>
    <row r="2311" ht="15.75" customHeight="1">
      <c r="A2311" s="2" t="s">
        <v>2995</v>
      </c>
      <c r="B2311" s="2" t="s">
        <v>378</v>
      </c>
      <c r="C2311" s="6">
        <v>46137.70795138889</v>
      </c>
      <c r="D2311" s="2">
        <v>-4.0</v>
      </c>
      <c r="E2311" s="2"/>
      <c r="H2311" s="2" t="s">
        <v>599</v>
      </c>
    </row>
    <row r="2312" ht="15.75" customHeight="1">
      <c r="A2312" s="2" t="s">
        <v>2996</v>
      </c>
      <c r="B2312" s="2" t="s">
        <v>372</v>
      </c>
      <c r="C2312" s="6">
        <v>46137.70806712963</v>
      </c>
      <c r="D2312" s="2">
        <v>-10.0</v>
      </c>
      <c r="E2312" s="2"/>
      <c r="H2312" s="2" t="s">
        <v>599</v>
      </c>
    </row>
    <row r="2313" ht="15.75" customHeight="1">
      <c r="A2313" s="2" t="s">
        <v>2997</v>
      </c>
      <c r="B2313" s="2" t="s">
        <v>384</v>
      </c>
      <c r="C2313" s="6">
        <v>46137.70849537037</v>
      </c>
      <c r="D2313" s="2">
        <v>-10.0</v>
      </c>
      <c r="E2313" s="2"/>
      <c r="H2313" s="2" t="s">
        <v>599</v>
      </c>
    </row>
    <row r="2314" ht="15.75" customHeight="1">
      <c r="A2314" s="2" t="s">
        <v>2998</v>
      </c>
      <c r="B2314" s="2" t="s">
        <v>295</v>
      </c>
      <c r="C2314" s="6">
        <v>46137.70890046296</v>
      </c>
      <c r="D2314" s="2">
        <v>-24.0</v>
      </c>
      <c r="E2314" s="2"/>
      <c r="H2314" s="2" t="s">
        <v>599</v>
      </c>
    </row>
    <row r="2315" ht="15.75" customHeight="1">
      <c r="A2315" s="2" t="s">
        <v>2999</v>
      </c>
      <c r="B2315" s="5" t="s">
        <v>59</v>
      </c>
      <c r="C2315" s="6">
        <v>46137.7090625</v>
      </c>
      <c r="D2315" s="2">
        <v>-5.0</v>
      </c>
      <c r="E2315" s="2"/>
      <c r="H2315" s="2" t="s">
        <v>599</v>
      </c>
    </row>
    <row r="2316" ht="15.75" customHeight="1">
      <c r="A2316" s="2" t="s">
        <v>3000</v>
      </c>
      <c r="B2316" s="5" t="s">
        <v>134</v>
      </c>
      <c r="C2316" s="6">
        <v>46137.70935185185</v>
      </c>
      <c r="D2316" s="2">
        <v>-5.0</v>
      </c>
      <c r="E2316" s="2"/>
      <c r="H2316" s="2" t="s">
        <v>599</v>
      </c>
    </row>
    <row r="2317" ht="15.75" customHeight="1">
      <c r="A2317" s="2" t="s">
        <v>3001</v>
      </c>
      <c r="B2317" s="2" t="s">
        <v>342</v>
      </c>
      <c r="C2317" s="6">
        <v>46137.710648148146</v>
      </c>
      <c r="D2317" s="2">
        <v>-7.0</v>
      </c>
      <c r="E2317" s="2"/>
      <c r="H2317" s="2" t="s">
        <v>599</v>
      </c>
    </row>
    <row r="2318" ht="15.75" customHeight="1">
      <c r="A2318" s="2" t="s">
        <v>3002</v>
      </c>
      <c r="B2318" s="2" t="s">
        <v>268</v>
      </c>
      <c r="C2318" s="6">
        <v>46137.711018518516</v>
      </c>
      <c r="D2318" s="2">
        <v>-7.0</v>
      </c>
      <c r="E2318" s="2"/>
      <c r="H2318" s="2" t="s">
        <v>599</v>
      </c>
    </row>
    <row r="2319" ht="15.75" customHeight="1">
      <c r="A2319" s="2" t="s">
        <v>3003</v>
      </c>
      <c r="B2319" s="2" t="s">
        <v>405</v>
      </c>
      <c r="C2319" s="6">
        <v>46137.711539351854</v>
      </c>
      <c r="D2319" s="2">
        <v>-14.0</v>
      </c>
      <c r="E2319" s="2"/>
      <c r="H2319" s="2" t="s">
        <v>599</v>
      </c>
    </row>
    <row r="2320" ht="15.75" customHeight="1">
      <c r="A2320" s="2" t="s">
        <v>3004</v>
      </c>
      <c r="B2320" s="5" t="s">
        <v>142</v>
      </c>
      <c r="C2320" s="6">
        <v>46137.71287037037</v>
      </c>
      <c r="D2320" s="2">
        <v>-28.0</v>
      </c>
      <c r="E2320" s="2"/>
      <c r="H2320" s="2" t="s">
        <v>599</v>
      </c>
    </row>
    <row r="2321" ht="15.75" customHeight="1">
      <c r="A2321" s="2" t="s">
        <v>3005</v>
      </c>
      <c r="B2321" s="2" t="s">
        <v>354</v>
      </c>
      <c r="C2321" s="6">
        <v>46137.7208912037</v>
      </c>
      <c r="D2321" s="2">
        <v>-14.0</v>
      </c>
      <c r="E2321" s="2"/>
      <c r="H2321" s="2" t="s">
        <v>599</v>
      </c>
    </row>
    <row r="2322" ht="15.75" customHeight="1">
      <c r="A2322" s="2" t="s">
        <v>3006</v>
      </c>
      <c r="B2322" s="5" t="s">
        <v>192</v>
      </c>
      <c r="C2322" s="6">
        <v>46137.72127314815</v>
      </c>
      <c r="D2322" s="2">
        <v>-24.0</v>
      </c>
      <c r="E2322" s="2"/>
      <c r="H2322" s="2" t="s">
        <v>599</v>
      </c>
    </row>
    <row r="2323" ht="15.75" customHeight="1">
      <c r="A2323" s="2" t="s">
        <v>3007</v>
      </c>
      <c r="B2323" s="5" t="s">
        <v>214</v>
      </c>
      <c r="C2323" s="6">
        <v>46137.721597222226</v>
      </c>
      <c r="D2323" s="2">
        <v>-60.0</v>
      </c>
      <c r="E2323" s="2"/>
      <c r="H2323" s="2" t="s">
        <v>599</v>
      </c>
    </row>
    <row r="2324" ht="15.75" customHeight="1">
      <c r="A2324" s="2" t="s">
        <v>3008</v>
      </c>
      <c r="B2324" s="5" t="s">
        <v>120</v>
      </c>
      <c r="C2324" s="6">
        <v>46137.73930555556</v>
      </c>
      <c r="D2324" s="2">
        <v>-6.0</v>
      </c>
      <c r="E2324" s="2"/>
      <c r="H2324" s="2" t="s">
        <v>599</v>
      </c>
    </row>
    <row r="2325" ht="15.75" customHeight="1">
      <c r="A2325" s="2" t="s">
        <v>3009</v>
      </c>
      <c r="B2325" s="2" t="s">
        <v>327</v>
      </c>
      <c r="C2325" s="6">
        <v>46137.74028935185</v>
      </c>
      <c r="D2325" s="2">
        <v>-7.0</v>
      </c>
      <c r="E2325" s="2"/>
      <c r="H2325" s="2" t="s">
        <v>599</v>
      </c>
    </row>
    <row r="2326" ht="15.75" customHeight="1">
      <c r="A2326" s="2" t="s">
        <v>3010</v>
      </c>
      <c r="B2326" s="2" t="s">
        <v>408</v>
      </c>
      <c r="C2326" s="6">
        <v>46137.74039351852</v>
      </c>
      <c r="D2326" s="2">
        <v>-7.0</v>
      </c>
      <c r="E2326" s="2"/>
      <c r="H2326" s="2" t="s">
        <v>599</v>
      </c>
    </row>
    <row r="2327" ht="15.75" customHeight="1">
      <c r="A2327" s="2" t="s">
        <v>3011</v>
      </c>
      <c r="B2327" s="5" t="s">
        <v>214</v>
      </c>
      <c r="C2327" s="6">
        <v>46137.7446875</v>
      </c>
      <c r="D2327" s="2">
        <v>-12.0</v>
      </c>
      <c r="E2327" s="2"/>
      <c r="H2327" s="2" t="s">
        <v>599</v>
      </c>
    </row>
    <row r="2328" ht="15.75" customHeight="1">
      <c r="A2328" s="2" t="s">
        <v>3012</v>
      </c>
      <c r="B2328" s="2" t="s">
        <v>378</v>
      </c>
      <c r="C2328" s="6">
        <v>46137.747152777774</v>
      </c>
      <c r="D2328" s="2">
        <v>-6.0</v>
      </c>
      <c r="E2328" s="2"/>
      <c r="H2328" s="2" t="s">
        <v>599</v>
      </c>
    </row>
    <row r="2329" ht="15.75" customHeight="1">
      <c r="A2329" s="2" t="s">
        <v>3013</v>
      </c>
      <c r="B2329" s="5" t="s">
        <v>192</v>
      </c>
      <c r="C2329" s="6">
        <v>46137.98511574074</v>
      </c>
      <c r="D2329" s="2">
        <v>48.0</v>
      </c>
      <c r="E2329" s="2" t="s">
        <v>3014</v>
      </c>
      <c r="H2329" s="2" t="s">
        <v>571</v>
      </c>
    </row>
    <row r="2330" ht="15.75" customHeight="1">
      <c r="A2330" s="2" t="s">
        <v>3015</v>
      </c>
      <c r="B2330" s="5" t="s">
        <v>142</v>
      </c>
      <c r="C2330" s="6">
        <v>46137.98516203704</v>
      </c>
      <c r="D2330" s="2">
        <v>48.0</v>
      </c>
      <c r="E2330" s="2" t="s">
        <v>3014</v>
      </c>
      <c r="H2330" s="2" t="s">
        <v>571</v>
      </c>
    </row>
    <row r="2331" ht="15.75" customHeight="1">
      <c r="A2331" s="2" t="s">
        <v>3016</v>
      </c>
      <c r="B2331" s="2" t="s">
        <v>295</v>
      </c>
      <c r="C2331" s="6">
        <v>46137.98519675926</v>
      </c>
      <c r="D2331" s="2">
        <v>96.0</v>
      </c>
      <c r="E2331" s="2" t="s">
        <v>3014</v>
      </c>
      <c r="H2331" s="2" t="s">
        <v>571</v>
      </c>
    </row>
    <row r="2332" ht="15.75" customHeight="1">
      <c r="A2332" s="2" t="s">
        <v>3017</v>
      </c>
      <c r="B2332" s="5" t="s">
        <v>148</v>
      </c>
      <c r="C2332" s="6">
        <v>46137.985243055555</v>
      </c>
      <c r="D2332" s="2">
        <v>25.0</v>
      </c>
      <c r="E2332" s="2" t="s">
        <v>3014</v>
      </c>
      <c r="H2332" s="2" t="s">
        <v>571</v>
      </c>
    </row>
    <row r="2333" ht="15.75" customHeight="1">
      <c r="A2333" s="2" t="s">
        <v>3018</v>
      </c>
      <c r="B2333" s="5" t="s">
        <v>171</v>
      </c>
      <c r="C2333" s="6">
        <v>46137.98532407408</v>
      </c>
      <c r="D2333" s="2">
        <v>48.0</v>
      </c>
      <c r="E2333" s="2" t="s">
        <v>3014</v>
      </c>
      <c r="H2333" s="2" t="s">
        <v>571</v>
      </c>
    </row>
    <row r="2334" ht="15.75" customHeight="1">
      <c r="A2334" s="2" t="s">
        <v>3019</v>
      </c>
      <c r="B2334" s="2" t="s">
        <v>372</v>
      </c>
      <c r="C2334" s="6">
        <v>46137.98537037037</v>
      </c>
      <c r="D2334" s="2">
        <v>24.0</v>
      </c>
      <c r="E2334" s="2" t="s">
        <v>3014</v>
      </c>
      <c r="H2334" s="2" t="s">
        <v>571</v>
      </c>
    </row>
    <row r="2335" ht="15.75" customHeight="1">
      <c r="A2335" s="2" t="s">
        <v>3020</v>
      </c>
      <c r="B2335" s="5" t="s">
        <v>134</v>
      </c>
      <c r="C2335" s="6">
        <v>46137.986122685186</v>
      </c>
      <c r="D2335" s="2">
        <v>81.0</v>
      </c>
      <c r="E2335" s="2" t="s">
        <v>3014</v>
      </c>
      <c r="H2335" s="2" t="s">
        <v>571</v>
      </c>
    </row>
    <row r="2336" ht="15.75" customHeight="1">
      <c r="A2336" s="2" t="s">
        <v>3021</v>
      </c>
      <c r="B2336" s="5" t="s">
        <v>59</v>
      </c>
      <c r="C2336" s="6">
        <v>46137.98616898148</v>
      </c>
      <c r="D2336" s="2">
        <v>54.0</v>
      </c>
      <c r="E2336" s="2" t="s">
        <v>3014</v>
      </c>
      <c r="H2336" s="2" t="s">
        <v>571</v>
      </c>
    </row>
    <row r="2337" ht="15.75" customHeight="1">
      <c r="A2337" s="2" t="s">
        <v>3022</v>
      </c>
      <c r="B2337" s="2" t="s">
        <v>405</v>
      </c>
      <c r="C2337" s="6">
        <v>46137.98621527778</v>
      </c>
      <c r="D2337" s="2">
        <v>24.0</v>
      </c>
      <c r="E2337" s="2" t="s">
        <v>3014</v>
      </c>
      <c r="H2337" s="2" t="s">
        <v>571</v>
      </c>
    </row>
    <row r="2338" ht="15.75" customHeight="1">
      <c r="A2338" s="2" t="s">
        <v>3023</v>
      </c>
      <c r="B2338" s="2" t="s">
        <v>384</v>
      </c>
      <c r="C2338" s="6">
        <v>46137.99391203704</v>
      </c>
      <c r="D2338" s="2">
        <v>24.0</v>
      </c>
      <c r="E2338" s="2" t="s">
        <v>3024</v>
      </c>
      <c r="H2338" s="2" t="s">
        <v>571</v>
      </c>
    </row>
    <row r="2339" ht="15.75" customHeight="1">
      <c r="A2339" s="2" t="s">
        <v>3025</v>
      </c>
      <c r="B2339" s="2" t="s">
        <v>378</v>
      </c>
      <c r="C2339" s="6">
        <v>46137.99395833333</v>
      </c>
      <c r="D2339" s="2">
        <v>72.0</v>
      </c>
      <c r="E2339" s="2" t="s">
        <v>3024</v>
      </c>
      <c r="H2339" s="2" t="s">
        <v>571</v>
      </c>
    </row>
    <row r="2340" ht="15.75" customHeight="1">
      <c r="A2340" s="2" t="s">
        <v>3026</v>
      </c>
      <c r="B2340" s="2" t="s">
        <v>372</v>
      </c>
      <c r="C2340" s="6">
        <v>46137.9940625</v>
      </c>
      <c r="D2340" s="2">
        <v>48.0</v>
      </c>
      <c r="E2340" s="2" t="s">
        <v>3024</v>
      </c>
      <c r="H2340" s="2" t="s">
        <v>571</v>
      </c>
    </row>
    <row r="2341" ht="15.75" customHeight="1">
      <c r="A2341" s="2" t="s">
        <v>3027</v>
      </c>
      <c r="B2341" s="2" t="s">
        <v>414</v>
      </c>
      <c r="C2341" s="6">
        <v>46137.994259259256</v>
      </c>
      <c r="D2341" s="2">
        <v>24.0</v>
      </c>
      <c r="E2341" s="2" t="s">
        <v>3024</v>
      </c>
      <c r="H2341" s="2" t="s">
        <v>571</v>
      </c>
    </row>
    <row r="2342" ht="15.75" customHeight="1">
      <c r="A2342" s="2" t="s">
        <v>3028</v>
      </c>
      <c r="B2342" s="5" t="s">
        <v>131</v>
      </c>
      <c r="C2342" s="6">
        <v>46137.994305555556</v>
      </c>
      <c r="D2342" s="2">
        <v>24.0</v>
      </c>
      <c r="E2342" s="2" t="s">
        <v>3024</v>
      </c>
      <c r="H2342" s="2" t="s">
        <v>571</v>
      </c>
    </row>
    <row r="2343" ht="15.75" customHeight="1">
      <c r="A2343" s="2" t="s">
        <v>3029</v>
      </c>
      <c r="B2343" s="2" t="s">
        <v>408</v>
      </c>
      <c r="C2343" s="6">
        <v>46137.994375</v>
      </c>
      <c r="D2343" s="2">
        <v>36.0</v>
      </c>
      <c r="E2343" s="2" t="s">
        <v>3024</v>
      </c>
      <c r="H2343" s="2" t="s">
        <v>571</v>
      </c>
    </row>
    <row r="2344" ht="15.75" customHeight="1">
      <c r="A2344" s="2" t="s">
        <v>3030</v>
      </c>
      <c r="B2344" s="2" t="s">
        <v>354</v>
      </c>
      <c r="C2344" s="6">
        <v>46137.994421296295</v>
      </c>
      <c r="D2344" s="2">
        <v>24.0</v>
      </c>
      <c r="E2344" s="2" t="s">
        <v>3024</v>
      </c>
      <c r="H2344" s="2" t="s">
        <v>571</v>
      </c>
    </row>
    <row r="2345" ht="15.75" customHeight="1">
      <c r="A2345" s="2" t="s">
        <v>3031</v>
      </c>
      <c r="B2345" s="2" t="s">
        <v>417</v>
      </c>
      <c r="C2345" s="6">
        <v>46138.000914351855</v>
      </c>
      <c r="D2345" s="2">
        <v>29.0</v>
      </c>
      <c r="E2345" s="2" t="s">
        <v>3032</v>
      </c>
      <c r="H2345" s="2" t="s">
        <v>571</v>
      </c>
    </row>
    <row r="2346" ht="15.75" customHeight="1">
      <c r="A2346" s="2" t="s">
        <v>3033</v>
      </c>
      <c r="B2346" s="5" t="s">
        <v>120</v>
      </c>
      <c r="C2346" s="6">
        <v>46138.00096064815</v>
      </c>
      <c r="D2346" s="2">
        <v>16.0</v>
      </c>
      <c r="E2346" s="2" t="s">
        <v>3032</v>
      </c>
      <c r="H2346" s="2" t="s">
        <v>571</v>
      </c>
    </row>
    <row r="2347" ht="15.75" customHeight="1">
      <c r="A2347" s="2" t="s">
        <v>3034</v>
      </c>
      <c r="B2347" s="2" t="s">
        <v>327</v>
      </c>
      <c r="C2347" s="6">
        <v>46138.001435185186</v>
      </c>
      <c r="D2347" s="2">
        <v>160.0</v>
      </c>
      <c r="E2347" s="2" t="s">
        <v>3035</v>
      </c>
      <c r="H2347" s="2" t="s">
        <v>571</v>
      </c>
    </row>
    <row r="2348" ht="15.75" customHeight="1">
      <c r="A2348" s="2" t="s">
        <v>3036</v>
      </c>
      <c r="B2348" s="2" t="s">
        <v>408</v>
      </c>
      <c r="C2348" s="6">
        <v>46138.00518518518</v>
      </c>
      <c r="D2348" s="2">
        <v>-12.0</v>
      </c>
      <c r="E2348" s="2"/>
      <c r="H2348" s="2" t="s">
        <v>571</v>
      </c>
    </row>
    <row r="2349" ht="15.75" customHeight="1">
      <c r="A2349" s="2" t="s">
        <v>3037</v>
      </c>
      <c r="B2349" s="2" t="s">
        <v>327</v>
      </c>
      <c r="C2349" s="6">
        <v>46138.00530092593</v>
      </c>
      <c r="D2349" s="2">
        <v>-19.0</v>
      </c>
      <c r="E2349" s="2"/>
      <c r="H2349" s="2" t="s">
        <v>571</v>
      </c>
    </row>
    <row r="2350" ht="15.75" customHeight="1">
      <c r="A2350" s="2" t="s">
        <v>3038</v>
      </c>
      <c r="B2350" s="2" t="s">
        <v>327</v>
      </c>
      <c r="C2350" s="6">
        <v>46138.00543981481</v>
      </c>
      <c r="D2350" s="2">
        <v>-7.0</v>
      </c>
      <c r="E2350" s="2"/>
      <c r="H2350" s="2" t="s">
        <v>571</v>
      </c>
    </row>
    <row r="2351" ht="15.75" customHeight="1">
      <c r="A2351" s="2" t="s">
        <v>3039</v>
      </c>
      <c r="B2351" s="5" t="s">
        <v>217</v>
      </c>
      <c r="C2351" s="6">
        <v>46138.00556712963</v>
      </c>
      <c r="D2351" s="2">
        <v>-30.0</v>
      </c>
      <c r="E2351" s="2"/>
      <c r="H2351" s="2" t="s">
        <v>571</v>
      </c>
    </row>
    <row r="2352" ht="15.75" customHeight="1">
      <c r="A2352" s="2" t="s">
        <v>3040</v>
      </c>
      <c r="B2352" s="5" t="s">
        <v>120</v>
      </c>
      <c r="C2352" s="6">
        <v>46138.005740740744</v>
      </c>
      <c r="D2352" s="2">
        <v>-6.0</v>
      </c>
      <c r="E2352" s="2"/>
      <c r="H2352" s="2" t="s">
        <v>571</v>
      </c>
    </row>
    <row r="2353" ht="15.75" customHeight="1">
      <c r="A2353" s="2" t="s">
        <v>3041</v>
      </c>
      <c r="B2353" s="5" t="s">
        <v>131</v>
      </c>
      <c r="C2353" s="6">
        <v>46138.00592592593</v>
      </c>
      <c r="D2353" s="2">
        <v>-7.0</v>
      </c>
      <c r="E2353" s="2"/>
      <c r="H2353" s="2" t="s">
        <v>571</v>
      </c>
    </row>
    <row r="2354" ht="15.75" customHeight="1">
      <c r="A2354" s="2" t="s">
        <v>3042</v>
      </c>
      <c r="B2354" s="5" t="s">
        <v>165</v>
      </c>
      <c r="C2354" s="6">
        <v>46138.006053240744</v>
      </c>
      <c r="D2354" s="2">
        <v>-12.0</v>
      </c>
      <c r="E2354" s="2"/>
      <c r="H2354" s="2" t="s">
        <v>571</v>
      </c>
    </row>
    <row r="2355" ht="15.75" customHeight="1">
      <c r="A2355" s="2" t="s">
        <v>3043</v>
      </c>
      <c r="B2355" s="5" t="s">
        <v>171</v>
      </c>
      <c r="C2355" s="6">
        <v>46138.00682870371</v>
      </c>
      <c r="D2355" s="2">
        <v>-5.0</v>
      </c>
      <c r="E2355" s="2"/>
      <c r="H2355" s="2" t="s">
        <v>571</v>
      </c>
    </row>
    <row r="2356" ht="15.75" customHeight="1">
      <c r="A2356" s="2" t="s">
        <v>3044</v>
      </c>
      <c r="B2356" s="2" t="s">
        <v>372</v>
      </c>
      <c r="C2356" s="6">
        <v>46138.00697916667</v>
      </c>
      <c r="D2356" s="2">
        <v>-24.0</v>
      </c>
      <c r="E2356" s="2"/>
      <c r="H2356" s="2" t="s">
        <v>571</v>
      </c>
    </row>
    <row r="2357" ht="15.75" customHeight="1">
      <c r="A2357" s="2" t="s">
        <v>3045</v>
      </c>
      <c r="B2357" s="2" t="s">
        <v>378</v>
      </c>
      <c r="C2357" s="6">
        <v>46138.007581018515</v>
      </c>
      <c r="D2357" s="2">
        <v>-24.0</v>
      </c>
      <c r="E2357" s="2"/>
      <c r="H2357" s="2" t="s">
        <v>571</v>
      </c>
    </row>
    <row r="2358" ht="15.75" customHeight="1">
      <c r="A2358" s="2" t="s">
        <v>3046</v>
      </c>
      <c r="B2358" s="2" t="s">
        <v>384</v>
      </c>
      <c r="C2358" s="6">
        <v>46138.008472222224</v>
      </c>
      <c r="D2358" s="2">
        <v>-10.0</v>
      </c>
      <c r="E2358" s="2"/>
      <c r="H2358" s="2" t="s">
        <v>571</v>
      </c>
    </row>
    <row r="2359" ht="15.75" customHeight="1">
      <c r="A2359" s="2" t="s">
        <v>3047</v>
      </c>
      <c r="B2359" s="5" t="s">
        <v>186</v>
      </c>
      <c r="C2359" s="6">
        <v>46138.00876157408</v>
      </c>
      <c r="D2359" s="2">
        <v>-8.0</v>
      </c>
      <c r="E2359" s="2"/>
      <c r="H2359" s="2" t="s">
        <v>571</v>
      </c>
    </row>
    <row r="2360" ht="15.75" customHeight="1">
      <c r="A2360" s="2" t="s">
        <v>3048</v>
      </c>
      <c r="B2360" s="2" t="s">
        <v>414</v>
      </c>
      <c r="C2360" s="6">
        <v>46138.00890046296</v>
      </c>
      <c r="D2360" s="2">
        <v>-14.0</v>
      </c>
      <c r="E2360" s="2"/>
      <c r="H2360" s="2" t="s">
        <v>571</v>
      </c>
    </row>
    <row r="2361" ht="15.75" customHeight="1">
      <c r="A2361" s="2" t="s">
        <v>3049</v>
      </c>
      <c r="B2361" s="2" t="s">
        <v>342</v>
      </c>
      <c r="C2361" s="6">
        <v>46138.00922453704</v>
      </c>
      <c r="D2361" s="2">
        <v>-7.0</v>
      </c>
      <c r="E2361" s="2"/>
      <c r="H2361" s="2" t="s">
        <v>571</v>
      </c>
    </row>
    <row r="2362" ht="15.75" customHeight="1">
      <c r="A2362" s="2" t="s">
        <v>3050</v>
      </c>
      <c r="B2362" s="5" t="s">
        <v>142</v>
      </c>
      <c r="C2362" s="6">
        <v>46138.0093287037</v>
      </c>
      <c r="D2362" s="2">
        <v>-14.0</v>
      </c>
      <c r="E2362" s="2"/>
      <c r="H2362" s="2" t="s">
        <v>571</v>
      </c>
    </row>
    <row r="2363" ht="15.75" customHeight="1">
      <c r="A2363" s="2" t="s">
        <v>3051</v>
      </c>
      <c r="B2363" s="2" t="s">
        <v>405</v>
      </c>
      <c r="C2363" s="6">
        <v>46138.009675925925</v>
      </c>
      <c r="D2363" s="2">
        <v>-4.0</v>
      </c>
      <c r="E2363" s="2"/>
      <c r="H2363" s="2" t="s">
        <v>571</v>
      </c>
    </row>
    <row r="2364" ht="15.75" customHeight="1">
      <c r="A2364" s="2" t="s">
        <v>3052</v>
      </c>
      <c r="B2364" s="5" t="s">
        <v>134</v>
      </c>
      <c r="C2364" s="6">
        <v>46138.010347222225</v>
      </c>
      <c r="D2364" s="2">
        <v>-23.0</v>
      </c>
      <c r="E2364" s="2"/>
      <c r="H2364" s="2" t="s">
        <v>571</v>
      </c>
    </row>
    <row r="2365" ht="15.75" customHeight="1">
      <c r="A2365" s="2" t="s">
        <v>3053</v>
      </c>
      <c r="B2365" s="5" t="s">
        <v>59</v>
      </c>
      <c r="C2365" s="6">
        <v>46138.012337962966</v>
      </c>
      <c r="D2365" s="2">
        <v>-8.0</v>
      </c>
      <c r="E2365" s="2"/>
      <c r="H2365" s="2" t="s">
        <v>571</v>
      </c>
    </row>
    <row r="2366" ht="15.75" customHeight="1">
      <c r="A2366" s="2" t="s">
        <v>3054</v>
      </c>
      <c r="B2366" s="5" t="s">
        <v>214</v>
      </c>
      <c r="C2366" s="6">
        <v>46138.01258101852</v>
      </c>
      <c r="D2366" s="2">
        <v>-84.0</v>
      </c>
      <c r="E2366" s="2"/>
      <c r="H2366" s="2" t="s">
        <v>571</v>
      </c>
    </row>
    <row r="2367" ht="15.75" customHeight="1">
      <c r="A2367" s="2" t="s">
        <v>3055</v>
      </c>
      <c r="B2367" s="5" t="s">
        <v>192</v>
      </c>
      <c r="C2367" s="6">
        <v>46138.01283564815</v>
      </c>
      <c r="D2367" s="2">
        <v>-12.0</v>
      </c>
      <c r="E2367" s="2"/>
      <c r="H2367" s="2" t="s">
        <v>571</v>
      </c>
    </row>
    <row r="2368" ht="15.75" customHeight="1">
      <c r="A2368" s="2" t="s">
        <v>3056</v>
      </c>
      <c r="B2368" s="2" t="s">
        <v>354</v>
      </c>
      <c r="C2368" s="6">
        <v>46138.01310185185</v>
      </c>
      <c r="D2368" s="2">
        <v>-3.0</v>
      </c>
      <c r="E2368" s="2"/>
      <c r="H2368" s="2" t="s">
        <v>571</v>
      </c>
    </row>
    <row r="2369" ht="15.75" customHeight="1">
      <c r="A2369" s="2" t="s">
        <v>3057</v>
      </c>
      <c r="B2369" s="5" t="s">
        <v>217</v>
      </c>
      <c r="C2369" s="6">
        <v>46138.20525462963</v>
      </c>
      <c r="D2369" s="2">
        <v>-13.0</v>
      </c>
      <c r="E2369" s="2"/>
      <c r="H2369" s="2" t="s">
        <v>571</v>
      </c>
    </row>
    <row r="2370" ht="15.75" customHeight="1">
      <c r="A2370" s="2" t="s">
        <v>3058</v>
      </c>
      <c r="B2370" s="2" t="s">
        <v>408</v>
      </c>
      <c r="C2370" s="6">
        <v>46138.205347222225</v>
      </c>
      <c r="D2370" s="2">
        <v>-14.0</v>
      </c>
      <c r="E2370" s="2"/>
      <c r="H2370" s="2" t="s">
        <v>571</v>
      </c>
    </row>
    <row r="2371" ht="15.75" customHeight="1">
      <c r="A2371" s="2" t="s">
        <v>3059</v>
      </c>
      <c r="B2371" s="2" t="s">
        <v>327</v>
      </c>
      <c r="C2371" s="6">
        <v>46138.20547453704</v>
      </c>
      <c r="D2371" s="2">
        <v>-21.0</v>
      </c>
      <c r="E2371" s="2"/>
      <c r="H2371" s="2" t="s">
        <v>571</v>
      </c>
    </row>
    <row r="2372" ht="15.75" customHeight="1">
      <c r="A2372" s="2" t="s">
        <v>3060</v>
      </c>
      <c r="B2372" s="5" t="s">
        <v>131</v>
      </c>
      <c r="C2372" s="6">
        <v>46138.205729166664</v>
      </c>
      <c r="D2372" s="2">
        <v>-7.0</v>
      </c>
      <c r="E2372" s="2"/>
      <c r="H2372" s="2" t="s">
        <v>571</v>
      </c>
    </row>
    <row r="2373" ht="15.75" customHeight="1">
      <c r="A2373" s="2" t="s">
        <v>3061</v>
      </c>
      <c r="B2373" s="5" t="s">
        <v>186</v>
      </c>
      <c r="C2373" s="6">
        <v>46138.20582175926</v>
      </c>
      <c r="D2373" s="2">
        <v>-10.0</v>
      </c>
      <c r="E2373" s="2"/>
      <c r="H2373" s="2" t="s">
        <v>571</v>
      </c>
    </row>
    <row r="2374" ht="15.75" customHeight="1">
      <c r="A2374" s="2" t="s">
        <v>3062</v>
      </c>
      <c r="B2374" s="2" t="s">
        <v>384</v>
      </c>
      <c r="C2374" s="6">
        <v>46138.205925925926</v>
      </c>
      <c r="D2374" s="2">
        <v>-14.0</v>
      </c>
      <c r="E2374" s="2"/>
      <c r="H2374" s="2" t="s">
        <v>571</v>
      </c>
    </row>
    <row r="2375" ht="15.75" customHeight="1">
      <c r="A2375" s="2" t="s">
        <v>3063</v>
      </c>
      <c r="B2375" s="2" t="s">
        <v>372</v>
      </c>
      <c r="C2375" s="6">
        <v>46138.20605324074</v>
      </c>
      <c r="D2375" s="2">
        <v>-6.0</v>
      </c>
      <c r="E2375" s="2"/>
      <c r="H2375" s="2" t="s">
        <v>571</v>
      </c>
    </row>
    <row r="2376" ht="15.75" customHeight="1">
      <c r="A2376" s="5" t="s">
        <v>3064</v>
      </c>
      <c r="B2376" s="2" t="s">
        <v>378</v>
      </c>
      <c r="C2376" s="6">
        <v>46138.20616898148</v>
      </c>
      <c r="D2376" s="2">
        <v>-14.0</v>
      </c>
      <c r="E2376" s="2"/>
      <c r="H2376" s="2" t="s">
        <v>571</v>
      </c>
    </row>
    <row r="2377" ht="15.75" customHeight="1">
      <c r="A2377" s="2" t="s">
        <v>3065</v>
      </c>
      <c r="B2377" s="5" t="s">
        <v>165</v>
      </c>
      <c r="C2377" s="6">
        <v>46138.20630787037</v>
      </c>
      <c r="D2377" s="2">
        <v>-6.0</v>
      </c>
      <c r="E2377" s="2"/>
      <c r="H2377" s="2" t="s">
        <v>571</v>
      </c>
    </row>
    <row r="2378" ht="15.75" customHeight="1">
      <c r="A2378" s="2" t="s">
        <v>3066</v>
      </c>
      <c r="B2378" s="5" t="s">
        <v>171</v>
      </c>
      <c r="C2378" s="6">
        <v>46138.206400462965</v>
      </c>
      <c r="D2378" s="2">
        <v>-7.0</v>
      </c>
      <c r="E2378" s="2"/>
      <c r="H2378" s="2" t="s">
        <v>571</v>
      </c>
    </row>
    <row r="2379" ht="15.75" customHeight="1">
      <c r="A2379" s="2" t="s">
        <v>3067</v>
      </c>
      <c r="B2379" s="2" t="s">
        <v>265</v>
      </c>
      <c r="C2379" s="6">
        <v>46138.2065625</v>
      </c>
      <c r="D2379" s="2">
        <v>-32.0</v>
      </c>
      <c r="E2379" s="2"/>
      <c r="H2379" s="2" t="s">
        <v>571</v>
      </c>
    </row>
    <row r="2380" ht="15.75" customHeight="1">
      <c r="A2380" s="2" t="s">
        <v>3068</v>
      </c>
      <c r="B2380" s="2" t="s">
        <v>295</v>
      </c>
      <c r="C2380" s="6">
        <v>46138.20670138889</v>
      </c>
      <c r="D2380" s="2">
        <v>-24.0</v>
      </c>
      <c r="E2380" s="2"/>
      <c r="H2380" s="2" t="s">
        <v>571</v>
      </c>
    </row>
    <row r="2381" ht="15.75" customHeight="1">
      <c r="A2381" s="2" t="s">
        <v>3069</v>
      </c>
      <c r="B2381" s="5" t="s">
        <v>134</v>
      </c>
      <c r="C2381" s="6">
        <v>46138.206828703704</v>
      </c>
      <c r="D2381" s="2">
        <v>-15.0</v>
      </c>
      <c r="E2381" s="2"/>
      <c r="H2381" s="2" t="s">
        <v>571</v>
      </c>
    </row>
    <row r="2382" ht="15.75" customHeight="1">
      <c r="A2382" s="2" t="s">
        <v>3070</v>
      </c>
      <c r="B2382" s="2" t="s">
        <v>354</v>
      </c>
      <c r="C2382" s="6">
        <v>46138.206979166665</v>
      </c>
      <c r="D2382" s="2">
        <v>-7.0</v>
      </c>
      <c r="E2382" s="2"/>
      <c r="H2382" s="2" t="s">
        <v>571</v>
      </c>
    </row>
    <row r="2383" ht="15.75" customHeight="1">
      <c r="A2383" s="2" t="s">
        <v>3071</v>
      </c>
      <c r="B2383" s="2" t="s">
        <v>414</v>
      </c>
      <c r="C2383" s="6">
        <v>46138.207141203704</v>
      </c>
      <c r="D2383" s="2">
        <v>-7.0</v>
      </c>
      <c r="E2383" s="2"/>
      <c r="H2383" s="2" t="s">
        <v>571</v>
      </c>
    </row>
    <row r="2384" ht="15.75" customHeight="1">
      <c r="A2384" s="2" t="s">
        <v>3072</v>
      </c>
      <c r="B2384" s="2" t="s">
        <v>405</v>
      </c>
      <c r="C2384" s="6">
        <v>46138.207291666666</v>
      </c>
      <c r="D2384" s="2">
        <v>-14.0</v>
      </c>
      <c r="E2384" s="2"/>
      <c r="H2384" s="2" t="s">
        <v>571</v>
      </c>
    </row>
    <row r="2385" ht="15.75" customHeight="1">
      <c r="A2385" s="2" t="s">
        <v>3073</v>
      </c>
      <c r="B2385" s="5" t="s">
        <v>142</v>
      </c>
      <c r="C2385" s="6">
        <v>46138.20746527778</v>
      </c>
      <c r="D2385" s="2">
        <v>-11.0</v>
      </c>
      <c r="E2385" s="2"/>
      <c r="H2385" s="2" t="s">
        <v>571</v>
      </c>
    </row>
    <row r="2386" ht="15.75" customHeight="1">
      <c r="A2386" s="2" t="s">
        <v>3074</v>
      </c>
      <c r="B2386" s="5" t="s">
        <v>192</v>
      </c>
      <c r="C2386" s="6">
        <v>46138.20769675926</v>
      </c>
      <c r="D2386" s="2">
        <v>-14.0</v>
      </c>
      <c r="E2386" s="2"/>
      <c r="H2386" s="2" t="s">
        <v>571</v>
      </c>
    </row>
    <row r="2387" ht="15.75" customHeight="1">
      <c r="A2387" s="2" t="s">
        <v>3075</v>
      </c>
      <c r="B2387" s="5" t="s">
        <v>214</v>
      </c>
      <c r="C2387" s="6">
        <v>46138.20784722222</v>
      </c>
      <c r="D2387" s="2">
        <v>-60.0</v>
      </c>
      <c r="E2387" s="2"/>
      <c r="H2387" s="2" t="s">
        <v>571</v>
      </c>
    </row>
    <row r="2388" ht="15.75" customHeight="1">
      <c r="A2388" s="2" t="s">
        <v>3076</v>
      </c>
      <c r="B2388" s="2" t="s">
        <v>417</v>
      </c>
      <c r="C2388" s="6">
        <v>46138.69033564815</v>
      </c>
      <c r="D2388" s="2">
        <v>-29.0</v>
      </c>
      <c r="E2388" s="2"/>
      <c r="H2388" s="2" t="s">
        <v>571</v>
      </c>
    </row>
    <row r="2389" ht="15.75" customHeight="1">
      <c r="A2389" s="2" t="s">
        <v>3077</v>
      </c>
      <c r="B2389" s="5" t="s">
        <v>85</v>
      </c>
      <c r="C2389" s="6">
        <v>46138.69053240741</v>
      </c>
      <c r="D2389" s="2">
        <v>-6.0</v>
      </c>
      <c r="E2389" s="2"/>
      <c r="H2389" s="2" t="s">
        <v>571</v>
      </c>
    </row>
    <row r="2390" ht="15.75" customHeight="1">
      <c r="A2390" s="2" t="s">
        <v>3078</v>
      </c>
      <c r="B2390" s="5" t="s">
        <v>120</v>
      </c>
      <c r="C2390" s="6">
        <v>46138.690671296295</v>
      </c>
      <c r="D2390" s="2">
        <v>-4.0</v>
      </c>
      <c r="E2390" s="2"/>
      <c r="H2390" s="2" t="s">
        <v>571</v>
      </c>
    </row>
    <row r="2391" ht="15.75" customHeight="1">
      <c r="A2391" s="2" t="s">
        <v>3079</v>
      </c>
      <c r="B2391" s="2" t="s">
        <v>327</v>
      </c>
      <c r="C2391" s="6">
        <v>46139.35403935185</v>
      </c>
      <c r="D2391" s="2">
        <v>-12.0</v>
      </c>
      <c r="E2391" s="2"/>
      <c r="H2391" s="2" t="s">
        <v>599</v>
      </c>
    </row>
    <row r="2392" ht="15.75" customHeight="1">
      <c r="A2392" s="2" t="s">
        <v>3080</v>
      </c>
      <c r="B2392" s="2" t="s">
        <v>333</v>
      </c>
      <c r="C2392" s="6">
        <v>46139.35420138889</v>
      </c>
      <c r="D2392" s="2">
        <v>-13.0</v>
      </c>
      <c r="E2392" s="2"/>
      <c r="H2392" s="2" t="s">
        <v>599</v>
      </c>
    </row>
    <row r="2393" ht="15.75" customHeight="1">
      <c r="A2393" s="2" t="s">
        <v>3081</v>
      </c>
      <c r="B2393" s="5" t="s">
        <v>217</v>
      </c>
      <c r="C2393" s="6">
        <v>46139.3546412037</v>
      </c>
      <c r="D2393" s="2">
        <v>-15.0</v>
      </c>
      <c r="E2393" s="2"/>
      <c r="H2393" s="2" t="s">
        <v>599</v>
      </c>
    </row>
    <row r="2394" ht="15.75" customHeight="1">
      <c r="A2394" s="2" t="s">
        <v>3082</v>
      </c>
      <c r="B2394" s="2" t="s">
        <v>271</v>
      </c>
      <c r="C2394" s="6">
        <v>46139.35471064815</v>
      </c>
      <c r="D2394" s="2">
        <v>-16.0</v>
      </c>
      <c r="E2394" s="2"/>
      <c r="H2394" s="2" t="s">
        <v>599</v>
      </c>
    </row>
    <row r="2395" ht="15.75" customHeight="1">
      <c r="A2395" s="2" t="s">
        <v>3083</v>
      </c>
      <c r="B2395" s="2" t="s">
        <v>419</v>
      </c>
      <c r="C2395" s="6">
        <v>46139.35734953704</v>
      </c>
      <c r="D2395" s="2">
        <v>-15.0</v>
      </c>
      <c r="E2395" s="2"/>
      <c r="H2395" s="2" t="s">
        <v>599</v>
      </c>
    </row>
    <row r="2396" ht="15.75" customHeight="1">
      <c r="A2396" s="2" t="s">
        <v>3084</v>
      </c>
      <c r="B2396" s="2" t="s">
        <v>372</v>
      </c>
      <c r="C2396" s="6">
        <v>46139.358564814815</v>
      </c>
      <c r="D2396" s="2">
        <v>-4.0</v>
      </c>
      <c r="E2396" s="2"/>
      <c r="H2396" s="2" t="s">
        <v>599</v>
      </c>
    </row>
    <row r="2397" ht="15.75" customHeight="1">
      <c r="A2397" s="2" t="s">
        <v>3085</v>
      </c>
      <c r="B2397" s="2" t="s">
        <v>384</v>
      </c>
      <c r="C2397" s="6">
        <v>46139.35863425926</v>
      </c>
      <c r="D2397" s="2">
        <v>-10.0</v>
      </c>
      <c r="E2397" s="2"/>
      <c r="H2397" s="2" t="s">
        <v>599</v>
      </c>
    </row>
    <row r="2398" ht="15.75" customHeight="1">
      <c r="A2398" s="2" t="s">
        <v>3086</v>
      </c>
      <c r="B2398" s="2" t="s">
        <v>414</v>
      </c>
      <c r="C2398" s="6">
        <v>46139.35902777778</v>
      </c>
      <c r="D2398" s="2">
        <v>-7.0</v>
      </c>
      <c r="E2398" s="2"/>
      <c r="H2398" s="2" t="s">
        <v>599</v>
      </c>
    </row>
    <row r="2399" ht="15.75" customHeight="1">
      <c r="A2399" s="2" t="s">
        <v>3087</v>
      </c>
      <c r="B2399" s="2" t="s">
        <v>342</v>
      </c>
      <c r="C2399" s="6">
        <v>46139.359375</v>
      </c>
      <c r="D2399" s="2">
        <v>-5.0</v>
      </c>
      <c r="E2399" s="2"/>
      <c r="H2399" s="2" t="s">
        <v>599</v>
      </c>
    </row>
    <row r="2400" ht="15.75" customHeight="1">
      <c r="A2400" s="2" t="s">
        <v>3088</v>
      </c>
      <c r="B2400" s="2" t="s">
        <v>396</v>
      </c>
      <c r="C2400" s="6">
        <v>46139.35983796296</v>
      </c>
      <c r="D2400" s="2">
        <v>-7.0</v>
      </c>
      <c r="E2400" s="2"/>
      <c r="H2400" s="2" t="s">
        <v>599</v>
      </c>
    </row>
    <row r="2401" ht="15.75" customHeight="1">
      <c r="A2401" s="2" t="s">
        <v>3089</v>
      </c>
      <c r="B2401" s="5" t="s">
        <v>134</v>
      </c>
      <c r="C2401" s="6">
        <v>46139.36033564815</v>
      </c>
      <c r="D2401" s="2">
        <v>-4.0</v>
      </c>
      <c r="E2401" s="2"/>
      <c r="H2401" s="2" t="s">
        <v>599</v>
      </c>
    </row>
    <row r="2402" ht="15.75" customHeight="1">
      <c r="A2402" s="5" t="s">
        <v>3090</v>
      </c>
      <c r="B2402" s="5" t="s">
        <v>142</v>
      </c>
      <c r="C2402" s="6">
        <v>46139.36078703704</v>
      </c>
      <c r="D2402" s="2">
        <v>-9.0</v>
      </c>
      <c r="E2402" s="2"/>
      <c r="H2402" s="2" t="s">
        <v>599</v>
      </c>
    </row>
    <row r="2403" ht="15.75" customHeight="1">
      <c r="A2403" s="2" t="s">
        <v>3091</v>
      </c>
      <c r="B2403" s="5" t="s">
        <v>192</v>
      </c>
      <c r="C2403" s="6">
        <v>46139.3627662037</v>
      </c>
      <c r="D2403" s="2">
        <v>-14.0</v>
      </c>
      <c r="E2403" s="2"/>
      <c r="H2403" s="2" t="s">
        <v>599</v>
      </c>
    </row>
    <row r="2404" ht="15.75" customHeight="1">
      <c r="A2404" s="2" t="s">
        <v>3092</v>
      </c>
      <c r="B2404" s="2" t="s">
        <v>405</v>
      </c>
      <c r="C2404" s="6">
        <v>46139.362858796296</v>
      </c>
      <c r="D2404" s="2">
        <v>-7.0</v>
      </c>
      <c r="E2404" s="2"/>
      <c r="H2404" s="2" t="s">
        <v>599</v>
      </c>
    </row>
    <row r="2405" ht="15.75" customHeight="1">
      <c r="A2405" s="2" t="s">
        <v>3093</v>
      </c>
      <c r="B2405" s="5" t="s">
        <v>214</v>
      </c>
      <c r="C2405" s="6">
        <v>46139.36380787037</v>
      </c>
      <c r="D2405" s="2">
        <v>-60.0</v>
      </c>
      <c r="E2405" s="2"/>
      <c r="H2405" s="2" t="s">
        <v>599</v>
      </c>
    </row>
    <row r="2406" ht="15.75" customHeight="1">
      <c r="A2406" s="2" t="s">
        <v>3094</v>
      </c>
      <c r="B2406" s="2" t="s">
        <v>411</v>
      </c>
      <c r="C2406" s="6">
        <v>46139.36445601852</v>
      </c>
      <c r="D2406" s="2">
        <v>2.0</v>
      </c>
      <c r="E2406" s="2"/>
      <c r="H2406" s="2" t="s">
        <v>599</v>
      </c>
    </row>
    <row r="2407" ht="15.75" customHeight="1">
      <c r="A2407" s="2" t="s">
        <v>3095</v>
      </c>
      <c r="B2407" s="2" t="s">
        <v>354</v>
      </c>
      <c r="C2407" s="6">
        <v>46139.36505787037</v>
      </c>
      <c r="D2407" s="2">
        <v>2.0</v>
      </c>
      <c r="E2407" s="2"/>
      <c r="H2407" s="2" t="s">
        <v>599</v>
      </c>
    </row>
    <row r="2408" ht="15.75" customHeight="1">
      <c r="A2408" s="2" t="s">
        <v>3096</v>
      </c>
      <c r="B2408" s="5" t="s">
        <v>192</v>
      </c>
      <c r="C2408" s="6">
        <v>46139.36524305555</v>
      </c>
      <c r="D2408" s="2">
        <v>1.0</v>
      </c>
      <c r="E2408" s="2"/>
      <c r="H2408" s="2" t="s">
        <v>599</v>
      </c>
    </row>
    <row r="2409" ht="15.75" customHeight="1">
      <c r="A2409" s="2" t="s">
        <v>3097</v>
      </c>
      <c r="B2409" s="5" t="s">
        <v>256</v>
      </c>
      <c r="C2409" s="6">
        <v>46139.72498842593</v>
      </c>
      <c r="D2409" s="2">
        <v>1.0</v>
      </c>
      <c r="E2409" s="2"/>
      <c r="H2409" s="2" t="s">
        <v>571</v>
      </c>
    </row>
    <row r="2410" ht="15.75" customHeight="1">
      <c r="A2410" s="2" t="s">
        <v>3098</v>
      </c>
      <c r="B2410" s="5" t="s">
        <v>217</v>
      </c>
      <c r="C2410" s="6">
        <v>46140.013032407405</v>
      </c>
      <c r="D2410" s="2">
        <v>180.0</v>
      </c>
      <c r="E2410" s="2" t="s">
        <v>3099</v>
      </c>
      <c r="H2410" s="2" t="s">
        <v>571</v>
      </c>
    </row>
    <row r="2411" ht="15.75" customHeight="1">
      <c r="A2411" s="2" t="s">
        <v>3100</v>
      </c>
      <c r="B2411" s="2" t="s">
        <v>271</v>
      </c>
      <c r="C2411" s="6">
        <v>46140.013078703705</v>
      </c>
      <c r="D2411" s="2">
        <v>180.0</v>
      </c>
      <c r="E2411" s="2" t="s">
        <v>3099</v>
      </c>
      <c r="H2411" s="2" t="s">
        <v>571</v>
      </c>
    </row>
    <row r="2412" ht="15.75" customHeight="1">
      <c r="A2412" s="2" t="s">
        <v>3101</v>
      </c>
      <c r="B2412" s="2" t="s">
        <v>419</v>
      </c>
      <c r="C2412" s="6">
        <v>46140.013125</v>
      </c>
      <c r="D2412" s="2">
        <v>75.0</v>
      </c>
      <c r="E2412" s="2" t="s">
        <v>3099</v>
      </c>
      <c r="H2412" s="2" t="s">
        <v>571</v>
      </c>
    </row>
    <row r="2413" ht="15.75" customHeight="1">
      <c r="A2413" s="2" t="s">
        <v>3102</v>
      </c>
      <c r="B2413" s="2" t="s">
        <v>280</v>
      </c>
      <c r="C2413" s="6">
        <v>46140.0131712963</v>
      </c>
      <c r="D2413" s="2">
        <v>15.0</v>
      </c>
      <c r="E2413" s="2" t="s">
        <v>3099</v>
      </c>
      <c r="H2413" s="2" t="s">
        <v>571</v>
      </c>
    </row>
    <row r="2414" ht="15.75" customHeight="1">
      <c r="A2414" s="2" t="s">
        <v>3103</v>
      </c>
      <c r="B2414" s="2" t="s">
        <v>396</v>
      </c>
      <c r="C2414" s="6">
        <v>46140.01329861111</v>
      </c>
      <c r="D2414" s="2">
        <v>24.0</v>
      </c>
      <c r="E2414" s="2" t="s">
        <v>3104</v>
      </c>
      <c r="H2414" s="2" t="s">
        <v>571</v>
      </c>
    </row>
    <row r="2415" ht="15.75" customHeight="1">
      <c r="A2415" s="2" t="s">
        <v>3105</v>
      </c>
      <c r="B2415" s="5" t="s">
        <v>192</v>
      </c>
      <c r="C2415" s="6">
        <v>46140.013344907406</v>
      </c>
      <c r="D2415" s="2">
        <v>96.0</v>
      </c>
      <c r="E2415" s="2" t="s">
        <v>3104</v>
      </c>
      <c r="H2415" s="2" t="s">
        <v>571</v>
      </c>
    </row>
    <row r="2416" ht="15.75" customHeight="1">
      <c r="A2416" s="2" t="s">
        <v>3106</v>
      </c>
      <c r="B2416" s="5" t="s">
        <v>186</v>
      </c>
      <c r="C2416" s="6">
        <v>46140.01337962963</v>
      </c>
      <c r="D2416" s="2">
        <v>30.0</v>
      </c>
      <c r="E2416" s="2" t="s">
        <v>3104</v>
      </c>
      <c r="H2416" s="2" t="s">
        <v>571</v>
      </c>
    </row>
    <row r="2417" ht="15.75" customHeight="1">
      <c r="A2417" s="2" t="s">
        <v>3107</v>
      </c>
      <c r="B2417" s="2" t="s">
        <v>378</v>
      </c>
      <c r="C2417" s="6">
        <v>46140.0134837963</v>
      </c>
      <c r="D2417" s="2">
        <v>48.0</v>
      </c>
      <c r="E2417" s="2" t="s">
        <v>3108</v>
      </c>
      <c r="H2417" s="2" t="s">
        <v>571</v>
      </c>
    </row>
    <row r="2418" ht="15.75" customHeight="1">
      <c r="A2418" s="2" t="s">
        <v>3109</v>
      </c>
      <c r="B2418" s="2" t="s">
        <v>372</v>
      </c>
      <c r="C2418" s="6">
        <v>46140.01351851852</v>
      </c>
      <c r="D2418" s="2">
        <v>48.0</v>
      </c>
      <c r="E2418" s="2" t="s">
        <v>3108</v>
      </c>
      <c r="H2418" s="2" t="s">
        <v>571</v>
      </c>
    </row>
    <row r="2419" ht="15.75" customHeight="1">
      <c r="A2419" s="2" t="s">
        <v>3110</v>
      </c>
      <c r="B2419" s="2" t="s">
        <v>414</v>
      </c>
      <c r="C2419" s="6">
        <v>46140.01357638889</v>
      </c>
      <c r="D2419" s="2">
        <v>24.0</v>
      </c>
      <c r="E2419" s="2" t="s">
        <v>3108</v>
      </c>
      <c r="H2419" s="2" t="s">
        <v>571</v>
      </c>
    </row>
    <row r="2420" ht="15.75" customHeight="1">
      <c r="A2420" s="2" t="s">
        <v>3111</v>
      </c>
      <c r="B2420" s="2" t="s">
        <v>280</v>
      </c>
      <c r="C2420" s="6">
        <v>46140.0137962963</v>
      </c>
      <c r="D2420" s="2">
        <v>-15.0</v>
      </c>
      <c r="E2420" s="2"/>
      <c r="H2420" s="2" t="s">
        <v>571</v>
      </c>
    </row>
    <row r="2421" ht="15.75" customHeight="1">
      <c r="A2421" s="2" t="s">
        <v>3112</v>
      </c>
      <c r="B2421" s="2" t="s">
        <v>408</v>
      </c>
      <c r="C2421" s="6">
        <v>46140.01395833334</v>
      </c>
      <c r="D2421" s="2">
        <v>-6.0</v>
      </c>
      <c r="E2421" s="2"/>
      <c r="H2421" s="2" t="s">
        <v>571</v>
      </c>
    </row>
    <row r="2422" ht="15.75" customHeight="1">
      <c r="A2422" s="2" t="s">
        <v>3113</v>
      </c>
      <c r="B2422" s="2" t="s">
        <v>327</v>
      </c>
      <c r="C2422" s="6">
        <v>46140.014131944445</v>
      </c>
      <c r="D2422" s="2">
        <v>-10.0</v>
      </c>
      <c r="E2422" s="2"/>
      <c r="H2422" s="2" t="s">
        <v>571</v>
      </c>
    </row>
    <row r="2423" ht="15.75" customHeight="1">
      <c r="A2423" s="2" t="s">
        <v>3114</v>
      </c>
      <c r="B2423" s="5" t="s">
        <v>217</v>
      </c>
      <c r="C2423" s="6">
        <v>46140.01424768518</v>
      </c>
      <c r="D2423" s="2">
        <v>-7.0</v>
      </c>
      <c r="E2423" s="2"/>
      <c r="H2423" s="2" t="s">
        <v>571</v>
      </c>
    </row>
    <row r="2424" ht="15.75" customHeight="1">
      <c r="A2424" s="2" t="s">
        <v>3115</v>
      </c>
      <c r="B2424" s="2" t="s">
        <v>271</v>
      </c>
      <c r="C2424" s="6">
        <v>46140.01449074074</v>
      </c>
      <c r="D2424" s="2">
        <v>-20.0</v>
      </c>
      <c r="E2424" s="2"/>
      <c r="H2424" s="2" t="s">
        <v>571</v>
      </c>
    </row>
    <row r="2425" ht="15.75" customHeight="1">
      <c r="A2425" s="2" t="s">
        <v>3116</v>
      </c>
      <c r="B2425" s="2" t="s">
        <v>419</v>
      </c>
      <c r="C2425" s="6">
        <v>46140.014652777776</v>
      </c>
      <c r="D2425" s="2">
        <v>-16.0</v>
      </c>
      <c r="E2425" s="2"/>
      <c r="H2425" s="2" t="s">
        <v>571</v>
      </c>
    </row>
    <row r="2426" ht="15.75" customHeight="1">
      <c r="A2426" s="2" t="s">
        <v>3117</v>
      </c>
      <c r="B2426" s="5" t="s">
        <v>131</v>
      </c>
      <c r="C2426" s="6">
        <v>46140.01484953704</v>
      </c>
      <c r="D2426" s="2">
        <v>-7.0</v>
      </c>
      <c r="E2426" s="2"/>
      <c r="H2426" s="2" t="s">
        <v>571</v>
      </c>
    </row>
    <row r="2427" ht="15.75" customHeight="1">
      <c r="A2427" s="2" t="s">
        <v>3118</v>
      </c>
      <c r="B2427" s="5" t="s">
        <v>148</v>
      </c>
      <c r="C2427" s="6">
        <v>46140.0150462963</v>
      </c>
      <c r="D2427" s="2">
        <v>-5.0</v>
      </c>
      <c r="E2427" s="2"/>
      <c r="H2427" s="2" t="s">
        <v>571</v>
      </c>
    </row>
    <row r="2428" ht="15.75" customHeight="1">
      <c r="A2428" s="2" t="s">
        <v>3119</v>
      </c>
      <c r="B2428" s="5" t="s">
        <v>171</v>
      </c>
      <c r="C2428" s="6">
        <v>46140.01521990741</v>
      </c>
      <c r="D2428" s="2">
        <v>-5.0</v>
      </c>
      <c r="E2428" s="2"/>
      <c r="H2428" s="2" t="s">
        <v>571</v>
      </c>
    </row>
    <row r="2429" ht="15.75" customHeight="1">
      <c r="A2429" s="2" t="s">
        <v>3120</v>
      </c>
      <c r="B2429" s="2" t="s">
        <v>372</v>
      </c>
      <c r="C2429" s="6">
        <v>46140.01537037037</v>
      </c>
      <c r="D2429" s="2">
        <v>-19.0</v>
      </c>
      <c r="E2429" s="2"/>
      <c r="H2429" s="2" t="s">
        <v>571</v>
      </c>
    </row>
    <row r="2430" ht="15.75" customHeight="1">
      <c r="A2430" s="2" t="s">
        <v>3121</v>
      </c>
      <c r="B2430" s="2" t="s">
        <v>384</v>
      </c>
      <c r="C2430" s="6">
        <v>46140.015543981484</v>
      </c>
      <c r="D2430" s="2">
        <v>-10.0</v>
      </c>
      <c r="E2430" s="2"/>
      <c r="H2430" s="2" t="s">
        <v>571</v>
      </c>
    </row>
    <row r="2431" ht="15.75" customHeight="1">
      <c r="A2431" s="2" t="s">
        <v>3122</v>
      </c>
      <c r="B2431" s="2" t="s">
        <v>414</v>
      </c>
      <c r="C2431" s="6">
        <v>46140.01565972222</v>
      </c>
      <c r="D2431" s="2">
        <v>-20.0</v>
      </c>
      <c r="E2431" s="2"/>
      <c r="H2431" s="2" t="s">
        <v>571</v>
      </c>
    </row>
    <row r="2432" ht="15.75" customHeight="1">
      <c r="A2432" s="2" t="s">
        <v>3123</v>
      </c>
      <c r="B2432" s="2" t="s">
        <v>396</v>
      </c>
      <c r="C2432" s="6">
        <v>46140.016076388885</v>
      </c>
      <c r="D2432" s="2">
        <v>-21.0</v>
      </c>
      <c r="E2432" s="2"/>
      <c r="H2432" s="2" t="s">
        <v>571</v>
      </c>
    </row>
    <row r="2433" ht="15.75" customHeight="1">
      <c r="A2433" s="2" t="s">
        <v>3124</v>
      </c>
      <c r="B2433" s="2" t="s">
        <v>405</v>
      </c>
      <c r="C2433" s="6">
        <v>46140.01626157408</v>
      </c>
      <c r="D2433" s="2">
        <v>-4.0</v>
      </c>
      <c r="E2433" s="2"/>
      <c r="H2433" s="2" t="s">
        <v>571</v>
      </c>
    </row>
    <row r="2434" ht="15.75" customHeight="1">
      <c r="A2434" s="2" t="s">
        <v>3125</v>
      </c>
      <c r="B2434" s="5" t="s">
        <v>134</v>
      </c>
      <c r="C2434" s="6">
        <v>46140.01640046296</v>
      </c>
      <c r="D2434" s="2">
        <v>-26.0</v>
      </c>
      <c r="E2434" s="2"/>
      <c r="H2434" s="2" t="s">
        <v>571</v>
      </c>
    </row>
    <row r="2435" ht="15.75" customHeight="1">
      <c r="A2435" s="2" t="s">
        <v>3126</v>
      </c>
      <c r="B2435" s="5" t="s">
        <v>59</v>
      </c>
      <c r="C2435" s="6">
        <v>46140.01658564815</v>
      </c>
      <c r="D2435" s="2">
        <v>-5.0</v>
      </c>
      <c r="E2435" s="2"/>
      <c r="H2435" s="2" t="s">
        <v>571</v>
      </c>
    </row>
    <row r="2436" ht="15.75" customHeight="1">
      <c r="A2436" s="2" t="s">
        <v>3127</v>
      </c>
      <c r="B2436" s="5" t="s">
        <v>214</v>
      </c>
      <c r="C2436" s="6">
        <v>46140.016747685186</v>
      </c>
      <c r="D2436" s="2">
        <v>-192.0</v>
      </c>
      <c r="E2436" s="2"/>
      <c r="H2436" s="2" t="s">
        <v>571</v>
      </c>
    </row>
    <row r="2437" ht="15.75" customHeight="1">
      <c r="A2437" s="2" t="s">
        <v>3128</v>
      </c>
      <c r="B2437" s="5" t="s">
        <v>192</v>
      </c>
      <c r="C2437" s="6">
        <v>46140.016851851855</v>
      </c>
      <c r="D2437" s="2">
        <v>-4.0</v>
      </c>
      <c r="E2437" s="2"/>
      <c r="H2437" s="2" t="s">
        <v>571</v>
      </c>
    </row>
    <row r="2438" ht="15.75" customHeight="1">
      <c r="A2438" s="2" t="s">
        <v>3129</v>
      </c>
      <c r="B2438" s="2" t="s">
        <v>295</v>
      </c>
      <c r="C2438" s="6">
        <v>46140.01696759259</v>
      </c>
      <c r="D2438" s="2">
        <v>-24.0</v>
      </c>
      <c r="E2438" s="2"/>
      <c r="H2438" s="2" t="s">
        <v>571</v>
      </c>
    </row>
    <row r="2439" ht="15.75" customHeight="1">
      <c r="A2439" s="2" t="s">
        <v>3130</v>
      </c>
      <c r="B2439" s="2" t="s">
        <v>354</v>
      </c>
      <c r="C2439" s="6">
        <v>46140.01709490741</v>
      </c>
      <c r="D2439" s="2">
        <v>-2.0</v>
      </c>
      <c r="E2439" s="2"/>
      <c r="H2439" s="2" t="s">
        <v>571</v>
      </c>
    </row>
    <row r="2440" ht="15.75" customHeight="1">
      <c r="A2440" s="2" t="s">
        <v>3131</v>
      </c>
      <c r="B2440" s="5" t="s">
        <v>186</v>
      </c>
      <c r="C2440" s="6">
        <v>46140.01733796296</v>
      </c>
      <c r="D2440" s="2">
        <v>-5.0</v>
      </c>
      <c r="E2440" s="2"/>
      <c r="H2440" s="2" t="s">
        <v>571</v>
      </c>
    </row>
    <row r="2441" ht="15.75" customHeight="1">
      <c r="A2441" s="2" t="s">
        <v>3132</v>
      </c>
      <c r="B2441" s="5" t="s">
        <v>214</v>
      </c>
      <c r="C2441" s="6">
        <v>46141.61962962963</v>
      </c>
      <c r="D2441" s="2">
        <v>1212.0</v>
      </c>
      <c r="E2441" s="2" t="s">
        <v>3133</v>
      </c>
      <c r="H2441" s="2" t="s">
        <v>571</v>
      </c>
    </row>
    <row r="2442" ht="15.75" customHeight="1">
      <c r="A2442" s="2" t="s">
        <v>3134</v>
      </c>
      <c r="B2442" s="5" t="s">
        <v>217</v>
      </c>
      <c r="C2442" s="6">
        <v>46141.74961805555</v>
      </c>
      <c r="D2442" s="2">
        <v>-40.0</v>
      </c>
      <c r="E2442" s="2"/>
      <c r="H2442" s="2" t="s">
        <v>571</v>
      </c>
    </row>
    <row r="2443" ht="15.75" customHeight="1">
      <c r="A2443" s="2" t="s">
        <v>3135</v>
      </c>
      <c r="B2443" s="2" t="s">
        <v>419</v>
      </c>
      <c r="C2443" s="6">
        <v>46141.749918981484</v>
      </c>
      <c r="D2443" s="2">
        <v>-8.0</v>
      </c>
      <c r="E2443" s="2"/>
      <c r="H2443" s="2" t="s">
        <v>571</v>
      </c>
    </row>
    <row r="2444" ht="15.75" customHeight="1">
      <c r="A2444" s="2" t="s">
        <v>3136</v>
      </c>
      <c r="B2444" s="2" t="s">
        <v>271</v>
      </c>
      <c r="C2444" s="6">
        <v>46141.750555555554</v>
      </c>
      <c r="D2444" s="2">
        <v>-40.0</v>
      </c>
      <c r="E2444" s="2"/>
      <c r="H2444" s="2" t="s">
        <v>571</v>
      </c>
    </row>
    <row r="2445" ht="15.75" customHeight="1">
      <c r="A2445" s="2" t="s">
        <v>3137</v>
      </c>
      <c r="B2445" s="5" t="s">
        <v>142</v>
      </c>
      <c r="C2445" s="6">
        <v>46141.750925925924</v>
      </c>
      <c r="D2445" s="2">
        <v>-18.0</v>
      </c>
      <c r="E2445" s="2"/>
      <c r="H2445" s="2" t="s">
        <v>571</v>
      </c>
    </row>
    <row r="2446" ht="15.75" customHeight="1">
      <c r="A2446" s="2" t="s">
        <v>3138</v>
      </c>
      <c r="B2446" s="2" t="s">
        <v>354</v>
      </c>
      <c r="C2446" s="6">
        <v>46141.75130787037</v>
      </c>
      <c r="D2446" s="2">
        <v>-9.0</v>
      </c>
      <c r="E2446" s="2"/>
      <c r="H2446" s="2" t="s">
        <v>571</v>
      </c>
    </row>
    <row r="2447" ht="15.75" customHeight="1">
      <c r="A2447" s="2" t="s">
        <v>3139</v>
      </c>
      <c r="B2447" s="5" t="s">
        <v>192</v>
      </c>
      <c r="C2447" s="6">
        <v>46141.751863425925</v>
      </c>
      <c r="D2447" s="2">
        <v>-10.0</v>
      </c>
      <c r="E2447" s="2"/>
      <c r="H2447" s="2" t="s">
        <v>571</v>
      </c>
    </row>
    <row r="2448" ht="15.75" customHeight="1">
      <c r="A2448" s="2" t="s">
        <v>3140</v>
      </c>
      <c r="B2448" s="2" t="s">
        <v>405</v>
      </c>
      <c r="C2448" s="6">
        <v>46141.75215277778</v>
      </c>
      <c r="D2448" s="2">
        <v>-11.0</v>
      </c>
      <c r="E2448" s="2"/>
      <c r="H2448" s="2" t="s">
        <v>571</v>
      </c>
    </row>
    <row r="2449" ht="15.75" customHeight="1">
      <c r="A2449" s="2" t="s">
        <v>3141</v>
      </c>
      <c r="B2449" s="2" t="s">
        <v>327</v>
      </c>
      <c r="C2449" s="6">
        <v>46141.75277777778</v>
      </c>
      <c r="D2449" s="2">
        <v>-18.0</v>
      </c>
      <c r="E2449" s="2"/>
      <c r="H2449" s="2" t="s">
        <v>571</v>
      </c>
    </row>
    <row r="2450" ht="15.75" customHeight="1">
      <c r="A2450" s="2" t="s">
        <v>3142</v>
      </c>
      <c r="B2450" s="2" t="s">
        <v>342</v>
      </c>
      <c r="C2450" s="6">
        <v>46141.75288194444</v>
      </c>
      <c r="D2450" s="2">
        <v>-16.0</v>
      </c>
      <c r="E2450" s="2"/>
      <c r="H2450" s="2" t="s">
        <v>571</v>
      </c>
    </row>
    <row r="2451" ht="15.75" customHeight="1">
      <c r="A2451" s="2" t="s">
        <v>3143</v>
      </c>
      <c r="B2451" s="2" t="s">
        <v>372</v>
      </c>
      <c r="C2451" s="6">
        <v>46141.753217592595</v>
      </c>
      <c r="D2451" s="2">
        <v>-11.0</v>
      </c>
      <c r="E2451" s="2"/>
      <c r="H2451" s="2" t="s">
        <v>571</v>
      </c>
    </row>
    <row r="2452" ht="15.75" customHeight="1">
      <c r="A2452" s="2" t="s">
        <v>3144</v>
      </c>
      <c r="B2452" s="2" t="s">
        <v>378</v>
      </c>
      <c r="C2452" s="6">
        <v>46141.75386574074</v>
      </c>
      <c r="D2452" s="2">
        <v>-2.0</v>
      </c>
      <c r="E2452" s="2"/>
      <c r="H2452" s="2" t="s">
        <v>571</v>
      </c>
    </row>
    <row r="2453" ht="15.75" customHeight="1">
      <c r="A2453" s="2" t="s">
        <v>3145</v>
      </c>
      <c r="B2453" s="2" t="s">
        <v>372</v>
      </c>
      <c r="C2453" s="6">
        <v>46141.75476851852</v>
      </c>
      <c r="D2453" s="2">
        <v>-12.0</v>
      </c>
      <c r="E2453" s="2"/>
      <c r="H2453" s="2" t="s">
        <v>571</v>
      </c>
    </row>
    <row r="2454" ht="15.75" customHeight="1">
      <c r="A2454" s="2" t="s">
        <v>3146</v>
      </c>
      <c r="B2454" s="2" t="s">
        <v>384</v>
      </c>
      <c r="C2454" s="6">
        <v>46141.75486111111</v>
      </c>
      <c r="D2454" s="2">
        <v>-15.0</v>
      </c>
      <c r="E2454" s="2"/>
      <c r="H2454" s="2" t="s">
        <v>571</v>
      </c>
    </row>
    <row r="2455" ht="15.75" customHeight="1">
      <c r="A2455" s="2" t="s">
        <v>3147</v>
      </c>
      <c r="B2455" s="5" t="s">
        <v>148</v>
      </c>
      <c r="C2455" s="6">
        <v>46141.75497685185</v>
      </c>
      <c r="D2455" s="2">
        <v>-20.0</v>
      </c>
      <c r="E2455" s="2"/>
      <c r="H2455" s="2" t="s">
        <v>571</v>
      </c>
    </row>
    <row r="2456" ht="15.75" customHeight="1">
      <c r="A2456" s="2" t="s">
        <v>3148</v>
      </c>
      <c r="B2456" s="5" t="s">
        <v>186</v>
      </c>
      <c r="C2456" s="6">
        <v>46141.7553587963</v>
      </c>
      <c r="D2456" s="2">
        <v>-10.0</v>
      </c>
      <c r="E2456" s="2"/>
      <c r="H2456" s="2" t="s">
        <v>571</v>
      </c>
    </row>
    <row r="2457" ht="15.75" customHeight="1">
      <c r="A2457" s="2" t="s">
        <v>3149</v>
      </c>
      <c r="B2457" s="5" t="s">
        <v>59</v>
      </c>
      <c r="C2457" s="6">
        <v>46141.75548611111</v>
      </c>
      <c r="D2457" s="2">
        <v>-27.0</v>
      </c>
      <c r="E2457" s="2"/>
      <c r="H2457" s="2" t="s">
        <v>571</v>
      </c>
    </row>
    <row r="2458" ht="15.75" customHeight="1">
      <c r="A2458" s="2" t="s">
        <v>3150</v>
      </c>
      <c r="B2458" s="5" t="s">
        <v>134</v>
      </c>
      <c r="C2458" s="6">
        <v>46141.75581018518</v>
      </c>
      <c r="D2458" s="2">
        <v>-43.0</v>
      </c>
      <c r="E2458" s="2"/>
      <c r="H2458" s="2" t="s">
        <v>571</v>
      </c>
    </row>
    <row r="2459" ht="15.75" customHeight="1">
      <c r="A2459" s="2" t="s">
        <v>3151</v>
      </c>
      <c r="B2459" s="2" t="s">
        <v>295</v>
      </c>
      <c r="C2459" s="6">
        <v>46141.75616898148</v>
      </c>
      <c r="D2459" s="2">
        <v>-3.0</v>
      </c>
      <c r="E2459" s="2"/>
      <c r="H2459" s="2" t="s">
        <v>571</v>
      </c>
    </row>
    <row r="2460" ht="15.75" customHeight="1">
      <c r="A2460" s="2" t="s">
        <v>3152</v>
      </c>
      <c r="B2460" s="2" t="s">
        <v>396</v>
      </c>
      <c r="C2460" s="6">
        <v>46142.11684027778</v>
      </c>
      <c r="D2460" s="2">
        <v>48.0</v>
      </c>
      <c r="E2460" s="2" t="s">
        <v>3153</v>
      </c>
      <c r="H2460" s="2" t="s">
        <v>571</v>
      </c>
    </row>
    <row r="2461" ht="15.75" customHeight="1">
      <c r="A2461" s="2" t="s">
        <v>3154</v>
      </c>
      <c r="B2461" s="5" t="s">
        <v>157</v>
      </c>
      <c r="C2461" s="6">
        <v>46142.116875</v>
      </c>
      <c r="D2461" s="2">
        <v>20.0</v>
      </c>
      <c r="E2461" s="2" t="s">
        <v>3153</v>
      </c>
      <c r="H2461" s="2" t="s">
        <v>571</v>
      </c>
    </row>
    <row r="2462" ht="15.75" customHeight="1">
      <c r="A2462" s="2" t="s">
        <v>3155</v>
      </c>
      <c r="B2462" s="5" t="s">
        <v>148</v>
      </c>
      <c r="C2462" s="6">
        <v>46142.11693287037</v>
      </c>
      <c r="D2462" s="2">
        <v>75.0</v>
      </c>
      <c r="E2462" s="2" t="s">
        <v>3153</v>
      </c>
      <c r="H2462" s="2" t="s">
        <v>571</v>
      </c>
    </row>
    <row r="2463" ht="15.75" customHeight="1">
      <c r="A2463" s="2" t="s">
        <v>3156</v>
      </c>
      <c r="B2463" s="5" t="s">
        <v>131</v>
      </c>
      <c r="C2463" s="6">
        <v>46142.11697916667</v>
      </c>
      <c r="D2463" s="2">
        <v>24.0</v>
      </c>
      <c r="E2463" s="2" t="s">
        <v>3153</v>
      </c>
      <c r="H2463" s="2" t="s">
        <v>571</v>
      </c>
    </row>
    <row r="2464" ht="15.75" customHeight="1">
      <c r="A2464" s="2" t="s">
        <v>3157</v>
      </c>
      <c r="B2464" s="5" t="s">
        <v>134</v>
      </c>
      <c r="C2464" s="6">
        <v>46142.11703703704</v>
      </c>
      <c r="D2464" s="2">
        <v>54.0</v>
      </c>
      <c r="E2464" s="2" t="s">
        <v>3153</v>
      </c>
      <c r="H2464" s="2" t="s">
        <v>571</v>
      </c>
    </row>
    <row r="2465" ht="15.75" customHeight="1">
      <c r="A2465" s="2" t="s">
        <v>3158</v>
      </c>
      <c r="B2465" s="2" t="s">
        <v>327</v>
      </c>
      <c r="C2465" s="6">
        <v>46142.116006944445</v>
      </c>
      <c r="D2465" s="2">
        <v>-21.0</v>
      </c>
      <c r="E2465" s="2"/>
      <c r="H2465" s="2" t="s">
        <v>571</v>
      </c>
    </row>
    <row r="2466" ht="15.75" customHeight="1">
      <c r="A2466" s="2" t="s">
        <v>3159</v>
      </c>
      <c r="B2466" s="5" t="s">
        <v>217</v>
      </c>
      <c r="C2466" s="6">
        <v>46142.11615740741</v>
      </c>
      <c r="D2466" s="2">
        <v>-8.0</v>
      </c>
      <c r="E2466" s="2"/>
      <c r="H2466" s="2" t="s">
        <v>571</v>
      </c>
    </row>
    <row r="2467" ht="15.75" customHeight="1">
      <c r="A2467" s="2" t="s">
        <v>3160</v>
      </c>
      <c r="B2467" s="2" t="s">
        <v>271</v>
      </c>
      <c r="C2467" s="6">
        <v>46142.11634259259</v>
      </c>
      <c r="D2467" s="2">
        <v>-12.0</v>
      </c>
      <c r="E2467" s="2"/>
      <c r="H2467" s="2" t="s">
        <v>571</v>
      </c>
    </row>
    <row r="2468" ht="15.75" customHeight="1">
      <c r="A2468" s="2" t="s">
        <v>3161</v>
      </c>
      <c r="B2468" s="2" t="s">
        <v>419</v>
      </c>
      <c r="C2468" s="6">
        <v>46142.116435185184</v>
      </c>
      <c r="D2468" s="2">
        <v>-5.0</v>
      </c>
      <c r="E2468" s="2"/>
      <c r="H2468" s="2" t="s">
        <v>571</v>
      </c>
    </row>
    <row r="2469" ht="15.75" customHeight="1">
      <c r="A2469" s="2" t="s">
        <v>3162</v>
      </c>
      <c r="B2469" s="5" t="s">
        <v>131</v>
      </c>
      <c r="C2469" s="6">
        <v>46142.116574074076</v>
      </c>
      <c r="D2469" s="2">
        <v>-4.0</v>
      </c>
      <c r="E2469" s="2"/>
      <c r="H2469" s="2" t="s">
        <v>571</v>
      </c>
    </row>
    <row r="2470" ht="15.75" customHeight="1">
      <c r="A2470" s="2" t="s">
        <v>3163</v>
      </c>
      <c r="B2470" s="5" t="s">
        <v>148</v>
      </c>
      <c r="C2470" s="6">
        <v>46142.11677083333</v>
      </c>
      <c r="D2470" s="2">
        <v>-30.0</v>
      </c>
      <c r="E2470" s="2"/>
      <c r="H2470" s="2" t="s">
        <v>571</v>
      </c>
    </row>
    <row r="2471" ht="15.75" customHeight="1">
      <c r="A2471" s="2" t="s">
        <v>3164</v>
      </c>
      <c r="B2471" s="5" t="s">
        <v>157</v>
      </c>
      <c r="C2471" s="6">
        <v>46142.116944444446</v>
      </c>
      <c r="D2471" s="2">
        <v>-15.0</v>
      </c>
      <c r="E2471" s="2"/>
      <c r="H2471" s="2" t="s">
        <v>571</v>
      </c>
    </row>
    <row r="2472" ht="15.75" customHeight="1">
      <c r="A2472" s="2" t="s">
        <v>3165</v>
      </c>
      <c r="B2472" s="2" t="s">
        <v>396</v>
      </c>
      <c r="C2472" s="6">
        <v>46142.117106481484</v>
      </c>
      <c r="D2472" s="2">
        <v>-14.0</v>
      </c>
      <c r="E2472" s="2"/>
      <c r="H2472" s="2" t="s">
        <v>571</v>
      </c>
    </row>
    <row r="2473" ht="15.75" customHeight="1">
      <c r="A2473" s="2" t="s">
        <v>3166</v>
      </c>
      <c r="B2473" s="5" t="s">
        <v>142</v>
      </c>
      <c r="C2473" s="6">
        <v>46142.11733796296</v>
      </c>
      <c r="D2473" s="2">
        <v>-3.0</v>
      </c>
      <c r="E2473" s="2"/>
      <c r="H2473" s="2" t="s">
        <v>571</v>
      </c>
    </row>
    <row r="2474" ht="15.75" customHeight="1">
      <c r="A2474" s="2" t="s">
        <v>3167</v>
      </c>
      <c r="B2474" s="2" t="s">
        <v>405</v>
      </c>
      <c r="C2474" s="6">
        <v>46142.11755787037</v>
      </c>
      <c r="D2474" s="2">
        <v>-12.0</v>
      </c>
      <c r="E2474" s="2"/>
      <c r="H2474" s="2" t="s">
        <v>571</v>
      </c>
    </row>
    <row r="2475" ht="15.75" customHeight="1">
      <c r="A2475" s="2" t="s">
        <v>3168</v>
      </c>
      <c r="B2475" s="5" t="s">
        <v>134</v>
      </c>
      <c r="C2475" s="6">
        <v>46142.1178125</v>
      </c>
      <c r="D2475" s="2">
        <v>-11.0</v>
      </c>
      <c r="E2475" s="2"/>
      <c r="H2475" s="2" t="s">
        <v>571</v>
      </c>
    </row>
    <row r="2476" ht="15.75" customHeight="1">
      <c r="A2476" s="2" t="s">
        <v>3169</v>
      </c>
      <c r="B2476" s="5" t="s">
        <v>59</v>
      </c>
      <c r="C2476" s="6">
        <v>46142.11791666667</v>
      </c>
      <c r="D2476" s="2">
        <v>-10.0</v>
      </c>
      <c r="E2476" s="2"/>
      <c r="H2476" s="2" t="s">
        <v>571</v>
      </c>
    </row>
    <row r="2477" ht="15.75" customHeight="1">
      <c r="A2477" s="2" t="s">
        <v>3170</v>
      </c>
      <c r="B2477" s="5" t="s">
        <v>214</v>
      </c>
      <c r="C2477" s="6">
        <v>46142.11818287037</v>
      </c>
      <c r="D2477" s="2">
        <v>-84.0</v>
      </c>
      <c r="E2477" s="2"/>
      <c r="H2477" s="2" t="s">
        <v>571</v>
      </c>
    </row>
    <row r="2478" ht="15.75" customHeight="1">
      <c r="A2478" s="2" t="s">
        <v>3171</v>
      </c>
      <c r="B2478" s="5" t="s">
        <v>214</v>
      </c>
      <c r="C2478" s="6">
        <v>46142.11850694445</v>
      </c>
      <c r="D2478" s="2">
        <v>-120.0</v>
      </c>
      <c r="E2478" s="2"/>
      <c r="H2478" s="2" t="s">
        <v>571</v>
      </c>
    </row>
    <row r="2479" ht="15.75" customHeight="1">
      <c r="A2479" s="2" t="s">
        <v>3172</v>
      </c>
      <c r="B2479" s="5" t="s">
        <v>192</v>
      </c>
      <c r="C2479" s="6">
        <v>46142.11875</v>
      </c>
      <c r="D2479" s="2">
        <v>-11.0</v>
      </c>
      <c r="E2479" s="2"/>
      <c r="H2479" s="2" t="s">
        <v>571</v>
      </c>
    </row>
    <row r="2480" ht="15.75" customHeight="1">
      <c r="A2480" s="2" t="s">
        <v>3173</v>
      </c>
      <c r="B2480" s="2" t="s">
        <v>354</v>
      </c>
      <c r="C2480" s="6">
        <v>46142.11887731482</v>
      </c>
      <c r="D2480" s="2">
        <v>-5.0</v>
      </c>
      <c r="E2480" s="2"/>
      <c r="H2480" s="2" t="s">
        <v>571</v>
      </c>
    </row>
    <row r="2481" ht="15.75" customHeight="1">
      <c r="A2481" s="2" t="s">
        <v>3174</v>
      </c>
      <c r="B2481" s="2" t="s">
        <v>360</v>
      </c>
      <c r="C2481" s="6">
        <v>46142.119618055556</v>
      </c>
      <c r="D2481" s="2">
        <v>-16.0</v>
      </c>
      <c r="E2481" s="2"/>
      <c r="H2481" s="2" t="s">
        <v>571</v>
      </c>
    </row>
    <row r="2482" ht="15.75" customHeight="1">
      <c r="A2482" s="2" t="s">
        <v>3175</v>
      </c>
      <c r="B2482" s="2" t="s">
        <v>265</v>
      </c>
      <c r="C2482" s="6">
        <v>46142.119722222225</v>
      </c>
      <c r="D2482" s="2">
        <v>-40.0</v>
      </c>
      <c r="E2482" s="2"/>
      <c r="H2482" s="2" t="s">
        <v>571</v>
      </c>
    </row>
    <row r="2483" ht="15.75" customHeight="1">
      <c r="A2483" s="2" t="s">
        <v>3176</v>
      </c>
      <c r="B2483" s="5" t="s">
        <v>165</v>
      </c>
      <c r="C2483" s="6">
        <v>46142.11986111111</v>
      </c>
      <c r="D2483" s="2">
        <v>-6.0</v>
      </c>
      <c r="E2483" s="2"/>
      <c r="H2483" s="2" t="s">
        <v>571</v>
      </c>
    </row>
    <row r="2484" ht="15.75" customHeight="1">
      <c r="A2484" s="2" t="s">
        <v>3177</v>
      </c>
      <c r="B2484" s="5" t="s">
        <v>214</v>
      </c>
      <c r="C2484" s="6">
        <v>46143.11792824074</v>
      </c>
      <c r="D2484" s="2">
        <v>-120.0</v>
      </c>
      <c r="E2484" s="2"/>
      <c r="H2484" s="2" t="s">
        <v>571</v>
      </c>
    </row>
    <row r="2485" ht="15.75" customHeight="1">
      <c r="A2485" s="2" t="s">
        <v>3178</v>
      </c>
      <c r="B2485" s="5" t="s">
        <v>142</v>
      </c>
      <c r="C2485" s="6">
        <v>46143.118159722224</v>
      </c>
      <c r="D2485" s="2">
        <v>-20.0</v>
      </c>
      <c r="E2485" s="2"/>
      <c r="H2485" s="2" t="s">
        <v>571</v>
      </c>
    </row>
    <row r="2486" ht="15.75" customHeight="1">
      <c r="A2486" s="2" t="s">
        <v>3179</v>
      </c>
      <c r="B2486" s="2" t="s">
        <v>405</v>
      </c>
      <c r="C2486" s="6">
        <v>46143.118414351855</v>
      </c>
      <c r="D2486" s="2">
        <v>-7.0</v>
      </c>
      <c r="E2486" s="2"/>
      <c r="H2486" s="2" t="s">
        <v>571</v>
      </c>
    </row>
    <row r="2487" ht="15.75" customHeight="1">
      <c r="A2487" s="2" t="s">
        <v>3180</v>
      </c>
      <c r="B2487" s="5" t="s">
        <v>192</v>
      </c>
      <c r="C2487" s="6">
        <v>46143.11865740741</v>
      </c>
      <c r="D2487" s="2">
        <v>-33.0</v>
      </c>
      <c r="E2487" s="2"/>
      <c r="H2487" s="2" t="s">
        <v>571</v>
      </c>
    </row>
    <row r="2488" ht="15.75" customHeight="1">
      <c r="A2488" s="2" t="s">
        <v>3181</v>
      </c>
      <c r="B2488" s="5" t="s">
        <v>134</v>
      </c>
      <c r="C2488" s="6">
        <v>46143.11888888889</v>
      </c>
      <c r="D2488" s="2">
        <v>-3.0</v>
      </c>
      <c r="E2488" s="2"/>
      <c r="H2488" s="2" t="s">
        <v>571</v>
      </c>
    </row>
    <row r="2489" ht="15.75" customHeight="1">
      <c r="A2489" s="2" t="s">
        <v>3182</v>
      </c>
      <c r="B2489" s="2" t="s">
        <v>396</v>
      </c>
      <c r="C2489" s="6">
        <v>46143.119097222225</v>
      </c>
      <c r="D2489" s="2">
        <v>-14.0</v>
      </c>
      <c r="E2489" s="2"/>
      <c r="H2489" s="2" t="s">
        <v>571</v>
      </c>
    </row>
    <row r="2490" ht="15.75" customHeight="1">
      <c r="A2490" s="2" t="s">
        <v>3183</v>
      </c>
      <c r="B2490" s="2" t="s">
        <v>295</v>
      </c>
      <c r="C2490" s="6">
        <v>46143.11934027778</v>
      </c>
      <c r="D2490" s="2">
        <v>-45.0</v>
      </c>
      <c r="E2490" s="2"/>
      <c r="H2490" s="2" t="s">
        <v>571</v>
      </c>
    </row>
    <row r="2491" ht="15.75" customHeight="1">
      <c r="A2491" s="2" t="s">
        <v>3184</v>
      </c>
      <c r="B2491" s="5" t="s">
        <v>148</v>
      </c>
      <c r="C2491" s="6">
        <v>46143.11954861111</v>
      </c>
      <c r="D2491" s="2">
        <v>-20.0</v>
      </c>
      <c r="E2491" s="2"/>
      <c r="H2491" s="2" t="s">
        <v>571</v>
      </c>
    </row>
    <row r="2492" ht="15.75" customHeight="1">
      <c r="A2492" s="2" t="s">
        <v>3185</v>
      </c>
      <c r="B2492" s="2" t="s">
        <v>378</v>
      </c>
      <c r="C2492" s="6">
        <v>46143.119780092595</v>
      </c>
      <c r="D2492" s="2">
        <v>-16.0</v>
      </c>
      <c r="E2492" s="2"/>
      <c r="H2492" s="2" t="s">
        <v>571</v>
      </c>
    </row>
    <row r="2493" ht="15.75" customHeight="1">
      <c r="A2493" s="2" t="s">
        <v>3186</v>
      </c>
      <c r="B2493" s="2" t="s">
        <v>333</v>
      </c>
      <c r="C2493" s="6">
        <v>46143.11988425926</v>
      </c>
      <c r="D2493" s="2">
        <v>-14.0</v>
      </c>
      <c r="E2493" s="2"/>
      <c r="H2493" s="2" t="s">
        <v>571</v>
      </c>
    </row>
    <row r="2494" ht="15.75" customHeight="1">
      <c r="A2494" s="2" t="s">
        <v>3187</v>
      </c>
      <c r="B2494" s="5" t="s">
        <v>217</v>
      </c>
      <c r="C2494" s="6">
        <v>46143.12012731482</v>
      </c>
      <c r="D2494" s="2">
        <v>-43.0</v>
      </c>
      <c r="E2494" s="2"/>
      <c r="H2494" s="2" t="s">
        <v>571</v>
      </c>
    </row>
    <row r="2495" ht="15.75" customHeight="1">
      <c r="A2495" s="2" t="s">
        <v>3188</v>
      </c>
      <c r="B2495" s="2" t="s">
        <v>327</v>
      </c>
      <c r="C2495" s="6">
        <v>46143.12065972222</v>
      </c>
      <c r="D2495" s="2">
        <v>-7.0</v>
      </c>
      <c r="E2495" s="2"/>
      <c r="H2495" s="2" t="s">
        <v>571</v>
      </c>
    </row>
    <row r="2496" ht="15.75" customHeight="1">
      <c r="A2496" s="2" t="s">
        <v>3189</v>
      </c>
      <c r="B2496" s="2" t="s">
        <v>384</v>
      </c>
      <c r="C2496" s="6">
        <v>46143.12086805556</v>
      </c>
      <c r="D2496" s="2">
        <v>-10.0</v>
      </c>
      <c r="E2496" s="2"/>
      <c r="H2496" s="2" t="s">
        <v>571</v>
      </c>
    </row>
    <row r="2497" ht="15.75" customHeight="1">
      <c r="A2497" s="2" t="s">
        <v>3190</v>
      </c>
      <c r="B2497" s="5" t="s">
        <v>142</v>
      </c>
      <c r="C2497" s="6">
        <v>46144.647048611114</v>
      </c>
      <c r="D2497" s="2">
        <v>120.0</v>
      </c>
      <c r="E2497" s="2" t="s">
        <v>3191</v>
      </c>
      <c r="H2497" s="2" t="s">
        <v>571</v>
      </c>
    </row>
    <row r="2498" ht="15.75" customHeight="1">
      <c r="A2498" s="2" t="s">
        <v>3192</v>
      </c>
      <c r="B2498" s="5" t="s">
        <v>192</v>
      </c>
      <c r="C2498" s="6">
        <v>46144.64717592593</v>
      </c>
      <c r="D2498" s="2">
        <v>120.0</v>
      </c>
      <c r="E2498" s="2" t="s">
        <v>3191</v>
      </c>
      <c r="H2498" s="2" t="s">
        <v>571</v>
      </c>
    </row>
    <row r="2499" ht="15.75" customHeight="1">
      <c r="A2499" s="2" t="s">
        <v>3193</v>
      </c>
      <c r="B2499" s="2" t="s">
        <v>405</v>
      </c>
      <c r="C2499" s="6">
        <v>46144.64734953704</v>
      </c>
      <c r="D2499" s="2">
        <v>120.0</v>
      </c>
      <c r="E2499" s="2" t="s">
        <v>3191</v>
      </c>
      <c r="H2499" s="2" t="s">
        <v>571</v>
      </c>
    </row>
    <row r="2500" ht="15.75" customHeight="1">
      <c r="A2500" s="2" t="s">
        <v>3194</v>
      </c>
      <c r="B2500" s="5" t="s">
        <v>148</v>
      </c>
      <c r="C2500" s="6">
        <v>46144.647569444445</v>
      </c>
      <c r="D2500" s="2">
        <v>25.0</v>
      </c>
      <c r="E2500" s="2" t="s">
        <v>3191</v>
      </c>
      <c r="H2500" s="2" t="s">
        <v>571</v>
      </c>
    </row>
    <row r="2501" ht="15.75" customHeight="1">
      <c r="A2501" s="2" t="s">
        <v>3195</v>
      </c>
      <c r="B2501" s="2" t="s">
        <v>354</v>
      </c>
      <c r="C2501" s="6">
        <v>46144.647824074076</v>
      </c>
      <c r="D2501" s="2">
        <v>12.0</v>
      </c>
      <c r="E2501" s="2" t="s">
        <v>3191</v>
      </c>
      <c r="H2501" s="2" t="s">
        <v>571</v>
      </c>
    </row>
    <row r="2502" ht="15.75" customHeight="1">
      <c r="A2502" s="2" t="s">
        <v>3196</v>
      </c>
      <c r="B2502" s="2" t="s">
        <v>295</v>
      </c>
      <c r="C2502" s="6">
        <v>46144.64796296296</v>
      </c>
      <c r="D2502" s="2">
        <v>96.0</v>
      </c>
      <c r="E2502" s="2" t="s">
        <v>3191</v>
      </c>
      <c r="H2502" s="2" t="s">
        <v>571</v>
      </c>
    </row>
    <row r="2503" ht="15.75" customHeight="1">
      <c r="A2503" s="5" t="s">
        <v>3197</v>
      </c>
      <c r="B2503" s="2" t="s">
        <v>396</v>
      </c>
      <c r="C2503" s="6">
        <v>46144.64807870371</v>
      </c>
      <c r="D2503" s="2">
        <v>0.0</v>
      </c>
      <c r="E2503" s="2" t="s">
        <v>3191</v>
      </c>
      <c r="H2503" s="2" t="s">
        <v>571</v>
      </c>
    </row>
    <row r="2504" ht="15.75" customHeight="1">
      <c r="A2504" s="2" t="s">
        <v>3198</v>
      </c>
      <c r="B2504" s="2" t="s">
        <v>396</v>
      </c>
      <c r="C2504" s="6">
        <v>46144.648356481484</v>
      </c>
      <c r="D2504" s="2">
        <v>144.0</v>
      </c>
      <c r="E2504" s="2" t="s">
        <v>3199</v>
      </c>
      <c r="H2504" s="2" t="s">
        <v>571</v>
      </c>
    </row>
    <row r="2505" ht="15.75" customHeight="1">
      <c r="A2505" s="2" t="s">
        <v>3200</v>
      </c>
      <c r="B2505" s="5" t="s">
        <v>217</v>
      </c>
      <c r="C2505" s="6">
        <v>46145.735243055555</v>
      </c>
      <c r="D2505" s="2">
        <v>-64.0</v>
      </c>
      <c r="E2505" s="2"/>
      <c r="H2505" s="2" t="s">
        <v>571</v>
      </c>
    </row>
    <row r="2506" ht="15.75" customHeight="1">
      <c r="A2506" s="2" t="s">
        <v>3201</v>
      </c>
      <c r="B2506" s="2" t="s">
        <v>396</v>
      </c>
      <c r="C2506" s="6">
        <v>46145.735601851855</v>
      </c>
      <c r="D2506" s="2">
        <v>-63.0</v>
      </c>
      <c r="E2506" s="2"/>
      <c r="H2506" s="2" t="s">
        <v>571</v>
      </c>
    </row>
    <row r="2507" ht="15.75" customHeight="1">
      <c r="A2507" s="2" t="s">
        <v>3202</v>
      </c>
      <c r="B2507" s="2" t="s">
        <v>271</v>
      </c>
      <c r="C2507" s="6">
        <v>46145.73574074074</v>
      </c>
      <c r="D2507" s="2">
        <v>-62.0</v>
      </c>
      <c r="E2507" s="2"/>
      <c r="H2507" s="2" t="s">
        <v>571</v>
      </c>
    </row>
    <row r="2508" ht="15.75" customHeight="1">
      <c r="A2508" s="2" t="s">
        <v>3203</v>
      </c>
      <c r="B2508" s="5" t="s">
        <v>192</v>
      </c>
      <c r="C2508" s="6">
        <v>46145.73594907407</v>
      </c>
      <c r="D2508" s="2">
        <v>-49.0</v>
      </c>
      <c r="E2508" s="2"/>
      <c r="H2508" s="2" t="s">
        <v>571</v>
      </c>
    </row>
    <row r="2509" ht="15.75" customHeight="1">
      <c r="A2509" s="2" t="s">
        <v>3204</v>
      </c>
      <c r="B2509" s="5" t="s">
        <v>142</v>
      </c>
      <c r="C2509" s="6">
        <v>46145.73616898148</v>
      </c>
      <c r="D2509" s="2">
        <v>-40.0</v>
      </c>
      <c r="E2509" s="2"/>
      <c r="H2509" s="2" t="s">
        <v>571</v>
      </c>
    </row>
    <row r="2510" ht="15.75" customHeight="1">
      <c r="A2510" s="2" t="s">
        <v>3205</v>
      </c>
      <c r="B2510" s="2" t="s">
        <v>372</v>
      </c>
      <c r="C2510" s="6">
        <v>46145.736296296294</v>
      </c>
      <c r="D2510" s="2">
        <v>-36.0</v>
      </c>
      <c r="E2510" s="2"/>
      <c r="H2510" s="2" t="s">
        <v>571</v>
      </c>
    </row>
    <row r="2511" ht="15.75" customHeight="1">
      <c r="A2511" s="2" t="s">
        <v>3206</v>
      </c>
      <c r="B2511" s="5" t="s">
        <v>148</v>
      </c>
      <c r="C2511" s="6">
        <v>46145.73642361111</v>
      </c>
      <c r="D2511" s="2">
        <v>-36.0</v>
      </c>
      <c r="E2511" s="2"/>
      <c r="H2511" s="2" t="s">
        <v>571</v>
      </c>
    </row>
    <row r="2512" ht="15.75" customHeight="1">
      <c r="A2512" s="2" t="s">
        <v>3207</v>
      </c>
      <c r="B2512" s="2" t="s">
        <v>405</v>
      </c>
      <c r="C2512" s="6">
        <v>46145.736597222225</v>
      </c>
      <c r="D2512" s="2">
        <v>-33.0</v>
      </c>
      <c r="E2512" s="2"/>
      <c r="H2512" s="2" t="s">
        <v>571</v>
      </c>
    </row>
    <row r="2513" ht="15.75" customHeight="1">
      <c r="A2513" s="2" t="s">
        <v>3208</v>
      </c>
      <c r="B2513" s="2" t="s">
        <v>327</v>
      </c>
      <c r="C2513" s="6">
        <v>46145.73673611111</v>
      </c>
      <c r="D2513" s="2">
        <v>-29.0</v>
      </c>
      <c r="E2513" s="2"/>
      <c r="H2513" s="2" t="s">
        <v>571</v>
      </c>
    </row>
    <row r="2514" ht="15.75" customHeight="1">
      <c r="A2514" s="2" t="s">
        <v>3209</v>
      </c>
      <c r="B2514" s="5" t="s">
        <v>214</v>
      </c>
      <c r="C2514" s="6">
        <v>46145.73704861111</v>
      </c>
      <c r="D2514" s="2">
        <v>-312.0</v>
      </c>
      <c r="E2514" s="2"/>
      <c r="H2514" s="2" t="s">
        <v>571</v>
      </c>
    </row>
    <row r="2515" ht="15.75" customHeight="1">
      <c r="A2515" s="2" t="s">
        <v>3210</v>
      </c>
      <c r="B2515" s="2" t="s">
        <v>378</v>
      </c>
      <c r="C2515" s="6">
        <v>46145.73719907407</v>
      </c>
      <c r="D2515" s="2">
        <v>-25.0</v>
      </c>
      <c r="E2515" s="2"/>
      <c r="H2515" s="2" t="s">
        <v>571</v>
      </c>
    </row>
    <row r="2516" ht="15.75" customHeight="1">
      <c r="A2516" s="2" t="s">
        <v>3211</v>
      </c>
      <c r="B2516" s="5" t="s">
        <v>14</v>
      </c>
      <c r="C2516" s="6">
        <v>46145.73732638889</v>
      </c>
      <c r="D2516" s="2">
        <v>-24.0</v>
      </c>
      <c r="E2516" s="2"/>
      <c r="H2516" s="2" t="s">
        <v>571</v>
      </c>
    </row>
    <row r="2517" ht="15.75" customHeight="1">
      <c r="A2517" s="2" t="s">
        <v>3212</v>
      </c>
      <c r="B2517" s="5" t="s">
        <v>134</v>
      </c>
      <c r="C2517" s="6">
        <v>46145.73747685185</v>
      </c>
      <c r="D2517" s="2">
        <v>-23.0</v>
      </c>
      <c r="E2517" s="2"/>
      <c r="H2517" s="2" t="s">
        <v>571</v>
      </c>
    </row>
    <row r="2518" ht="15.75" customHeight="1">
      <c r="A2518" s="2" t="s">
        <v>3213</v>
      </c>
      <c r="B2518" s="2" t="s">
        <v>419</v>
      </c>
      <c r="C2518" s="6">
        <v>46145.73763888889</v>
      </c>
      <c r="D2518" s="2">
        <v>-22.0</v>
      </c>
      <c r="E2518" s="2"/>
      <c r="H2518" s="2" t="s">
        <v>571</v>
      </c>
    </row>
    <row r="2519" ht="15.75" customHeight="1">
      <c r="A2519" s="2" t="s">
        <v>3214</v>
      </c>
      <c r="B2519" s="2" t="s">
        <v>295</v>
      </c>
      <c r="C2519" s="6">
        <v>46145.73787037037</v>
      </c>
      <c r="D2519" s="2">
        <v>-21.0</v>
      </c>
      <c r="E2519" s="2"/>
      <c r="H2519" s="2" t="s">
        <v>571</v>
      </c>
    </row>
    <row r="2520" ht="15.75" customHeight="1">
      <c r="A2520" s="2" t="s">
        <v>3215</v>
      </c>
      <c r="B2520" s="5" t="s">
        <v>131</v>
      </c>
      <c r="C2520" s="6">
        <v>46145.738032407404</v>
      </c>
      <c r="D2520" s="2">
        <v>-20.0</v>
      </c>
      <c r="E2520" s="2"/>
      <c r="H2520" s="2" t="s">
        <v>571</v>
      </c>
    </row>
    <row r="2521" ht="15.75" customHeight="1">
      <c r="A2521" s="2" t="s">
        <v>3216</v>
      </c>
      <c r="B2521" s="2" t="s">
        <v>295</v>
      </c>
      <c r="C2521" s="6">
        <v>46145.73826388889</v>
      </c>
      <c r="D2521" s="2">
        <v>-19.0</v>
      </c>
      <c r="E2521" s="2"/>
      <c r="H2521" s="2" t="s">
        <v>571</v>
      </c>
    </row>
    <row r="2522" ht="15.75" customHeight="1">
      <c r="A2522" s="2" t="s">
        <v>3217</v>
      </c>
      <c r="B2522" s="5" t="s">
        <v>59</v>
      </c>
      <c r="C2522" s="6">
        <v>46145.73841435185</v>
      </c>
      <c r="D2522" s="2">
        <v>-18.0</v>
      </c>
      <c r="E2522" s="2"/>
      <c r="H2522" s="2" t="s">
        <v>571</v>
      </c>
    </row>
    <row r="2523" ht="15.75" customHeight="1">
      <c r="A2523" s="2" t="s">
        <v>3218</v>
      </c>
      <c r="B2523" s="5" t="s">
        <v>186</v>
      </c>
      <c r="C2523" s="6">
        <v>46145.738541666666</v>
      </c>
      <c r="D2523" s="2">
        <v>-30.0</v>
      </c>
      <c r="E2523" s="2"/>
      <c r="H2523" s="2" t="s">
        <v>571</v>
      </c>
    </row>
    <row r="2524" ht="15.75" customHeight="1">
      <c r="A2524" s="2" t="s">
        <v>3219</v>
      </c>
      <c r="B2524" s="2" t="s">
        <v>354</v>
      </c>
      <c r="C2524" s="6">
        <v>46145.73871527778</v>
      </c>
      <c r="D2524" s="2">
        <v>-15.0</v>
      </c>
      <c r="E2524" s="2"/>
      <c r="H2524" s="2" t="s">
        <v>571</v>
      </c>
    </row>
    <row r="2525" ht="15.75" customHeight="1">
      <c r="A2525" s="2" t="s">
        <v>3220</v>
      </c>
      <c r="B2525" s="5" t="s">
        <v>171</v>
      </c>
      <c r="C2525" s="6">
        <v>46145.73903935185</v>
      </c>
      <c r="D2525" s="2">
        <v>-10.0</v>
      </c>
      <c r="E2525" s="2"/>
      <c r="H2525" s="2" t="s">
        <v>571</v>
      </c>
    </row>
    <row r="2526" ht="15.75" customHeight="1">
      <c r="A2526" s="2" t="s">
        <v>3221</v>
      </c>
      <c r="B2526" s="2" t="s">
        <v>384</v>
      </c>
      <c r="C2526" s="6">
        <v>46145.73918981481</v>
      </c>
      <c r="D2526" s="2">
        <v>-10.0</v>
      </c>
      <c r="E2526" s="2"/>
      <c r="H2526" s="2" t="s">
        <v>571</v>
      </c>
    </row>
    <row r="2527" ht="15.75" customHeight="1">
      <c r="A2527" s="2" t="s">
        <v>3222</v>
      </c>
      <c r="B2527" s="5" t="s">
        <v>157</v>
      </c>
      <c r="C2527" s="6">
        <v>46145.73930555556</v>
      </c>
      <c r="D2527" s="2">
        <v>-10.0</v>
      </c>
      <c r="E2527" s="2"/>
      <c r="H2527" s="2" t="s">
        <v>571</v>
      </c>
    </row>
    <row r="2528" ht="15.75" customHeight="1">
      <c r="A2528" s="2" t="s">
        <v>3223</v>
      </c>
      <c r="B2528" s="5" t="s">
        <v>186</v>
      </c>
      <c r="C2528" s="6">
        <v>46146.59280092592</v>
      </c>
      <c r="D2528" s="2">
        <v>60.0</v>
      </c>
      <c r="E2528" s="2" t="s">
        <v>3224</v>
      </c>
      <c r="H2528" s="2" t="s">
        <v>571</v>
      </c>
    </row>
    <row r="2529" ht="15.75" customHeight="1">
      <c r="A2529" s="2" t="s">
        <v>3225</v>
      </c>
      <c r="B2529" s="5" t="s">
        <v>148</v>
      </c>
      <c r="C2529" s="6">
        <v>46146.59289351852</v>
      </c>
      <c r="D2529" s="2">
        <v>50.0</v>
      </c>
      <c r="E2529" s="2" t="s">
        <v>3224</v>
      </c>
      <c r="H2529" s="2" t="s">
        <v>571</v>
      </c>
    </row>
    <row r="2530" ht="15.75" customHeight="1">
      <c r="A2530" s="2" t="s">
        <v>3226</v>
      </c>
      <c r="B2530" s="5" t="s">
        <v>157</v>
      </c>
      <c r="C2530" s="6">
        <v>46146.592986111114</v>
      </c>
      <c r="D2530" s="2">
        <v>20.0</v>
      </c>
      <c r="E2530" s="2" t="s">
        <v>3224</v>
      </c>
      <c r="H2530" s="2" t="s">
        <v>571</v>
      </c>
    </row>
    <row r="2531" ht="15.75" customHeight="1">
      <c r="A2531" s="2" t="s">
        <v>3227</v>
      </c>
      <c r="B2531" s="5" t="s">
        <v>134</v>
      </c>
      <c r="C2531" s="6">
        <v>46146.59307870371</v>
      </c>
      <c r="D2531" s="2">
        <v>81.0</v>
      </c>
      <c r="E2531" s="2" t="s">
        <v>3224</v>
      </c>
      <c r="H2531" s="2" t="s">
        <v>571</v>
      </c>
    </row>
    <row r="2532" ht="15.75" customHeight="1">
      <c r="A2532" s="2" t="s">
        <v>3228</v>
      </c>
      <c r="B2532" s="5" t="s">
        <v>14</v>
      </c>
      <c r="C2532" s="6">
        <v>46146.59337962963</v>
      </c>
      <c r="D2532" s="2">
        <v>20.0</v>
      </c>
      <c r="E2532" s="2" t="s">
        <v>3229</v>
      </c>
      <c r="H2532" s="2" t="s">
        <v>571</v>
      </c>
    </row>
    <row r="2533" ht="15.75" customHeight="1">
      <c r="A2533" s="2" t="s">
        <v>3230</v>
      </c>
      <c r="B2533" s="2" t="s">
        <v>259</v>
      </c>
      <c r="C2533" s="6">
        <v>46146.59385416667</v>
      </c>
      <c r="D2533" s="2">
        <v>0.0</v>
      </c>
      <c r="E2533" s="2" t="s">
        <v>3231</v>
      </c>
      <c r="H2533" s="2" t="s">
        <v>571</v>
      </c>
    </row>
    <row r="2534" ht="15.75" customHeight="1">
      <c r="A2534" s="2" t="s">
        <v>3232</v>
      </c>
      <c r="B2534" s="2" t="s">
        <v>289</v>
      </c>
      <c r="C2534" s="6">
        <v>46146.594409722224</v>
      </c>
      <c r="D2534" s="2">
        <v>72.0</v>
      </c>
      <c r="E2534" s="2" t="s">
        <v>3233</v>
      </c>
      <c r="H2534" s="2" t="s">
        <v>571</v>
      </c>
    </row>
    <row r="2535" ht="15.75" customHeight="1">
      <c r="A2535" s="2" t="s">
        <v>3234</v>
      </c>
      <c r="B2535" s="5" t="s">
        <v>217</v>
      </c>
      <c r="C2535" s="6">
        <v>46146.59447916667</v>
      </c>
      <c r="D2535" s="2">
        <v>30.0</v>
      </c>
      <c r="E2535" s="2" t="s">
        <v>3233</v>
      </c>
      <c r="H2535" s="2" t="s">
        <v>571</v>
      </c>
    </row>
    <row r="2536" ht="15.75" customHeight="1">
      <c r="A2536" s="2" t="s">
        <v>3235</v>
      </c>
      <c r="B2536" s="5" t="s">
        <v>131</v>
      </c>
      <c r="C2536" s="6">
        <v>46146.59546296296</v>
      </c>
      <c r="D2536" s="2">
        <v>24.0</v>
      </c>
      <c r="E2536" s="2" t="s">
        <v>3236</v>
      </c>
      <c r="H2536" s="2" t="s">
        <v>571</v>
      </c>
    </row>
    <row r="2537" ht="15.75" customHeight="1">
      <c r="A2537" s="2" t="s">
        <v>3237</v>
      </c>
      <c r="B2537" s="5" t="s">
        <v>96</v>
      </c>
      <c r="C2537" s="6">
        <v>46146.59599537037</v>
      </c>
      <c r="D2537" s="2">
        <v>24.0</v>
      </c>
      <c r="E2537" s="2" t="s">
        <v>3236</v>
      </c>
      <c r="H2537" s="2" t="s">
        <v>571</v>
      </c>
    </row>
    <row r="2538" ht="15.75" customHeight="1">
      <c r="A2538" s="2" t="s">
        <v>3238</v>
      </c>
      <c r="B2538" s="2" t="s">
        <v>378</v>
      </c>
      <c r="C2538" s="6">
        <v>46146.596342592595</v>
      </c>
      <c r="D2538" s="2">
        <v>96.0</v>
      </c>
      <c r="E2538" s="2" t="s">
        <v>3236</v>
      </c>
      <c r="H2538" s="2" t="s">
        <v>571</v>
      </c>
    </row>
    <row r="2539" ht="15.75" customHeight="1">
      <c r="A2539" s="2" t="s">
        <v>3239</v>
      </c>
      <c r="B2539" s="2" t="s">
        <v>384</v>
      </c>
      <c r="C2539" s="6">
        <v>46146.59644675926</v>
      </c>
      <c r="D2539" s="2">
        <v>96.0</v>
      </c>
      <c r="E2539" s="2" t="s">
        <v>3236</v>
      </c>
      <c r="H2539" s="2" t="s">
        <v>571</v>
      </c>
    </row>
    <row r="2540" ht="15.75" customHeight="1">
      <c r="A2540" s="2" t="s">
        <v>3240</v>
      </c>
      <c r="B2540" s="2" t="s">
        <v>372</v>
      </c>
      <c r="C2540" s="6">
        <v>46146.5965162037</v>
      </c>
      <c r="D2540" s="2">
        <v>24.0</v>
      </c>
      <c r="E2540" s="2" t="s">
        <v>3236</v>
      </c>
      <c r="H2540" s="2" t="s">
        <v>571</v>
      </c>
    </row>
    <row r="2541" ht="15.75" customHeight="1">
      <c r="A2541" s="2" t="s">
        <v>3241</v>
      </c>
      <c r="B2541" s="2" t="s">
        <v>289</v>
      </c>
      <c r="C2541" s="6">
        <v>46147.72119212963</v>
      </c>
      <c r="D2541" s="2">
        <v>-72.0</v>
      </c>
      <c r="E2541" s="2"/>
      <c r="H2541" s="2" t="s">
        <v>571</v>
      </c>
    </row>
    <row r="2542" ht="15.75" customHeight="1">
      <c r="A2542" s="2" t="s">
        <v>3242</v>
      </c>
      <c r="B2542" s="5" t="s">
        <v>217</v>
      </c>
      <c r="C2542" s="6">
        <v>46147.72130787037</v>
      </c>
      <c r="D2542" s="2">
        <v>-32.0</v>
      </c>
      <c r="E2542" s="2"/>
      <c r="H2542" s="2" t="s">
        <v>571</v>
      </c>
    </row>
    <row r="2543" ht="15.75" customHeight="1">
      <c r="A2543" s="2" t="s">
        <v>3243</v>
      </c>
      <c r="B2543" s="2" t="s">
        <v>419</v>
      </c>
      <c r="C2543" s="6">
        <v>46147.72143518519</v>
      </c>
      <c r="D2543" s="2">
        <v>-7.0</v>
      </c>
      <c r="E2543" s="2"/>
      <c r="H2543" s="2" t="s">
        <v>571</v>
      </c>
    </row>
    <row r="2544" ht="15.75" customHeight="1">
      <c r="A2544" s="2" t="s">
        <v>3244</v>
      </c>
      <c r="B2544" s="2" t="s">
        <v>280</v>
      </c>
      <c r="C2544" s="6">
        <v>46147.72163194444</v>
      </c>
      <c r="D2544" s="2">
        <v>-14.0</v>
      </c>
      <c r="E2544" s="2"/>
      <c r="H2544" s="2" t="s">
        <v>571</v>
      </c>
    </row>
    <row r="2545" ht="15.75" customHeight="1">
      <c r="A2545" s="2" t="s">
        <v>3245</v>
      </c>
      <c r="B2545" s="2" t="s">
        <v>271</v>
      </c>
      <c r="C2545" s="6">
        <v>46147.72175925926</v>
      </c>
      <c r="D2545" s="2">
        <v>-22.0</v>
      </c>
      <c r="E2545" s="2"/>
      <c r="H2545" s="2" t="s">
        <v>571</v>
      </c>
    </row>
    <row r="2546" ht="15.75" customHeight="1">
      <c r="A2546" s="2" t="s">
        <v>3246</v>
      </c>
      <c r="B2546" s="2" t="s">
        <v>327</v>
      </c>
      <c r="C2546" s="6">
        <v>46147.72195601852</v>
      </c>
      <c r="D2546" s="2">
        <v>-9.0</v>
      </c>
      <c r="E2546" s="2"/>
      <c r="H2546" s="2" t="s">
        <v>571</v>
      </c>
    </row>
    <row r="2547" ht="15.75" customHeight="1">
      <c r="A2547" s="2" t="s">
        <v>3247</v>
      </c>
      <c r="B2547" s="5" t="s">
        <v>131</v>
      </c>
      <c r="C2547" s="6">
        <v>46147.72211805556</v>
      </c>
      <c r="D2547" s="2">
        <v>-15.0</v>
      </c>
      <c r="E2547" s="2"/>
      <c r="H2547" s="2" t="s">
        <v>571</v>
      </c>
    </row>
    <row r="2548" ht="15.75" customHeight="1">
      <c r="A2548" s="2" t="s">
        <v>3248</v>
      </c>
      <c r="B2548" s="2" t="s">
        <v>396</v>
      </c>
      <c r="C2548" s="6">
        <v>46147.722291666665</v>
      </c>
      <c r="D2548" s="2">
        <v>-44.0</v>
      </c>
      <c r="E2548" s="2"/>
      <c r="H2548" s="2" t="s">
        <v>571</v>
      </c>
    </row>
    <row r="2549" ht="15.75" customHeight="1">
      <c r="A2549" s="2" t="s">
        <v>3249</v>
      </c>
      <c r="B2549" s="2" t="s">
        <v>378</v>
      </c>
      <c r="C2549" s="6">
        <v>46147.72243055556</v>
      </c>
      <c r="D2549" s="2">
        <v>-50.0</v>
      </c>
      <c r="E2549" s="2"/>
      <c r="H2549" s="2" t="s">
        <v>571</v>
      </c>
    </row>
    <row r="2550" ht="15.75" customHeight="1">
      <c r="A2550" s="2" t="s">
        <v>3250</v>
      </c>
      <c r="B2550" s="2" t="s">
        <v>384</v>
      </c>
      <c r="C2550" s="6">
        <v>46147.72258101852</v>
      </c>
      <c r="D2550" s="2">
        <v>-55.0</v>
      </c>
      <c r="E2550" s="2"/>
      <c r="H2550" s="2" t="s">
        <v>571</v>
      </c>
    </row>
    <row r="2551" ht="15.75" customHeight="1">
      <c r="A2551" s="5" t="s">
        <v>3251</v>
      </c>
      <c r="B2551" s="2" t="s">
        <v>372</v>
      </c>
      <c r="C2551" s="6">
        <v>46147.722719907404</v>
      </c>
      <c r="D2551" s="2">
        <v>-23.0</v>
      </c>
      <c r="E2551" s="2"/>
      <c r="H2551" s="2" t="s">
        <v>571</v>
      </c>
    </row>
    <row r="2552" ht="15.75" customHeight="1">
      <c r="A2552" s="2" t="s">
        <v>3252</v>
      </c>
      <c r="B2552" s="5" t="s">
        <v>186</v>
      </c>
      <c r="C2552" s="6">
        <v>46147.72288194444</v>
      </c>
      <c r="D2552" s="2">
        <v>-18.0</v>
      </c>
      <c r="E2552" s="2"/>
      <c r="H2552" s="2" t="s">
        <v>571</v>
      </c>
    </row>
    <row r="2553" ht="15.75" customHeight="1">
      <c r="A2553" s="2" t="s">
        <v>3253</v>
      </c>
      <c r="B2553" s="5" t="s">
        <v>165</v>
      </c>
      <c r="C2553" s="6">
        <v>46147.72306712963</v>
      </c>
      <c r="D2553" s="2">
        <v>-36.0</v>
      </c>
      <c r="E2553" s="2"/>
      <c r="H2553" s="2" t="s">
        <v>571</v>
      </c>
    </row>
    <row r="2554" ht="15.75" customHeight="1">
      <c r="A2554" s="2" t="s">
        <v>3254</v>
      </c>
      <c r="B2554" s="5" t="s">
        <v>171</v>
      </c>
      <c r="C2554" s="6">
        <v>46147.7231712963</v>
      </c>
      <c r="D2554" s="2">
        <v>-11.0</v>
      </c>
      <c r="E2554" s="2"/>
      <c r="H2554" s="2" t="s">
        <v>571</v>
      </c>
    </row>
    <row r="2555" ht="15.75" customHeight="1">
      <c r="A2555" s="2" t="s">
        <v>3255</v>
      </c>
      <c r="B2555" s="5" t="s">
        <v>148</v>
      </c>
      <c r="C2555" s="6">
        <v>46147.723333333335</v>
      </c>
      <c r="D2555" s="2">
        <v>-10.0</v>
      </c>
      <c r="E2555" s="2"/>
      <c r="H2555" s="2" t="s">
        <v>571</v>
      </c>
    </row>
    <row r="2556" ht="15.75" customHeight="1">
      <c r="A2556" s="2" t="s">
        <v>3256</v>
      </c>
      <c r="B2556" s="5" t="s">
        <v>96</v>
      </c>
      <c r="C2556" s="6">
        <v>46147.7234837963</v>
      </c>
      <c r="D2556" s="2">
        <v>-13.0</v>
      </c>
      <c r="E2556" s="2"/>
      <c r="H2556" s="2" t="s">
        <v>571</v>
      </c>
    </row>
    <row r="2557" ht="15.75" customHeight="1">
      <c r="A2557" s="2" t="s">
        <v>3257</v>
      </c>
      <c r="B2557" s="5" t="s">
        <v>214</v>
      </c>
      <c r="C2557" s="6">
        <v>46147.723912037036</v>
      </c>
      <c r="D2557" s="2">
        <v>-276.0</v>
      </c>
      <c r="E2557" s="2"/>
      <c r="H2557" s="2" t="s">
        <v>571</v>
      </c>
    </row>
    <row r="2558" ht="15.75" customHeight="1">
      <c r="A2558" s="2" t="s">
        <v>3258</v>
      </c>
      <c r="B2558" s="5" t="s">
        <v>142</v>
      </c>
      <c r="C2558" s="6">
        <v>46147.7240625</v>
      </c>
      <c r="D2558" s="2">
        <v>-42.0</v>
      </c>
      <c r="E2558" s="2"/>
      <c r="H2558" s="2" t="s">
        <v>571</v>
      </c>
    </row>
    <row r="2559" ht="15.75" customHeight="1">
      <c r="A2559" s="2" t="s">
        <v>3259</v>
      </c>
      <c r="B2559" s="2" t="s">
        <v>405</v>
      </c>
      <c r="C2559" s="6">
        <v>46147.724178240744</v>
      </c>
      <c r="D2559" s="2">
        <v>-31.0</v>
      </c>
      <c r="E2559" s="2"/>
      <c r="H2559" s="2" t="s">
        <v>571</v>
      </c>
    </row>
    <row r="2560" ht="15.75" customHeight="1">
      <c r="A2560" s="2" t="s">
        <v>3260</v>
      </c>
      <c r="B2560" s="5" t="s">
        <v>192</v>
      </c>
      <c r="C2560" s="6">
        <v>46147.724282407406</v>
      </c>
      <c r="D2560" s="2">
        <v>-19.0</v>
      </c>
      <c r="E2560" s="2"/>
      <c r="H2560" s="2" t="s">
        <v>571</v>
      </c>
    </row>
    <row r="2561" ht="15.75" customHeight="1">
      <c r="A2561" s="2" t="s">
        <v>3261</v>
      </c>
      <c r="B2561" s="5" t="s">
        <v>134</v>
      </c>
      <c r="C2561" s="6">
        <v>46147.72443287037</v>
      </c>
      <c r="D2561" s="2">
        <v>-29.0</v>
      </c>
      <c r="E2561" s="2"/>
      <c r="H2561" s="2" t="s">
        <v>571</v>
      </c>
    </row>
    <row r="2562" ht="15.75" customHeight="1">
      <c r="A2562" s="2" t="s">
        <v>3262</v>
      </c>
      <c r="B2562" s="5" t="s">
        <v>59</v>
      </c>
      <c r="C2562" s="6">
        <v>46147.72457175926</v>
      </c>
      <c r="D2562" s="2">
        <v>-21.0</v>
      </c>
      <c r="E2562" s="2"/>
      <c r="H2562" s="2" t="s">
        <v>571</v>
      </c>
    </row>
    <row r="2563" ht="15.75" customHeight="1">
      <c r="A2563" s="2" t="s">
        <v>3263</v>
      </c>
      <c r="B2563" s="2" t="s">
        <v>354</v>
      </c>
      <c r="C2563" s="6">
        <v>46147.724699074075</v>
      </c>
      <c r="D2563" s="2">
        <v>-4.0</v>
      </c>
      <c r="E2563" s="2"/>
      <c r="H2563" s="2" t="s">
        <v>571</v>
      </c>
    </row>
    <row r="2564" ht="15.75" customHeight="1">
      <c r="A2564" s="2" t="s">
        <v>3264</v>
      </c>
      <c r="B2564" s="2" t="s">
        <v>295</v>
      </c>
      <c r="C2564" s="6">
        <v>46147.72483796296</v>
      </c>
      <c r="D2564" s="2">
        <v>-34.0</v>
      </c>
      <c r="E2564" s="2"/>
      <c r="H2564" s="2" t="s">
        <v>571</v>
      </c>
    </row>
    <row r="2565" ht="15.75" customHeight="1">
      <c r="A2565" s="2" t="s">
        <v>3265</v>
      </c>
      <c r="B2565" s="5" t="s">
        <v>165</v>
      </c>
      <c r="C2565" s="6">
        <v>46147.730474537035</v>
      </c>
      <c r="D2565" s="2">
        <v>48.0</v>
      </c>
      <c r="E2565" s="2" t="s">
        <v>3266</v>
      </c>
      <c r="H2565" s="2" t="s">
        <v>571</v>
      </c>
    </row>
    <row r="2566" ht="15.75" customHeight="1">
      <c r="A2566" s="2" t="s">
        <v>3267</v>
      </c>
      <c r="B2566" s="2" t="s">
        <v>280</v>
      </c>
      <c r="C2566" s="6">
        <v>46147.73054398148</v>
      </c>
      <c r="D2566" s="2">
        <v>15.0</v>
      </c>
      <c r="E2566" s="2" t="s">
        <v>3266</v>
      </c>
      <c r="H2566" s="2" t="s">
        <v>571</v>
      </c>
    </row>
    <row r="2567" ht="15.75" customHeight="1">
      <c r="A2567" s="2" t="s">
        <v>3268</v>
      </c>
      <c r="B2567" s="2" t="s">
        <v>333</v>
      </c>
      <c r="C2567" s="6">
        <v>46147.73045138889</v>
      </c>
      <c r="D2567" s="2">
        <v>-9.0</v>
      </c>
      <c r="E2567" s="2"/>
      <c r="H2567" s="2" t="s">
        <v>571</v>
      </c>
    </row>
    <row r="2568" ht="15.75" customHeight="1">
      <c r="A2568" s="2" t="s">
        <v>3269</v>
      </c>
      <c r="B2568" s="2" t="s">
        <v>289</v>
      </c>
      <c r="C2568" s="6">
        <v>46149.0571412037</v>
      </c>
      <c r="D2568" s="2">
        <v>-40.0</v>
      </c>
      <c r="E2568" s="2"/>
      <c r="H2568" s="2" t="s">
        <v>571</v>
      </c>
    </row>
    <row r="2569" ht="15.75" customHeight="1">
      <c r="A2569" s="2" t="s">
        <v>3270</v>
      </c>
      <c r="B2569" s="5" t="s">
        <v>217</v>
      </c>
      <c r="C2569" s="6">
        <v>46149.05731481482</v>
      </c>
      <c r="D2569" s="2">
        <v>-14.0</v>
      </c>
      <c r="E2569" s="2"/>
      <c r="H2569" s="2" t="s">
        <v>571</v>
      </c>
    </row>
    <row r="2570" ht="15.75" customHeight="1">
      <c r="A2570" s="2" t="s">
        <v>3271</v>
      </c>
      <c r="B2570" s="2" t="s">
        <v>280</v>
      </c>
      <c r="C2570" s="6">
        <v>46149.05849537037</v>
      </c>
      <c r="D2570" s="2">
        <v>-14.0</v>
      </c>
      <c r="E2570" s="2"/>
      <c r="H2570" s="2" t="s">
        <v>571</v>
      </c>
    </row>
    <row r="2571" ht="15.75" customHeight="1">
      <c r="A2571" s="2" t="s">
        <v>3272</v>
      </c>
      <c r="B2571" s="5" t="s">
        <v>217</v>
      </c>
      <c r="C2571" s="6">
        <v>46149.0675</v>
      </c>
      <c r="D2571" s="2">
        <v>-9.0</v>
      </c>
      <c r="E2571" s="2"/>
      <c r="H2571" s="2" t="s">
        <v>571</v>
      </c>
    </row>
    <row r="2572" ht="15.75" customHeight="1">
      <c r="A2572" s="2" t="s">
        <v>3273</v>
      </c>
      <c r="B2572" s="2" t="s">
        <v>280</v>
      </c>
      <c r="C2572" s="6">
        <v>46149.067766203705</v>
      </c>
      <c r="D2572" s="2">
        <v>-4.0</v>
      </c>
      <c r="E2572" s="2"/>
      <c r="H2572" s="2" t="s">
        <v>571</v>
      </c>
    </row>
    <row r="2573" ht="15.75" customHeight="1">
      <c r="A2573" s="2" t="s">
        <v>3274</v>
      </c>
      <c r="B2573" s="2" t="s">
        <v>271</v>
      </c>
      <c r="C2573" s="6">
        <v>46149.06789351852</v>
      </c>
      <c r="D2573" s="2">
        <v>-11.0</v>
      </c>
      <c r="E2573" s="2"/>
      <c r="H2573" s="2" t="s">
        <v>571</v>
      </c>
    </row>
    <row r="2574" ht="15.75" customHeight="1">
      <c r="A2574" s="5" t="s">
        <v>3275</v>
      </c>
      <c r="B2574" s="5" t="s">
        <v>131</v>
      </c>
      <c r="C2574" s="6">
        <v>46149.068078703705</v>
      </c>
      <c r="D2574" s="2">
        <v>-7.0</v>
      </c>
      <c r="E2574" s="2"/>
      <c r="H2574" s="2" t="s">
        <v>571</v>
      </c>
    </row>
    <row r="2575" ht="15.75" customHeight="1">
      <c r="A2575" s="2" t="s">
        <v>3276</v>
      </c>
      <c r="B2575" s="2" t="s">
        <v>396</v>
      </c>
      <c r="C2575" s="6">
        <v>46149.06827546296</v>
      </c>
      <c r="D2575" s="2">
        <v>-29.0</v>
      </c>
      <c r="E2575" s="2"/>
      <c r="H2575" s="2" t="s">
        <v>571</v>
      </c>
    </row>
    <row r="2576" ht="15.75" customHeight="1">
      <c r="A2576" s="2" t="s">
        <v>3277</v>
      </c>
      <c r="B2576" s="5" t="s">
        <v>186</v>
      </c>
      <c r="C2576" s="6">
        <v>46149.06837962963</v>
      </c>
      <c r="D2576" s="2">
        <v>-20.0</v>
      </c>
      <c r="E2576" s="2"/>
      <c r="H2576" s="2" t="s">
        <v>571</v>
      </c>
    </row>
    <row r="2577" ht="15.75" customHeight="1">
      <c r="A2577" s="2" t="s">
        <v>3278</v>
      </c>
      <c r="B2577" s="2" t="s">
        <v>372</v>
      </c>
      <c r="C2577" s="6">
        <v>46149.068506944444</v>
      </c>
      <c r="D2577" s="2">
        <v>-10.0</v>
      </c>
      <c r="E2577" s="2"/>
      <c r="H2577" s="2" t="s">
        <v>571</v>
      </c>
    </row>
    <row r="2578" ht="15.75" customHeight="1">
      <c r="A2578" s="2" t="s">
        <v>3279</v>
      </c>
      <c r="B2578" s="2" t="s">
        <v>295</v>
      </c>
      <c r="C2578" s="6">
        <v>46149.06886574074</v>
      </c>
      <c r="D2578" s="2">
        <v>-14.0</v>
      </c>
      <c r="E2578" s="2"/>
      <c r="H2578" s="2" t="s">
        <v>571</v>
      </c>
    </row>
    <row r="2579" ht="15.75" customHeight="1">
      <c r="A2579" s="2" t="s">
        <v>3280</v>
      </c>
      <c r="B2579" s="2" t="s">
        <v>378</v>
      </c>
      <c r="C2579" s="6">
        <v>46149.06964120371</v>
      </c>
      <c r="D2579" s="2">
        <v>-13.0</v>
      </c>
      <c r="E2579" s="2"/>
      <c r="H2579" s="2" t="s">
        <v>571</v>
      </c>
    </row>
    <row r="2580" ht="15.75" customHeight="1">
      <c r="A2580" s="2" t="s">
        <v>3281</v>
      </c>
      <c r="B2580" s="2" t="s">
        <v>384</v>
      </c>
      <c r="C2580" s="6">
        <v>46149.06979166667</v>
      </c>
      <c r="D2580" s="2">
        <v>-13.0</v>
      </c>
      <c r="E2580" s="2"/>
      <c r="H2580" s="2" t="s">
        <v>571</v>
      </c>
    </row>
    <row r="2581" ht="15.75" customHeight="1">
      <c r="A2581" s="2" t="s">
        <v>3282</v>
      </c>
      <c r="B2581" s="5" t="s">
        <v>148</v>
      </c>
      <c r="C2581" s="6">
        <v>46149.06997685185</v>
      </c>
      <c r="D2581" s="2">
        <v>-10.0</v>
      </c>
      <c r="E2581" s="2"/>
      <c r="H2581" s="2" t="s">
        <v>571</v>
      </c>
    </row>
    <row r="2582" ht="15.75" customHeight="1">
      <c r="A2582" s="2" t="s">
        <v>3283</v>
      </c>
      <c r="B2582" s="5" t="s">
        <v>157</v>
      </c>
      <c r="C2582" s="6">
        <v>46149.07016203704</v>
      </c>
      <c r="D2582" s="2">
        <v>-5.0</v>
      </c>
      <c r="E2582" s="2"/>
      <c r="H2582" s="2" t="s">
        <v>571</v>
      </c>
    </row>
    <row r="2583" ht="15.75" customHeight="1">
      <c r="A2583" s="2" t="s">
        <v>3284</v>
      </c>
      <c r="B2583" s="5" t="s">
        <v>165</v>
      </c>
      <c r="C2583" s="6">
        <v>46149.07048611111</v>
      </c>
      <c r="D2583" s="2">
        <v>-5.0</v>
      </c>
      <c r="E2583" s="2"/>
      <c r="H2583" s="2" t="s">
        <v>571</v>
      </c>
    </row>
    <row r="2584" ht="15.75" customHeight="1">
      <c r="A2584" s="2" t="s">
        <v>3285</v>
      </c>
      <c r="B2584" s="5" t="s">
        <v>142</v>
      </c>
      <c r="C2584" s="6">
        <v>46149.07063657408</v>
      </c>
      <c r="D2584" s="2">
        <v>-41.0</v>
      </c>
      <c r="E2584" s="2"/>
      <c r="H2584" s="2" t="s">
        <v>571</v>
      </c>
    </row>
    <row r="2585" ht="15.75" customHeight="1">
      <c r="A2585" s="2" t="s">
        <v>3286</v>
      </c>
      <c r="B2585" s="5" t="s">
        <v>134</v>
      </c>
      <c r="C2585" s="6">
        <v>46149.07082175926</v>
      </c>
      <c r="D2585" s="2">
        <v>-23.0</v>
      </c>
      <c r="E2585" s="2"/>
      <c r="H2585" s="2" t="s">
        <v>571</v>
      </c>
    </row>
    <row r="2586" ht="15.75" customHeight="1">
      <c r="A2586" s="2" t="s">
        <v>3287</v>
      </c>
      <c r="B2586" s="5" t="s">
        <v>59</v>
      </c>
      <c r="C2586" s="6">
        <v>46149.07098379629</v>
      </c>
      <c r="D2586" s="2">
        <v>-5.0</v>
      </c>
      <c r="E2586" s="2"/>
      <c r="H2586" s="2" t="s">
        <v>571</v>
      </c>
    </row>
    <row r="2587" ht="15.75" customHeight="1">
      <c r="A2587" s="2" t="s">
        <v>3288</v>
      </c>
      <c r="B2587" s="2" t="s">
        <v>405</v>
      </c>
      <c r="C2587" s="6">
        <v>46149.07109953704</v>
      </c>
      <c r="D2587" s="2">
        <v>-18.0</v>
      </c>
      <c r="E2587" s="2"/>
      <c r="H2587" s="2" t="s">
        <v>571</v>
      </c>
    </row>
    <row r="2588" ht="15.75" customHeight="1">
      <c r="A2588" s="2" t="s">
        <v>3289</v>
      </c>
      <c r="B2588" s="2" t="s">
        <v>354</v>
      </c>
      <c r="C2588" s="6">
        <v>46149.071238425924</v>
      </c>
      <c r="D2588" s="2">
        <v>-16.0</v>
      </c>
      <c r="E2588" s="2"/>
      <c r="H2588" s="2" t="s">
        <v>571</v>
      </c>
    </row>
    <row r="2589" ht="15.75" customHeight="1">
      <c r="A2589" s="2" t="s">
        <v>3290</v>
      </c>
      <c r="B2589" s="5" t="s">
        <v>192</v>
      </c>
      <c r="C2589" s="6">
        <v>46149.07164351852</v>
      </c>
      <c r="D2589" s="2">
        <v>-8.0</v>
      </c>
      <c r="E2589" s="2"/>
      <c r="H2589" s="2" t="s">
        <v>571</v>
      </c>
    </row>
    <row r="2590" ht="15.75" customHeight="1">
      <c r="A2590" s="2" t="s">
        <v>3291</v>
      </c>
      <c r="B2590" s="5" t="s">
        <v>214</v>
      </c>
      <c r="C2590" s="6">
        <v>46149.071921296294</v>
      </c>
      <c r="D2590" s="2">
        <v>-168.0</v>
      </c>
      <c r="E2590" s="2"/>
      <c r="H2590" s="2" t="s">
        <v>571</v>
      </c>
    </row>
    <row r="2591" ht="15.75" customHeight="1">
      <c r="A2591" s="2" t="s">
        <v>3292</v>
      </c>
      <c r="B2591" s="5" t="s">
        <v>217</v>
      </c>
      <c r="C2591" s="6">
        <v>46149.07292824074</v>
      </c>
      <c r="D2591" s="2">
        <v>195.0</v>
      </c>
      <c r="E2591" s="2" t="s">
        <v>3293</v>
      </c>
      <c r="H2591" s="2" t="s">
        <v>571</v>
      </c>
    </row>
    <row r="2592" ht="15.75" customHeight="1">
      <c r="A2592" s="2" t="s">
        <v>3294</v>
      </c>
      <c r="B2592" s="2" t="s">
        <v>271</v>
      </c>
      <c r="C2592" s="6">
        <v>46149.072962962964</v>
      </c>
      <c r="D2592" s="2">
        <v>135.0</v>
      </c>
      <c r="E2592" s="2" t="s">
        <v>3293</v>
      </c>
      <c r="H2592" s="2" t="s">
        <v>571</v>
      </c>
    </row>
    <row r="2593" ht="15.75" customHeight="1">
      <c r="A2593" s="2" t="s">
        <v>3295</v>
      </c>
      <c r="B2593" s="2" t="s">
        <v>280</v>
      </c>
      <c r="C2593" s="6">
        <v>46149.07300925926</v>
      </c>
      <c r="D2593" s="2">
        <v>150.0</v>
      </c>
      <c r="E2593" s="2" t="s">
        <v>3293</v>
      </c>
      <c r="H2593" s="2" t="s">
        <v>571</v>
      </c>
    </row>
    <row r="2594" ht="15.75" customHeight="1">
      <c r="A2594" s="2" t="s">
        <v>3296</v>
      </c>
      <c r="B2594" s="2" t="s">
        <v>259</v>
      </c>
      <c r="C2594" s="6">
        <v>46149.07372685185</v>
      </c>
      <c r="D2594" s="2">
        <v>0.0</v>
      </c>
      <c r="E2594" s="2" t="s">
        <v>3297</v>
      </c>
      <c r="H2594" s="2" t="s">
        <v>571</v>
      </c>
    </row>
    <row r="2595" ht="15.75" customHeight="1">
      <c r="A2595" s="2" t="s">
        <v>3298</v>
      </c>
      <c r="B2595" s="2" t="s">
        <v>289</v>
      </c>
      <c r="C2595" s="6">
        <v>46149.07451388889</v>
      </c>
      <c r="D2595" s="2">
        <v>180.0</v>
      </c>
      <c r="E2595" s="2" t="s">
        <v>3299</v>
      </c>
      <c r="H2595" s="2" t="s">
        <v>571</v>
      </c>
    </row>
    <row r="2596" ht="15.75" customHeight="1">
      <c r="A2596" s="2" t="s">
        <v>3300</v>
      </c>
      <c r="B2596" s="2" t="s">
        <v>280</v>
      </c>
      <c r="C2596" s="6">
        <v>46149.07454861111</v>
      </c>
      <c r="D2596" s="2">
        <v>15.0</v>
      </c>
      <c r="E2596" s="2" t="s">
        <v>3299</v>
      </c>
      <c r="H2596" s="2" t="s">
        <v>571</v>
      </c>
    </row>
    <row r="2597" ht="15.75" customHeight="1">
      <c r="A2597" s="2" t="s">
        <v>3301</v>
      </c>
      <c r="B2597" s="2" t="s">
        <v>289</v>
      </c>
      <c r="C2597" s="6">
        <v>46149.708391203705</v>
      </c>
      <c r="D2597" s="2">
        <v>-10.0</v>
      </c>
      <c r="E2597" s="2"/>
      <c r="H2597" s="2" t="s">
        <v>599</v>
      </c>
    </row>
    <row r="2598" ht="15.75" customHeight="1">
      <c r="A2598" s="2" t="s">
        <v>3302</v>
      </c>
      <c r="B2598" s="5" t="s">
        <v>217</v>
      </c>
      <c r="C2598" s="6">
        <v>46149.708506944444</v>
      </c>
      <c r="D2598" s="2">
        <v>-15.0</v>
      </c>
      <c r="E2598" s="2"/>
      <c r="H2598" s="2" t="s">
        <v>599</v>
      </c>
    </row>
    <row r="2599" ht="15.75" customHeight="1">
      <c r="A2599" s="2" t="s">
        <v>3303</v>
      </c>
      <c r="B2599" s="2" t="s">
        <v>280</v>
      </c>
      <c r="C2599" s="6">
        <v>46149.708599537036</v>
      </c>
      <c r="D2599" s="2">
        <v>-15.0</v>
      </c>
      <c r="E2599" s="2"/>
      <c r="H2599" s="2" t="s">
        <v>599</v>
      </c>
    </row>
    <row r="2600" ht="15.75" customHeight="1">
      <c r="A2600" s="2" t="s">
        <v>3304</v>
      </c>
      <c r="B2600" s="2" t="s">
        <v>271</v>
      </c>
      <c r="C2600" s="6">
        <v>46149.70866898148</v>
      </c>
      <c r="D2600" s="2">
        <v>-15.0</v>
      </c>
      <c r="E2600" s="2"/>
      <c r="H2600" s="2" t="s">
        <v>599</v>
      </c>
    </row>
    <row r="2601" ht="15.75" customHeight="1">
      <c r="A2601" s="2" t="s">
        <v>3305</v>
      </c>
      <c r="B2601" s="2" t="s">
        <v>372</v>
      </c>
      <c r="C2601" s="6">
        <v>46149.709178240744</v>
      </c>
      <c r="D2601" s="2">
        <v>-12.0</v>
      </c>
      <c r="E2601" s="2"/>
      <c r="H2601" s="2" t="s">
        <v>599</v>
      </c>
    </row>
    <row r="2602" ht="15.75" customHeight="1">
      <c r="A2602" s="2" t="s">
        <v>3306</v>
      </c>
      <c r="B2602" s="2" t="s">
        <v>295</v>
      </c>
      <c r="C2602" s="6">
        <v>46149.71010416667</v>
      </c>
      <c r="D2602" s="2">
        <v>-14.0</v>
      </c>
      <c r="E2602" s="2"/>
      <c r="H2602" s="2" t="s">
        <v>599</v>
      </c>
    </row>
    <row r="2603" ht="15.75" customHeight="1">
      <c r="A2603" s="2" t="s">
        <v>3307</v>
      </c>
      <c r="B2603" s="5" t="s">
        <v>142</v>
      </c>
      <c r="C2603" s="6">
        <v>46149.71078703704</v>
      </c>
      <c r="D2603" s="2">
        <v>-9.0</v>
      </c>
      <c r="E2603" s="2"/>
      <c r="H2603" s="2" t="s">
        <v>599</v>
      </c>
    </row>
    <row r="2604" ht="15.75" customHeight="1">
      <c r="A2604" s="2" t="s">
        <v>3308</v>
      </c>
      <c r="B2604" s="2" t="s">
        <v>405</v>
      </c>
      <c r="C2604" s="6">
        <v>46149.71142361111</v>
      </c>
      <c r="D2604" s="2">
        <v>-3.0</v>
      </c>
      <c r="E2604" s="2"/>
      <c r="H2604" s="2" t="s">
        <v>599</v>
      </c>
    </row>
    <row r="2605" ht="15.75" customHeight="1">
      <c r="A2605" s="2" t="s">
        <v>3309</v>
      </c>
      <c r="B2605" s="5" t="s">
        <v>192</v>
      </c>
      <c r="C2605" s="6">
        <v>46149.711747685185</v>
      </c>
      <c r="D2605" s="2">
        <v>-24.0</v>
      </c>
      <c r="E2605" s="2"/>
      <c r="H2605" s="2" t="s">
        <v>599</v>
      </c>
    </row>
    <row r="2606" ht="15.75" customHeight="1">
      <c r="A2606" s="2" t="s">
        <v>3310</v>
      </c>
      <c r="B2606" s="5" t="s">
        <v>214</v>
      </c>
      <c r="C2606" s="6">
        <v>46149.71209490741</v>
      </c>
      <c r="D2606" s="2">
        <v>-48.0</v>
      </c>
      <c r="E2606" s="2"/>
      <c r="H2606" s="2" t="s">
        <v>599</v>
      </c>
    </row>
    <row r="2607" ht="15.75" customHeight="1">
      <c r="A2607" s="2" t="s">
        <v>3311</v>
      </c>
      <c r="B2607" s="2" t="s">
        <v>295</v>
      </c>
      <c r="C2607" s="6">
        <v>46149.71231481482</v>
      </c>
      <c r="D2607" s="2">
        <v>3.0</v>
      </c>
      <c r="E2607" s="2"/>
      <c r="H2607" s="2" t="s">
        <v>599</v>
      </c>
    </row>
    <row r="2608" ht="15.75" customHeight="1">
      <c r="A2608" s="2" t="s">
        <v>3312</v>
      </c>
      <c r="B2608" s="2" t="s">
        <v>396</v>
      </c>
      <c r="C2608" s="6">
        <v>46149.712372685186</v>
      </c>
      <c r="D2608" s="2">
        <v>1.0</v>
      </c>
      <c r="E2608" s="2"/>
      <c r="H2608" s="2" t="s">
        <v>599</v>
      </c>
    </row>
    <row r="2609" ht="15.75" customHeight="1">
      <c r="A2609" s="2" t="s">
        <v>3313</v>
      </c>
      <c r="B2609" s="2" t="s">
        <v>354</v>
      </c>
      <c r="C2609" s="6">
        <v>46149.71246527778</v>
      </c>
      <c r="D2609" s="2">
        <v>2.0</v>
      </c>
      <c r="E2609" s="2"/>
      <c r="H2609" s="2" t="s">
        <v>599</v>
      </c>
    </row>
    <row r="2610" ht="15.75" customHeight="1">
      <c r="A2610" s="2" t="s">
        <v>3314</v>
      </c>
      <c r="B2610" s="2" t="s">
        <v>289</v>
      </c>
      <c r="C2610" s="6">
        <v>46150.596875</v>
      </c>
      <c r="D2610" s="2">
        <v>-8.0</v>
      </c>
      <c r="E2610" s="2"/>
      <c r="H2610" s="2" t="s">
        <v>599</v>
      </c>
    </row>
    <row r="2611" ht="15.75" customHeight="1">
      <c r="A2611" s="2" t="s">
        <v>3315</v>
      </c>
      <c r="B2611" s="5" t="s">
        <v>217</v>
      </c>
      <c r="C2611" s="6">
        <v>46150.59709490741</v>
      </c>
      <c r="D2611" s="2">
        <v>-3.0</v>
      </c>
      <c r="E2611" s="2"/>
      <c r="H2611" s="2" t="s">
        <v>599</v>
      </c>
    </row>
    <row r="2612" ht="15.75" customHeight="1">
      <c r="A2612" s="2" t="s">
        <v>3316</v>
      </c>
      <c r="B2612" s="2" t="s">
        <v>419</v>
      </c>
      <c r="C2612" s="6">
        <v>46150.59716435185</v>
      </c>
      <c r="D2612" s="2">
        <v>-2.0</v>
      </c>
      <c r="E2612" s="2"/>
      <c r="H2612" s="2" t="s">
        <v>599</v>
      </c>
    </row>
    <row r="2613" ht="15.75" customHeight="1">
      <c r="A2613" s="2" t="s">
        <v>3317</v>
      </c>
      <c r="B2613" s="2" t="s">
        <v>280</v>
      </c>
      <c r="C2613" s="6">
        <v>46150.597233796296</v>
      </c>
      <c r="D2613" s="2">
        <v>-15.0</v>
      </c>
      <c r="E2613" s="2"/>
      <c r="H2613" s="2" t="s">
        <v>599</v>
      </c>
    </row>
    <row r="2614" ht="15.75" customHeight="1">
      <c r="A2614" s="2" t="s">
        <v>3318</v>
      </c>
      <c r="B2614" s="2" t="s">
        <v>271</v>
      </c>
      <c r="C2614" s="6">
        <v>46150.597407407404</v>
      </c>
      <c r="D2614" s="2">
        <v>-3.0</v>
      </c>
      <c r="E2614" s="2"/>
      <c r="H2614" s="2" t="s">
        <v>599</v>
      </c>
    </row>
    <row r="2615" ht="15.75" customHeight="1">
      <c r="A2615" s="2" t="s">
        <v>3319</v>
      </c>
      <c r="B2615" s="5" t="s">
        <v>96</v>
      </c>
      <c r="C2615" s="6">
        <v>46150.59752314815</v>
      </c>
      <c r="D2615" s="2">
        <v>-1.0</v>
      </c>
      <c r="E2615" s="2"/>
      <c r="H2615" s="2" t="s">
        <v>599</v>
      </c>
    </row>
    <row r="2616" ht="15.75" customHeight="1">
      <c r="A2616" s="2" t="s">
        <v>3320</v>
      </c>
      <c r="B2616" s="2" t="s">
        <v>396</v>
      </c>
      <c r="C2616" s="6">
        <v>46150.597592592596</v>
      </c>
      <c r="D2616" s="2">
        <v>-4.0</v>
      </c>
      <c r="E2616" s="2"/>
      <c r="H2616" s="2" t="s">
        <v>599</v>
      </c>
    </row>
    <row r="2617" ht="15.75" customHeight="1">
      <c r="A2617" s="2" t="s">
        <v>3321</v>
      </c>
      <c r="B2617" s="2" t="s">
        <v>405</v>
      </c>
      <c r="C2617" s="6">
        <v>46150.59784722222</v>
      </c>
      <c r="D2617" s="2">
        <v>-3.0</v>
      </c>
      <c r="E2617" s="2"/>
      <c r="H2617" s="2" t="s">
        <v>599</v>
      </c>
    </row>
    <row r="2618" ht="15.75" customHeight="1">
      <c r="A2618" s="2" t="s">
        <v>3322</v>
      </c>
      <c r="B2618" s="5" t="s">
        <v>142</v>
      </c>
      <c r="C2618" s="6">
        <v>46150.59847222222</v>
      </c>
      <c r="D2618" s="2">
        <v>-3.0</v>
      </c>
      <c r="E2618" s="2"/>
      <c r="H2618" s="2" t="s">
        <v>599</v>
      </c>
    </row>
    <row r="2619" ht="15.75" customHeight="1">
      <c r="A2619" s="2" t="s">
        <v>3323</v>
      </c>
      <c r="B2619" s="2" t="s">
        <v>289</v>
      </c>
      <c r="C2619" s="6">
        <v>46150.60105324074</v>
      </c>
      <c r="D2619" s="2">
        <v>-14.0</v>
      </c>
      <c r="E2619" s="2"/>
      <c r="H2619" s="2" t="s">
        <v>599</v>
      </c>
    </row>
    <row r="2620" ht="15.75" customHeight="1">
      <c r="A2620" s="2" t="s">
        <v>3324</v>
      </c>
      <c r="B2620" s="2" t="s">
        <v>280</v>
      </c>
      <c r="C2620" s="6">
        <v>46150.60113425926</v>
      </c>
      <c r="D2620" s="2">
        <v>-30.0</v>
      </c>
      <c r="E2620" s="2"/>
      <c r="H2620" s="2" t="s">
        <v>599</v>
      </c>
    </row>
    <row r="2621" ht="15.75" customHeight="1">
      <c r="A2621" s="2" t="s">
        <v>3325</v>
      </c>
      <c r="B2621" s="2" t="s">
        <v>271</v>
      </c>
      <c r="C2621" s="6">
        <v>46150.601377314815</v>
      </c>
      <c r="D2621" s="2">
        <v>-15.0</v>
      </c>
      <c r="E2621" s="2"/>
      <c r="H2621" s="2" t="s">
        <v>599</v>
      </c>
    </row>
    <row r="2622" ht="15.75" customHeight="1">
      <c r="A2622" s="2" t="s">
        <v>3326</v>
      </c>
      <c r="B2622" s="5" t="s">
        <v>217</v>
      </c>
      <c r="C2622" s="6">
        <v>46150.601435185185</v>
      </c>
      <c r="D2622" s="2">
        <v>-1.0</v>
      </c>
      <c r="E2622" s="2"/>
      <c r="H2622" s="2" t="s">
        <v>599</v>
      </c>
    </row>
    <row r="2623" ht="15.75" customHeight="1">
      <c r="A2623" s="2" t="s">
        <v>3327</v>
      </c>
      <c r="B2623" s="2" t="s">
        <v>378</v>
      </c>
      <c r="C2623" s="6">
        <v>46150.60239583333</v>
      </c>
      <c r="D2623" s="2">
        <v>-8.0</v>
      </c>
      <c r="E2623" s="2"/>
      <c r="H2623" s="2" t="s">
        <v>599</v>
      </c>
    </row>
    <row r="2624" ht="15.75" customHeight="1">
      <c r="A2624" s="2" t="s">
        <v>3328</v>
      </c>
      <c r="B2624" s="2" t="s">
        <v>384</v>
      </c>
      <c r="C2624" s="6">
        <v>46150.6025</v>
      </c>
      <c r="D2624" s="2">
        <v>-10.0</v>
      </c>
      <c r="E2624" s="2"/>
      <c r="H2624" s="2" t="s">
        <v>599</v>
      </c>
    </row>
    <row r="2625" ht="15.75" customHeight="1">
      <c r="A2625" s="2" t="s">
        <v>3329</v>
      </c>
      <c r="B2625" s="2" t="s">
        <v>295</v>
      </c>
      <c r="C2625" s="6">
        <v>46150.6030787037</v>
      </c>
      <c r="D2625" s="2">
        <v>-23.0</v>
      </c>
      <c r="E2625" s="2"/>
      <c r="H2625" s="2" t="s">
        <v>599</v>
      </c>
    </row>
    <row r="2626" ht="15.75" customHeight="1">
      <c r="A2626" s="2" t="s">
        <v>3330</v>
      </c>
      <c r="B2626" s="5" t="s">
        <v>134</v>
      </c>
      <c r="C2626" s="6">
        <v>46150.60388888889</v>
      </c>
      <c r="D2626" s="2">
        <v>-6.0</v>
      </c>
      <c r="E2626" s="2"/>
      <c r="H2626" s="2" t="s">
        <v>599</v>
      </c>
    </row>
    <row r="2627" ht="15.75" customHeight="1">
      <c r="A2627" s="2" t="s">
        <v>3331</v>
      </c>
      <c r="B2627" s="2" t="s">
        <v>289</v>
      </c>
      <c r="C2627" s="6">
        <v>46150.7043287037</v>
      </c>
      <c r="D2627" s="2">
        <v>-13.0</v>
      </c>
      <c r="E2627" s="2"/>
      <c r="H2627" s="2" t="s">
        <v>599</v>
      </c>
    </row>
    <row r="2628" ht="15.75" customHeight="1">
      <c r="A2628" s="2" t="s">
        <v>3332</v>
      </c>
      <c r="B2628" s="5" t="s">
        <v>217</v>
      </c>
      <c r="C2628" s="6">
        <v>46150.70444444445</v>
      </c>
      <c r="D2628" s="2">
        <v>-6.0</v>
      </c>
      <c r="E2628" s="2"/>
      <c r="H2628" s="2" t="s">
        <v>599</v>
      </c>
    </row>
    <row r="2629" ht="15.75" customHeight="1">
      <c r="A2629" s="2" t="s">
        <v>3333</v>
      </c>
      <c r="B2629" s="2" t="s">
        <v>271</v>
      </c>
      <c r="C2629" s="6">
        <v>46150.70450231482</v>
      </c>
      <c r="D2629" s="2">
        <v>-10.0</v>
      </c>
      <c r="E2629" s="2"/>
      <c r="H2629" s="2" t="s">
        <v>599</v>
      </c>
    </row>
    <row r="2630" ht="15.75" customHeight="1">
      <c r="A2630" s="2" t="s">
        <v>3334</v>
      </c>
      <c r="B2630" s="2" t="s">
        <v>280</v>
      </c>
      <c r="C2630" s="6">
        <v>46150.70460648148</v>
      </c>
      <c r="D2630" s="2">
        <v>-15.0</v>
      </c>
      <c r="E2630" s="2"/>
      <c r="H2630" s="2" t="s">
        <v>599</v>
      </c>
    </row>
    <row r="2631" ht="15.75" customHeight="1">
      <c r="A2631" s="2" t="s">
        <v>3335</v>
      </c>
      <c r="B2631" s="2" t="s">
        <v>378</v>
      </c>
      <c r="C2631" s="6">
        <v>46150.70502314815</v>
      </c>
      <c r="D2631" s="2">
        <v>-24.0</v>
      </c>
      <c r="E2631" s="2"/>
      <c r="H2631" s="2" t="s">
        <v>599</v>
      </c>
    </row>
    <row r="2632" ht="15.75" customHeight="1">
      <c r="A2632" s="2" t="s">
        <v>3336</v>
      </c>
      <c r="B2632" s="2" t="s">
        <v>384</v>
      </c>
      <c r="C2632" s="6">
        <v>46150.70511574074</v>
      </c>
      <c r="D2632" s="2">
        <v>-24.0</v>
      </c>
      <c r="E2632" s="2"/>
      <c r="H2632" s="2" t="s">
        <v>599</v>
      </c>
    </row>
    <row r="2633" ht="15.75" customHeight="1">
      <c r="A2633" s="2" t="s">
        <v>3337</v>
      </c>
      <c r="B2633" s="5" t="s">
        <v>148</v>
      </c>
      <c r="C2633" s="6">
        <v>46150.70523148148</v>
      </c>
      <c r="D2633" s="2">
        <v>-25.0</v>
      </c>
      <c r="E2633" s="2"/>
      <c r="H2633" s="2" t="s">
        <v>599</v>
      </c>
    </row>
    <row r="2634" ht="15.75" customHeight="1">
      <c r="A2634" s="2" t="s">
        <v>3338</v>
      </c>
      <c r="B2634" s="5" t="s">
        <v>157</v>
      </c>
      <c r="C2634" s="6">
        <v>46150.705358796295</v>
      </c>
      <c r="D2634" s="2">
        <v>-5.0</v>
      </c>
      <c r="E2634" s="2"/>
      <c r="H2634" s="2" t="s">
        <v>599</v>
      </c>
    </row>
    <row r="2635" ht="15.75" customHeight="1">
      <c r="A2635" s="2" t="s">
        <v>3339</v>
      </c>
      <c r="B2635" s="5" t="s">
        <v>134</v>
      </c>
      <c r="C2635" s="6">
        <v>46150.70699074074</v>
      </c>
      <c r="D2635" s="2">
        <v>-3.0</v>
      </c>
      <c r="E2635" s="2"/>
      <c r="H2635" s="2" t="s">
        <v>599</v>
      </c>
    </row>
    <row r="2636" ht="15.75" customHeight="1">
      <c r="A2636" s="2" t="s">
        <v>3340</v>
      </c>
      <c r="B2636" s="2" t="s">
        <v>354</v>
      </c>
      <c r="C2636" s="6">
        <v>46150.70748842593</v>
      </c>
      <c r="D2636" s="2">
        <v>-4.0</v>
      </c>
      <c r="E2636" s="2"/>
      <c r="H2636" s="2" t="s">
        <v>599</v>
      </c>
    </row>
    <row r="2637" ht="15.75" customHeight="1">
      <c r="A2637" s="2" t="s">
        <v>3341</v>
      </c>
      <c r="B2637" s="2" t="s">
        <v>405</v>
      </c>
      <c r="C2637" s="6">
        <v>46150.70811342593</v>
      </c>
      <c r="D2637" s="2">
        <v>-7.0</v>
      </c>
      <c r="E2637" s="2"/>
      <c r="H2637" s="2" t="s">
        <v>599</v>
      </c>
    </row>
    <row r="2638" ht="15.75" customHeight="1">
      <c r="A2638" s="2" t="s">
        <v>3342</v>
      </c>
      <c r="B2638" s="5" t="s">
        <v>192</v>
      </c>
      <c r="C2638" s="6">
        <v>46150.709027777775</v>
      </c>
      <c r="D2638" s="2">
        <v>-11.0</v>
      </c>
      <c r="E2638" s="2"/>
      <c r="H2638" s="2" t="s">
        <v>599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560</v>
      </c>
      <c r="B1" s="1" t="s">
        <v>0</v>
      </c>
      <c r="C1" s="1" t="s">
        <v>561</v>
      </c>
      <c r="D1" s="1" t="s">
        <v>562</v>
      </c>
      <c r="E1" s="1" t="s">
        <v>563</v>
      </c>
      <c r="F1" s="1" t="s">
        <v>3343</v>
      </c>
      <c r="G1" s="1" t="s">
        <v>3344</v>
      </c>
      <c r="H1" s="1" t="s">
        <v>565</v>
      </c>
      <c r="I1" s="1" t="s">
        <v>566</v>
      </c>
      <c r="J1" s="1" t="s">
        <v>567</v>
      </c>
      <c r="K1" s="1" t="s">
        <v>568</v>
      </c>
    </row>
    <row r="2">
      <c r="A2" s="3" t="s">
        <v>3345</v>
      </c>
      <c r="B2" s="3" t="s">
        <v>41</v>
      </c>
      <c r="C2" s="8">
        <v>46013.58560185185</v>
      </c>
      <c r="D2" s="3">
        <v>10.0</v>
      </c>
    </row>
    <row r="3">
      <c r="A3" s="3" t="s">
        <v>3346</v>
      </c>
      <c r="B3" s="3" t="s">
        <v>85</v>
      </c>
      <c r="C3" s="8">
        <v>46013.6640162037</v>
      </c>
      <c r="D3" s="3">
        <v>1.0</v>
      </c>
    </row>
    <row r="4">
      <c r="A4" s="3" t="s">
        <v>3347</v>
      </c>
      <c r="B4" s="3" t="s">
        <v>162</v>
      </c>
      <c r="C4" s="8">
        <v>46013.70667824074</v>
      </c>
      <c r="D4" s="3">
        <v>1.0</v>
      </c>
    </row>
    <row r="5">
      <c r="A5" s="3" t="s">
        <v>3348</v>
      </c>
      <c r="B5" s="3" t="s">
        <v>3349</v>
      </c>
      <c r="C5" s="8">
        <v>46013.71496527778</v>
      </c>
      <c r="D5" s="3">
        <v>20.0</v>
      </c>
    </row>
    <row r="6">
      <c r="A6" s="3" t="s">
        <v>3350</v>
      </c>
      <c r="B6" s="3" t="s">
        <v>151</v>
      </c>
      <c r="C6" s="8">
        <v>46013.73979166667</v>
      </c>
      <c r="D6" s="3">
        <v>0.0</v>
      </c>
    </row>
    <row r="7">
      <c r="A7" s="3" t="s">
        <v>3351</v>
      </c>
      <c r="B7" s="3" t="s">
        <v>217</v>
      </c>
      <c r="C7" s="8">
        <v>46013.80046296296</v>
      </c>
      <c r="D7" s="3">
        <v>50.0</v>
      </c>
    </row>
    <row r="8">
      <c r="A8" s="3" t="s">
        <v>3352</v>
      </c>
      <c r="B8" s="3" t="s">
        <v>217</v>
      </c>
      <c r="C8" s="8">
        <v>46013.80094907407</v>
      </c>
      <c r="D8" s="3">
        <v>-10.0</v>
      </c>
    </row>
    <row r="9">
      <c r="A9" s="3" t="s">
        <v>3353</v>
      </c>
      <c r="B9" s="3" t="s">
        <v>217</v>
      </c>
      <c r="C9" s="8">
        <v>46014.65890046296</v>
      </c>
      <c r="D9" s="3">
        <v>5.0</v>
      </c>
    </row>
    <row r="10">
      <c r="A10" s="3" t="s">
        <v>3354</v>
      </c>
      <c r="B10" s="3" t="s">
        <v>217</v>
      </c>
      <c r="C10" s="8">
        <v>46014.65916666666</v>
      </c>
      <c r="D10" s="3">
        <v>2.0</v>
      </c>
    </row>
    <row r="11">
      <c r="A11" s="3" t="s">
        <v>3355</v>
      </c>
      <c r="B11" s="3" t="s">
        <v>202</v>
      </c>
      <c r="C11" s="8">
        <v>46014.66241898148</v>
      </c>
      <c r="D11" s="3">
        <v>24.0</v>
      </c>
    </row>
    <row r="12">
      <c r="A12" s="3" t="s">
        <v>3356</v>
      </c>
      <c r="B12" s="3" t="s">
        <v>229</v>
      </c>
      <c r="C12" s="8">
        <v>46014.66648148148</v>
      </c>
      <c r="D12" s="3">
        <v>12.0</v>
      </c>
    </row>
    <row r="13">
      <c r="A13" s="3" t="s">
        <v>3357</v>
      </c>
      <c r="B13" s="3" t="s">
        <v>232</v>
      </c>
      <c r="C13" s="8">
        <v>46014.66670138889</v>
      </c>
      <c r="D13" s="3">
        <v>12.0</v>
      </c>
    </row>
    <row r="14">
      <c r="A14" s="3" t="s">
        <v>3358</v>
      </c>
      <c r="B14" s="3" t="s">
        <v>226</v>
      </c>
      <c r="C14" s="8">
        <v>46014.66684027778</v>
      </c>
      <c r="D14" s="3">
        <v>12.0</v>
      </c>
    </row>
    <row r="15">
      <c r="A15" s="3" t="s">
        <v>3359</v>
      </c>
      <c r="B15" s="3" t="s">
        <v>223</v>
      </c>
      <c r="C15" s="8">
        <v>46014.66689814815</v>
      </c>
      <c r="D15" s="3">
        <v>12.0</v>
      </c>
    </row>
    <row r="16">
      <c r="A16" s="3" t="s">
        <v>3360</v>
      </c>
      <c r="B16" s="3" t="s">
        <v>220</v>
      </c>
      <c r="C16" s="8">
        <v>46014.66701388889</v>
      </c>
      <c r="D16" s="3">
        <v>12.0</v>
      </c>
    </row>
    <row r="17">
      <c r="A17" s="3" t="s">
        <v>3361</v>
      </c>
      <c r="B17" s="3" t="s">
        <v>217</v>
      </c>
      <c r="C17" s="8">
        <v>46014.66734953703</v>
      </c>
      <c r="D17" s="3">
        <v>100.0</v>
      </c>
    </row>
    <row r="18">
      <c r="A18" s="3" t="s">
        <v>3362</v>
      </c>
      <c r="B18" s="3" t="s">
        <v>217</v>
      </c>
      <c r="C18" s="8">
        <v>46014.67137731481</v>
      </c>
      <c r="D18" s="3">
        <v>3.0</v>
      </c>
    </row>
    <row r="19">
      <c r="A19" s="3" t="s">
        <v>3363</v>
      </c>
      <c r="B19" s="3" t="s">
        <v>88</v>
      </c>
      <c r="C19" s="8">
        <v>46014.67442129629</v>
      </c>
      <c r="D19" s="3">
        <v>18.0</v>
      </c>
    </row>
    <row r="20">
      <c r="A20" s="3" t="s">
        <v>3364</v>
      </c>
      <c r="B20" s="3" t="s">
        <v>189</v>
      </c>
      <c r="C20" s="8">
        <v>46014.67877314815</v>
      </c>
      <c r="D20" s="3">
        <v>100.0</v>
      </c>
    </row>
    <row r="21" ht="15.75" customHeight="1">
      <c r="A21" s="3" t="s">
        <v>3365</v>
      </c>
      <c r="B21" s="3" t="s">
        <v>189</v>
      </c>
      <c r="C21" s="8">
        <v>46014.67902777778</v>
      </c>
      <c r="D21" s="3">
        <v>100.0</v>
      </c>
    </row>
    <row r="22" ht="15.75" customHeight="1">
      <c r="A22" s="3" t="s">
        <v>3366</v>
      </c>
      <c r="B22" s="3" t="s">
        <v>189</v>
      </c>
      <c r="C22" s="8">
        <v>46014.67909722222</v>
      </c>
      <c r="D22" s="3">
        <v>10.0</v>
      </c>
    </row>
    <row r="23" ht="15.75" customHeight="1">
      <c r="A23" s="3" t="s">
        <v>3367</v>
      </c>
      <c r="B23" s="3" t="s">
        <v>56</v>
      </c>
      <c r="C23" s="8">
        <v>46014.67959490741</v>
      </c>
      <c r="D23" s="3">
        <v>96.0</v>
      </c>
    </row>
    <row r="24" ht="15.75" customHeight="1">
      <c r="A24" s="3" t="s">
        <v>3368</v>
      </c>
      <c r="B24" s="3" t="s">
        <v>142</v>
      </c>
      <c r="C24" s="8">
        <v>46014.68126157407</v>
      </c>
      <c r="D24" s="3">
        <v>24.0</v>
      </c>
    </row>
    <row r="25" ht="15.75" customHeight="1">
      <c r="A25" s="3" t="s">
        <v>3369</v>
      </c>
      <c r="B25" s="3" t="s">
        <v>142</v>
      </c>
      <c r="C25" s="8">
        <v>46014.68131944445</v>
      </c>
      <c r="D25" s="3">
        <v>24.0</v>
      </c>
    </row>
    <row r="26" ht="15.75" customHeight="1">
      <c r="A26" s="3" t="s">
        <v>3370</v>
      </c>
      <c r="B26" s="3" t="s">
        <v>192</v>
      </c>
      <c r="C26" s="8">
        <v>46014.68239583333</v>
      </c>
      <c r="D26" s="3">
        <v>48.0</v>
      </c>
    </row>
    <row r="27" ht="15.75" customHeight="1">
      <c r="A27" s="3" t="s">
        <v>3371</v>
      </c>
      <c r="B27" s="3" t="s">
        <v>131</v>
      </c>
      <c r="C27" s="8">
        <v>46014.68371527778</v>
      </c>
      <c r="D27" s="3">
        <v>51.0</v>
      </c>
    </row>
    <row r="28" ht="15.75" customHeight="1">
      <c r="A28" s="3" t="s">
        <v>3372</v>
      </c>
      <c r="B28" s="3" t="s">
        <v>91</v>
      </c>
      <c r="C28" s="8">
        <v>46014.6840625</v>
      </c>
      <c r="D28" s="3">
        <v>3.0</v>
      </c>
    </row>
    <row r="29" ht="15.75" customHeight="1">
      <c r="A29" s="3" t="s">
        <v>3373</v>
      </c>
      <c r="B29" s="3" t="s">
        <v>241</v>
      </c>
      <c r="C29" s="8">
        <v>46014.68508101852</v>
      </c>
      <c r="D29" s="3">
        <v>24.0</v>
      </c>
    </row>
    <row r="30" ht="15.75" customHeight="1">
      <c r="A30" s="3" t="s">
        <v>3374</v>
      </c>
      <c r="B30" s="3" t="s">
        <v>134</v>
      </c>
      <c r="C30" s="8">
        <v>46014.68672453704</v>
      </c>
      <c r="D30" s="3">
        <v>54.0</v>
      </c>
    </row>
    <row r="31" ht="15.75" customHeight="1">
      <c r="A31" s="3" t="s">
        <v>3375</v>
      </c>
      <c r="B31" s="3" t="s">
        <v>59</v>
      </c>
      <c r="C31" s="8">
        <v>46014.68744212963</v>
      </c>
      <c r="D31" s="3">
        <v>27.0</v>
      </c>
    </row>
    <row r="32" ht="15.75" customHeight="1">
      <c r="A32" s="3" t="s">
        <v>3376</v>
      </c>
      <c r="B32" s="3" t="s">
        <v>165</v>
      </c>
      <c r="C32" s="8">
        <v>46014.68809027778</v>
      </c>
      <c r="D32" s="3">
        <v>48.0</v>
      </c>
    </row>
    <row r="33" ht="15.75" customHeight="1">
      <c r="A33" s="3" t="s">
        <v>3377</v>
      </c>
      <c r="B33" s="3" t="s">
        <v>186</v>
      </c>
      <c r="C33" s="8">
        <v>46014.68849537037</v>
      </c>
      <c r="D33" s="3">
        <v>30.0</v>
      </c>
    </row>
    <row r="34" ht="15.75" customHeight="1">
      <c r="A34" s="3" t="s">
        <v>3378</v>
      </c>
      <c r="B34" s="3" t="s">
        <v>171</v>
      </c>
      <c r="C34" s="8">
        <v>46014.68868055556</v>
      </c>
      <c r="D34" s="3">
        <v>100.0</v>
      </c>
    </row>
    <row r="35" ht="15.75" customHeight="1">
      <c r="A35" s="3" t="s">
        <v>3379</v>
      </c>
      <c r="B35" s="3" t="s">
        <v>171</v>
      </c>
      <c r="C35" s="8">
        <v>46014.68896990741</v>
      </c>
      <c r="D35" s="3">
        <v>20.0</v>
      </c>
    </row>
    <row r="36" ht="15.75" customHeight="1">
      <c r="A36" s="3" t="s">
        <v>3380</v>
      </c>
      <c r="B36" s="3" t="s">
        <v>52</v>
      </c>
      <c r="C36" s="8">
        <v>46014.69017361111</v>
      </c>
      <c r="D36" s="3">
        <v>19.0</v>
      </c>
    </row>
    <row r="37" ht="15.75" customHeight="1">
      <c r="A37" s="3" t="s">
        <v>3381</v>
      </c>
      <c r="B37" s="3" t="s">
        <v>183</v>
      </c>
      <c r="C37" s="8">
        <v>46014.69043981482</v>
      </c>
      <c r="D37" s="3">
        <v>4.0</v>
      </c>
    </row>
    <row r="38" ht="15.75" customHeight="1">
      <c r="A38" s="3" t="s">
        <v>3382</v>
      </c>
      <c r="B38" s="3" t="s">
        <v>77</v>
      </c>
      <c r="C38" s="8">
        <v>46014.69199074074</v>
      </c>
      <c r="D38" s="3">
        <v>8.0</v>
      </c>
    </row>
    <row r="39" ht="15.75" customHeight="1">
      <c r="A39" s="3" t="s">
        <v>3383</v>
      </c>
      <c r="B39" s="3" t="s">
        <v>3384</v>
      </c>
      <c r="C39" s="8">
        <v>46014.69302083334</v>
      </c>
      <c r="D39" s="3">
        <v>2.0</v>
      </c>
    </row>
    <row r="40" ht="15.75" customHeight="1">
      <c r="A40" s="3" t="s">
        <v>3385</v>
      </c>
      <c r="B40" s="3" t="s">
        <v>3386</v>
      </c>
      <c r="C40" s="8">
        <v>46014.69412037037</v>
      </c>
      <c r="D40" s="3">
        <v>1.0</v>
      </c>
    </row>
    <row r="41" ht="15.75" customHeight="1">
      <c r="A41" s="3" t="s">
        <v>3387</v>
      </c>
      <c r="B41" s="3" t="s">
        <v>139</v>
      </c>
      <c r="C41" s="8">
        <v>46014.6946875</v>
      </c>
      <c r="D41" s="3">
        <v>18.0</v>
      </c>
    </row>
    <row r="42" ht="15.75" customHeight="1">
      <c r="A42" s="3" t="s">
        <v>3388</v>
      </c>
      <c r="B42" s="3" t="s">
        <v>154</v>
      </c>
      <c r="C42" s="8">
        <v>46014.69545138889</v>
      </c>
      <c r="D42" s="3">
        <v>13.0</v>
      </c>
    </row>
    <row r="43" ht="15.75" customHeight="1">
      <c r="A43" s="3" t="s">
        <v>3389</v>
      </c>
      <c r="B43" s="3" t="s">
        <v>244</v>
      </c>
      <c r="C43" s="8">
        <v>46014.69634259259</v>
      </c>
      <c r="D43" s="3">
        <v>24.0</v>
      </c>
    </row>
    <row r="44" ht="15.75" customHeight="1">
      <c r="A44" s="3" t="s">
        <v>3390</v>
      </c>
      <c r="B44" s="3" t="s">
        <v>145</v>
      </c>
      <c r="C44" s="8">
        <v>46014.69711805556</v>
      </c>
      <c r="D44" s="3">
        <v>12.0</v>
      </c>
    </row>
    <row r="45" ht="15.75" customHeight="1">
      <c r="A45" s="3" t="s">
        <v>3391</v>
      </c>
      <c r="B45" s="3" t="s">
        <v>663</v>
      </c>
      <c r="C45" s="8">
        <v>46014.69908564815</v>
      </c>
      <c r="D45" s="3">
        <v>32.0</v>
      </c>
    </row>
    <row r="46" ht="15.75" customHeight="1">
      <c r="A46" s="3" t="s">
        <v>3392</v>
      </c>
      <c r="B46" s="3" t="s">
        <v>663</v>
      </c>
      <c r="C46" s="8">
        <v>46014.70008101852</v>
      </c>
      <c r="D46" s="3">
        <v>2.0</v>
      </c>
    </row>
    <row r="47" ht="15.75" customHeight="1">
      <c r="A47" s="3" t="s">
        <v>3393</v>
      </c>
      <c r="B47" s="3" t="s">
        <v>214</v>
      </c>
      <c r="C47" s="8">
        <v>46014.70039351852</v>
      </c>
      <c r="D47" s="3">
        <v>120.0</v>
      </c>
    </row>
    <row r="48" ht="15.75" customHeight="1">
      <c r="A48" s="3" t="s">
        <v>3394</v>
      </c>
      <c r="B48" s="3" t="s">
        <v>82</v>
      </c>
      <c r="C48" s="8">
        <v>46014.70112268518</v>
      </c>
      <c r="D48" s="3">
        <v>24.0</v>
      </c>
    </row>
    <row r="49" ht="15.75" customHeight="1">
      <c r="A49" s="3" t="s">
        <v>3395</v>
      </c>
      <c r="B49" s="3" t="s">
        <v>82</v>
      </c>
      <c r="C49" s="8">
        <v>46014.70126157408</v>
      </c>
      <c r="D49" s="3">
        <v>10.0</v>
      </c>
    </row>
    <row r="50" ht="15.75" customHeight="1">
      <c r="A50" s="3" t="s">
        <v>3396</v>
      </c>
      <c r="B50" s="3" t="s">
        <v>82</v>
      </c>
      <c r="C50" s="8">
        <v>46014.70158564814</v>
      </c>
      <c r="D50" s="3">
        <v>1.0</v>
      </c>
    </row>
    <row r="51" ht="15.75" customHeight="1">
      <c r="A51" s="3" t="s">
        <v>3397</v>
      </c>
      <c r="B51" s="3" t="s">
        <v>206</v>
      </c>
      <c r="C51" s="8">
        <v>46014.70202546296</v>
      </c>
      <c r="D51" s="3">
        <v>14.0</v>
      </c>
    </row>
    <row r="52" ht="15.75" customHeight="1">
      <c r="A52" s="3" t="s">
        <v>3398</v>
      </c>
      <c r="B52" s="3" t="s">
        <v>195</v>
      </c>
      <c r="C52" s="8">
        <v>46014.70380787037</v>
      </c>
      <c r="D52" s="3">
        <v>26.0</v>
      </c>
    </row>
    <row r="53" ht="15.75" customHeight="1">
      <c r="A53" s="3" t="s">
        <v>3399</v>
      </c>
      <c r="B53" s="3" t="s">
        <v>247</v>
      </c>
      <c r="C53" s="8">
        <v>46014.70581018519</v>
      </c>
      <c r="D53" s="3">
        <v>4.0</v>
      </c>
    </row>
    <row r="54" ht="15.75" customHeight="1">
      <c r="A54" s="3" t="s">
        <v>3400</v>
      </c>
      <c r="B54" s="3" t="s">
        <v>126</v>
      </c>
      <c r="C54" s="8">
        <v>46014.7065625</v>
      </c>
      <c r="D54" s="3">
        <v>10.0</v>
      </c>
    </row>
    <row r="55" ht="15.75" customHeight="1">
      <c r="A55" s="3" t="s">
        <v>3401</v>
      </c>
      <c r="B55" s="3" t="s">
        <v>192</v>
      </c>
      <c r="C55" s="8">
        <v>46014.70741898148</v>
      </c>
      <c r="D55" s="3">
        <v>10.0</v>
      </c>
    </row>
    <row r="56" ht="15.75" customHeight="1">
      <c r="A56" s="3" t="s">
        <v>3402</v>
      </c>
      <c r="B56" s="3" t="s">
        <v>217</v>
      </c>
      <c r="C56" s="8">
        <v>46014.74732638889</v>
      </c>
      <c r="D56" s="3">
        <v>10.0</v>
      </c>
    </row>
    <row r="57" ht="15.75" customHeight="1">
      <c r="A57" s="3" t="s">
        <v>3403</v>
      </c>
      <c r="B57" s="3" t="s">
        <v>46</v>
      </c>
      <c r="C57" s="8">
        <v>46014.7509375</v>
      </c>
      <c r="D57" s="3">
        <v>18.0</v>
      </c>
    </row>
    <row r="58" ht="15.75" customHeight="1">
      <c r="A58" s="3" t="s">
        <v>3404</v>
      </c>
      <c r="B58" s="3" t="s">
        <v>238</v>
      </c>
      <c r="C58" s="8">
        <v>46014.75188657407</v>
      </c>
      <c r="D58" s="3">
        <v>18.0</v>
      </c>
    </row>
    <row r="59" ht="15.75" customHeight="1">
      <c r="A59" s="3" t="s">
        <v>3405</v>
      </c>
      <c r="B59" s="3" t="s">
        <v>235</v>
      </c>
      <c r="C59" s="8">
        <v>46014.75209490741</v>
      </c>
      <c r="D59" s="3">
        <v>2.0</v>
      </c>
    </row>
    <row r="60" ht="15.75" customHeight="1">
      <c r="A60" s="3" t="s">
        <v>3406</v>
      </c>
      <c r="B60" s="3" t="s">
        <v>88</v>
      </c>
      <c r="C60" s="8">
        <v>46014.75232638889</v>
      </c>
      <c r="D60" s="3">
        <v>8.0</v>
      </c>
    </row>
    <row r="61" ht="15.75" customHeight="1">
      <c r="A61" s="3" t="s">
        <v>3407</v>
      </c>
      <c r="B61" s="3" t="s">
        <v>217</v>
      </c>
      <c r="C61" s="8">
        <v>46014.75280092593</v>
      </c>
      <c r="D61" s="3">
        <v>3.0</v>
      </c>
    </row>
    <row r="62" ht="15.75" customHeight="1">
      <c r="A62" s="3" t="s">
        <v>3408</v>
      </c>
      <c r="B62" s="3" t="s">
        <v>223</v>
      </c>
      <c r="C62" s="8">
        <v>46014.75319444444</v>
      </c>
      <c r="D62" s="3">
        <v>1.0</v>
      </c>
    </row>
    <row r="63" ht="15.75" customHeight="1">
      <c r="A63" s="3" t="s">
        <v>3409</v>
      </c>
      <c r="B63" s="3" t="s">
        <v>220</v>
      </c>
      <c r="C63" s="8">
        <v>46014.75342592593</v>
      </c>
      <c r="D63" s="3">
        <v>4.0</v>
      </c>
    </row>
    <row r="64" ht="15.75" customHeight="1">
      <c r="A64" s="3" t="s">
        <v>3410</v>
      </c>
      <c r="B64" s="3" t="s">
        <v>232</v>
      </c>
      <c r="C64" s="8">
        <v>46014.75363425926</v>
      </c>
      <c r="D64" s="3">
        <v>10.0</v>
      </c>
    </row>
    <row r="65" ht="15.75" customHeight="1">
      <c r="A65" s="3" t="s">
        <v>3411</v>
      </c>
      <c r="B65" s="3" t="s">
        <v>186</v>
      </c>
      <c r="C65" s="8">
        <v>46014.7543287037</v>
      </c>
      <c r="D65" s="3">
        <v>4.0</v>
      </c>
    </row>
    <row r="66" ht="15.75" customHeight="1">
      <c r="A66" s="3" t="s">
        <v>3412</v>
      </c>
      <c r="B66" s="3" t="s">
        <v>171</v>
      </c>
      <c r="C66" s="8">
        <v>46014.75521990741</v>
      </c>
      <c r="D66" s="3">
        <v>24.0</v>
      </c>
    </row>
    <row r="67" ht="15.75" customHeight="1">
      <c r="A67" s="3" t="s">
        <v>3413</v>
      </c>
      <c r="B67" s="3" t="s">
        <v>165</v>
      </c>
      <c r="C67" s="8">
        <v>46014.75619212963</v>
      </c>
      <c r="D67" s="3">
        <v>12.0</v>
      </c>
    </row>
    <row r="68" ht="15.75" customHeight="1">
      <c r="A68" s="3" t="s">
        <v>3414</v>
      </c>
      <c r="B68" s="3" t="s">
        <v>123</v>
      </c>
      <c r="C68" s="8">
        <v>46014.75704861111</v>
      </c>
      <c r="D68" s="3">
        <v>30.0</v>
      </c>
    </row>
    <row r="69" ht="15.75" customHeight="1">
      <c r="A69" s="3" t="s">
        <v>3415</v>
      </c>
      <c r="B69" s="3" t="s">
        <v>120</v>
      </c>
      <c r="C69" s="8">
        <v>46014.75913194445</v>
      </c>
      <c r="D69" s="3">
        <v>7.0</v>
      </c>
    </row>
    <row r="70" ht="15.75" customHeight="1">
      <c r="A70" s="3" t="s">
        <v>3416</v>
      </c>
      <c r="B70" s="3" t="s">
        <v>3417</v>
      </c>
      <c r="C70" s="8">
        <v>46014.76677083333</v>
      </c>
      <c r="D70" s="3">
        <v>11.0</v>
      </c>
    </row>
    <row r="71" ht="15.75" customHeight="1">
      <c r="A71" s="3" t="s">
        <v>3418</v>
      </c>
      <c r="B71" s="3" t="s">
        <v>112</v>
      </c>
      <c r="C71" s="8">
        <v>46014.76723379629</v>
      </c>
      <c r="D71" s="3">
        <v>19.0</v>
      </c>
    </row>
    <row r="72" ht="15.75" customHeight="1">
      <c r="A72" s="3" t="s">
        <v>3419</v>
      </c>
      <c r="B72" s="3" t="s">
        <v>96</v>
      </c>
      <c r="C72" s="8">
        <v>46014.7697337963</v>
      </c>
      <c r="D72" s="3">
        <v>27.0</v>
      </c>
    </row>
    <row r="73" ht="15.75" customHeight="1">
      <c r="A73" s="3" t="s">
        <v>3420</v>
      </c>
      <c r="B73" s="3" t="s">
        <v>250</v>
      </c>
      <c r="C73" s="8">
        <v>46014.77369212963</v>
      </c>
      <c r="D73" s="3">
        <v>3.0</v>
      </c>
    </row>
    <row r="74" ht="15.75" customHeight="1">
      <c r="A74" s="3" t="s">
        <v>3421</v>
      </c>
      <c r="B74" s="3" t="s">
        <v>253</v>
      </c>
      <c r="C74" s="8">
        <v>46014.77461805556</v>
      </c>
      <c r="D74" s="3">
        <v>1.0</v>
      </c>
    </row>
    <row r="75" ht="15.75" customHeight="1">
      <c r="A75" s="3" t="s">
        <v>3422</v>
      </c>
      <c r="B75" s="3" t="s">
        <v>220</v>
      </c>
      <c r="C75" s="8">
        <v>46014.80194444444</v>
      </c>
      <c r="D75" s="3">
        <v>-4.0</v>
      </c>
    </row>
    <row r="76" ht="15.75" customHeight="1">
      <c r="A76" s="3" t="s">
        <v>3423</v>
      </c>
      <c r="B76" s="3" t="s">
        <v>232</v>
      </c>
      <c r="C76" s="8">
        <v>46014.80204861111</v>
      </c>
      <c r="D76" s="3">
        <v>-1.0</v>
      </c>
    </row>
    <row r="77" ht="15.75" customHeight="1">
      <c r="A77" s="3" t="s">
        <v>3424</v>
      </c>
      <c r="B77" s="3" t="s">
        <v>223</v>
      </c>
      <c r="C77" s="8">
        <v>46014.80229166667</v>
      </c>
      <c r="D77" s="3">
        <v>-1.0</v>
      </c>
    </row>
    <row r="78" ht="15.75" customHeight="1">
      <c r="A78" s="3" t="s">
        <v>3425</v>
      </c>
      <c r="B78" s="3" t="s">
        <v>202</v>
      </c>
      <c r="C78" s="8">
        <v>46014.80266203704</v>
      </c>
      <c r="D78" s="3">
        <v>-1.0</v>
      </c>
    </row>
    <row r="79" ht="15.75" customHeight="1">
      <c r="A79" s="3" t="s">
        <v>3426</v>
      </c>
      <c r="B79" s="3" t="s">
        <v>192</v>
      </c>
      <c r="C79" s="8">
        <v>46014.8328587963</v>
      </c>
      <c r="D79" s="3">
        <v>-10.0</v>
      </c>
    </row>
    <row r="80" ht="15.75" customHeight="1">
      <c r="A80" s="3" t="s">
        <v>3427</v>
      </c>
      <c r="B80" s="3" t="s">
        <v>214</v>
      </c>
      <c r="C80" s="8">
        <v>46014.83315972222</v>
      </c>
      <c r="D80" s="3">
        <v>-36.0</v>
      </c>
    </row>
    <row r="81" ht="15.75" customHeight="1">
      <c r="A81" s="3" t="s">
        <v>3428</v>
      </c>
      <c r="B81" s="3" t="s">
        <v>126</v>
      </c>
      <c r="C81" s="8">
        <v>46014.83862268519</v>
      </c>
      <c r="D81" s="3">
        <v>-6.0</v>
      </c>
    </row>
    <row r="82" ht="15.75" customHeight="1">
      <c r="A82" s="3" t="s">
        <v>3429</v>
      </c>
      <c r="B82" s="3" t="s">
        <v>126</v>
      </c>
      <c r="C82" s="8">
        <v>46014.83872685185</v>
      </c>
      <c r="D82" s="3">
        <v>-1.0</v>
      </c>
    </row>
    <row r="83" ht="15.75" customHeight="1">
      <c r="A83" s="3" t="s">
        <v>3430</v>
      </c>
      <c r="B83" s="3" t="s">
        <v>247</v>
      </c>
      <c r="C83" s="8">
        <v>46014.8394212963</v>
      </c>
      <c r="D83" s="3">
        <v>-4.0</v>
      </c>
    </row>
    <row r="84" ht="15.75" customHeight="1">
      <c r="A84" s="3" t="s">
        <v>3431</v>
      </c>
      <c r="B84" s="3" t="s">
        <v>189</v>
      </c>
      <c r="C84" s="8">
        <v>46014.84159722222</v>
      </c>
      <c r="D84" s="3">
        <v>-21.0</v>
      </c>
    </row>
    <row r="85" ht="15.75" customHeight="1">
      <c r="A85" s="3" t="s">
        <v>3432</v>
      </c>
      <c r="B85" s="3" t="s">
        <v>171</v>
      </c>
      <c r="C85" s="8">
        <v>46014.84260416667</v>
      </c>
      <c r="D85" s="3">
        <v>-24.0</v>
      </c>
    </row>
    <row r="86" ht="15.75" customHeight="1">
      <c r="A86" s="3" t="s">
        <v>3433</v>
      </c>
      <c r="B86" s="3" t="s">
        <v>165</v>
      </c>
      <c r="C86" s="8">
        <v>46014.84465277778</v>
      </c>
      <c r="D86" s="3">
        <v>-6.0</v>
      </c>
    </row>
    <row r="87" ht="15.75" customHeight="1">
      <c r="A87" s="3" t="s">
        <v>3434</v>
      </c>
      <c r="B87" s="3" t="s">
        <v>186</v>
      </c>
      <c r="C87" s="8">
        <v>46014.84538194445</v>
      </c>
      <c r="D87" s="3">
        <v>-15.0</v>
      </c>
    </row>
    <row r="88" ht="15.75" customHeight="1">
      <c r="A88" s="3" t="s">
        <v>3435</v>
      </c>
      <c r="B88" s="3" t="s">
        <v>139</v>
      </c>
      <c r="C88" s="8">
        <v>46014.85265046296</v>
      </c>
      <c r="D88" s="3">
        <v>-6.0</v>
      </c>
    </row>
    <row r="89" ht="15.75" customHeight="1">
      <c r="A89" s="3" t="s">
        <v>3436</v>
      </c>
      <c r="B89" s="3" t="s">
        <v>154</v>
      </c>
      <c r="C89" s="8">
        <v>46014.85278935185</v>
      </c>
      <c r="D89" s="3">
        <v>-6.0</v>
      </c>
    </row>
    <row r="90" ht="15.75" customHeight="1">
      <c r="A90" s="3" t="s">
        <v>3437</v>
      </c>
      <c r="B90" s="3" t="s">
        <v>145</v>
      </c>
      <c r="C90" s="8">
        <v>46014.85299768519</v>
      </c>
      <c r="D90" s="3">
        <v>-6.0</v>
      </c>
    </row>
    <row r="91" ht="15.75" customHeight="1">
      <c r="A91" s="3" t="s">
        <v>3438</v>
      </c>
      <c r="B91" s="3" t="s">
        <v>126</v>
      </c>
      <c r="C91" s="8">
        <v>46014.85510416667</v>
      </c>
      <c r="D91" s="3">
        <v>-3.0</v>
      </c>
    </row>
    <row r="92" ht="15.75" customHeight="1">
      <c r="A92" s="3" t="s">
        <v>3439</v>
      </c>
      <c r="B92" s="3" t="s">
        <v>220</v>
      </c>
      <c r="C92" s="8">
        <v>46015.5809837963</v>
      </c>
      <c r="D92" s="3">
        <v>-7.0</v>
      </c>
    </row>
    <row r="93" ht="15.75" customHeight="1">
      <c r="A93" s="3" t="s">
        <v>3440</v>
      </c>
      <c r="B93" s="3" t="s">
        <v>223</v>
      </c>
      <c r="C93" s="8">
        <v>46015.58107638889</v>
      </c>
      <c r="D93" s="3">
        <v>-7.0</v>
      </c>
    </row>
    <row r="94" ht="15.75" customHeight="1">
      <c r="A94" s="3" t="s">
        <v>3441</v>
      </c>
      <c r="B94" s="3" t="s">
        <v>229</v>
      </c>
      <c r="C94" s="8">
        <v>46015.58118055556</v>
      </c>
      <c r="D94" s="3">
        <v>-7.0</v>
      </c>
    </row>
    <row r="95" ht="15.75" customHeight="1">
      <c r="A95" s="3" t="s">
        <v>3442</v>
      </c>
      <c r="B95" s="3" t="s">
        <v>226</v>
      </c>
      <c r="C95" s="8">
        <v>46015.58128472222</v>
      </c>
      <c r="D95" s="3">
        <v>-7.0</v>
      </c>
    </row>
    <row r="96" ht="15.75" customHeight="1">
      <c r="A96" s="3" t="s">
        <v>3443</v>
      </c>
      <c r="B96" s="3" t="s">
        <v>217</v>
      </c>
      <c r="C96" s="8">
        <v>46015.58137731482</v>
      </c>
      <c r="D96" s="3">
        <v>-14.0</v>
      </c>
    </row>
    <row r="97" ht="15.75" customHeight="1">
      <c r="A97" s="3" t="s">
        <v>3444</v>
      </c>
      <c r="B97" s="3" t="s">
        <v>189</v>
      </c>
      <c r="C97" s="8">
        <v>46015.58152777778</v>
      </c>
      <c r="D97" s="3">
        <v>-21.0</v>
      </c>
    </row>
    <row r="98" ht="15.75" customHeight="1">
      <c r="A98" s="3" t="s">
        <v>3445</v>
      </c>
      <c r="B98" s="3" t="s">
        <v>189</v>
      </c>
      <c r="C98" s="8">
        <v>46015.58163194444</v>
      </c>
      <c r="D98" s="3">
        <v>-21.0</v>
      </c>
    </row>
    <row r="99" ht="15.75" customHeight="1">
      <c r="A99" s="3" t="s">
        <v>3446</v>
      </c>
      <c r="B99" s="3" t="s">
        <v>171</v>
      </c>
      <c r="C99" s="8">
        <v>46015.58173611111</v>
      </c>
      <c r="D99" s="3">
        <v>-24.0</v>
      </c>
    </row>
    <row r="100" ht="15.75" customHeight="1">
      <c r="A100" s="3" t="s">
        <v>3447</v>
      </c>
      <c r="B100" s="3" t="s">
        <v>165</v>
      </c>
      <c r="C100" s="8">
        <v>46015.58181712963</v>
      </c>
      <c r="D100" s="3">
        <v>-24.0</v>
      </c>
    </row>
    <row r="101" ht="15.75" customHeight="1">
      <c r="A101" s="3" t="s">
        <v>3448</v>
      </c>
      <c r="B101" s="3" t="s">
        <v>171</v>
      </c>
      <c r="C101" s="8">
        <v>46015.5821412037</v>
      </c>
      <c r="D101" s="3">
        <v>-24.0</v>
      </c>
    </row>
    <row r="102" ht="15.75" customHeight="1">
      <c r="A102" s="3" t="s">
        <v>3449</v>
      </c>
      <c r="B102" s="3" t="s">
        <v>96</v>
      </c>
      <c r="C102" s="8">
        <v>46015.58226851852</v>
      </c>
      <c r="D102" s="3">
        <v>-7.0</v>
      </c>
    </row>
    <row r="103" ht="15.75" customHeight="1">
      <c r="A103" s="3" t="s">
        <v>3450</v>
      </c>
      <c r="B103" s="3" t="s">
        <v>88</v>
      </c>
      <c r="C103" s="8">
        <v>46015.58236111111</v>
      </c>
      <c r="D103" s="3">
        <v>-1.0</v>
      </c>
    </row>
    <row r="104" ht="15.75" customHeight="1">
      <c r="A104" s="3" t="s">
        <v>3451</v>
      </c>
      <c r="B104" s="3" t="s">
        <v>235</v>
      </c>
      <c r="C104" s="8">
        <v>46015.58244212963</v>
      </c>
      <c r="D104" s="3">
        <v>-1.0</v>
      </c>
    </row>
    <row r="105" ht="15.75" customHeight="1">
      <c r="A105" s="3" t="s">
        <v>3452</v>
      </c>
      <c r="B105" s="3" t="s">
        <v>214</v>
      </c>
      <c r="C105" s="8">
        <v>46015.58266203704</v>
      </c>
      <c r="D105" s="3">
        <v>-60.0</v>
      </c>
    </row>
    <row r="106" ht="15.75" customHeight="1">
      <c r="A106" s="3" t="s">
        <v>3453</v>
      </c>
      <c r="B106" s="3" t="s">
        <v>142</v>
      </c>
      <c r="C106" s="8">
        <v>46015.59607638889</v>
      </c>
      <c r="D106" s="3">
        <v>-5.0</v>
      </c>
    </row>
    <row r="107" ht="15.75" customHeight="1">
      <c r="A107" s="3" t="s">
        <v>3454</v>
      </c>
      <c r="B107" s="3" t="s">
        <v>195</v>
      </c>
      <c r="C107" s="8">
        <v>46015.5962037037</v>
      </c>
      <c r="D107" s="3">
        <v>-10.0</v>
      </c>
    </row>
    <row r="108" ht="15.75" customHeight="1">
      <c r="A108" s="3" t="s">
        <v>3455</v>
      </c>
      <c r="B108" s="3" t="s">
        <v>134</v>
      </c>
      <c r="C108" s="8">
        <v>46015.59731481481</v>
      </c>
      <c r="D108" s="3">
        <v>-3.0</v>
      </c>
    </row>
    <row r="109" ht="15.75" customHeight="1">
      <c r="A109" s="3" t="s">
        <v>3456</v>
      </c>
      <c r="B109" s="3" t="s">
        <v>59</v>
      </c>
      <c r="C109" s="8">
        <v>46015.59744212963</v>
      </c>
      <c r="D109" s="3">
        <v>-5.0</v>
      </c>
    </row>
    <row r="110" ht="15.75" customHeight="1">
      <c r="A110" s="3" t="s">
        <v>3457</v>
      </c>
      <c r="B110" s="3" t="s">
        <v>220</v>
      </c>
      <c r="C110" s="8">
        <v>46015.6459375</v>
      </c>
      <c r="D110" s="3">
        <v>5.0</v>
      </c>
    </row>
    <row r="111" ht="15.75" customHeight="1">
      <c r="A111" s="3" t="s">
        <v>3458</v>
      </c>
      <c r="B111" s="3" t="s">
        <v>223</v>
      </c>
      <c r="C111" s="8">
        <v>46015.64599537037</v>
      </c>
      <c r="D111" s="3">
        <v>5.0</v>
      </c>
    </row>
    <row r="112" ht="15.75" customHeight="1">
      <c r="A112" s="3" t="s">
        <v>3459</v>
      </c>
      <c r="B112" s="3" t="s">
        <v>220</v>
      </c>
      <c r="C112" s="8">
        <v>46015.79623842592</v>
      </c>
      <c r="D112" s="3">
        <v>2.0</v>
      </c>
    </row>
    <row r="113" ht="15.75" customHeight="1">
      <c r="A113" s="3" t="s">
        <v>3460</v>
      </c>
      <c r="B113" s="3" t="s">
        <v>232</v>
      </c>
      <c r="C113" s="8">
        <v>46016.57393518519</v>
      </c>
      <c r="D113" s="3">
        <v>-6.0</v>
      </c>
    </row>
    <row r="114" ht="15.75" customHeight="1">
      <c r="A114" s="3" t="s">
        <v>3461</v>
      </c>
      <c r="B114" s="3" t="s">
        <v>223</v>
      </c>
      <c r="C114" s="8">
        <v>46016.57483796297</v>
      </c>
      <c r="D114" s="3">
        <v>-6.0</v>
      </c>
    </row>
    <row r="115" ht="15.75" customHeight="1">
      <c r="A115" s="3" t="s">
        <v>3462</v>
      </c>
      <c r="B115" s="3" t="s">
        <v>202</v>
      </c>
      <c r="C115" s="8">
        <v>46016.5752199074</v>
      </c>
      <c r="D115" s="3">
        <v>-6.0</v>
      </c>
    </row>
    <row r="116" ht="15.75" customHeight="1">
      <c r="A116" s="3" t="s">
        <v>3463</v>
      </c>
      <c r="B116" s="3" t="s">
        <v>220</v>
      </c>
      <c r="C116" s="8">
        <v>46016.57613425926</v>
      </c>
      <c r="D116" s="3">
        <v>-6.0</v>
      </c>
    </row>
    <row r="117" ht="15.75" customHeight="1">
      <c r="A117" s="3" t="s">
        <v>3464</v>
      </c>
      <c r="B117" s="3" t="s">
        <v>189</v>
      </c>
      <c r="C117" s="8">
        <v>46016.57686342593</v>
      </c>
      <c r="D117" s="3">
        <v>-21.0</v>
      </c>
    </row>
    <row r="118" ht="15.75" customHeight="1">
      <c r="A118" s="3" t="s">
        <v>3465</v>
      </c>
      <c r="B118" s="3" t="s">
        <v>189</v>
      </c>
      <c r="C118" s="8">
        <v>46016.57700231481</v>
      </c>
      <c r="D118" s="3">
        <v>-21.0</v>
      </c>
    </row>
    <row r="119" ht="15.75" customHeight="1">
      <c r="A119" s="3" t="s">
        <v>3466</v>
      </c>
      <c r="B119" s="3" t="s">
        <v>192</v>
      </c>
      <c r="C119" s="8">
        <v>46016.57716435185</v>
      </c>
      <c r="D119" s="3">
        <v>-24.0</v>
      </c>
    </row>
    <row r="120" ht="15.75" customHeight="1">
      <c r="A120" s="3" t="s">
        <v>3467</v>
      </c>
      <c r="B120" s="3" t="s">
        <v>46</v>
      </c>
      <c r="C120" s="8">
        <v>46016.57737268518</v>
      </c>
      <c r="D120" s="3">
        <v>-4.0</v>
      </c>
    </row>
    <row r="121" ht="15.75" customHeight="1">
      <c r="A121" s="3" t="s">
        <v>3468</v>
      </c>
      <c r="B121" s="3" t="s">
        <v>235</v>
      </c>
      <c r="C121" s="8">
        <v>46016.57758101852</v>
      </c>
      <c r="D121" s="3">
        <v>-1.0</v>
      </c>
    </row>
    <row r="122" ht="15.75" customHeight="1">
      <c r="A122" s="3" t="s">
        <v>3469</v>
      </c>
      <c r="B122" s="3" t="s">
        <v>217</v>
      </c>
      <c r="C122" s="8">
        <v>46016.57770833333</v>
      </c>
      <c r="D122" s="3">
        <v>-21.0</v>
      </c>
    </row>
    <row r="123" ht="15.75" customHeight="1">
      <c r="A123" s="3" t="s">
        <v>3470</v>
      </c>
      <c r="B123" s="3" t="s">
        <v>139</v>
      </c>
      <c r="C123" s="8">
        <v>46016.57810185185</v>
      </c>
      <c r="D123" s="3">
        <v>-6.0</v>
      </c>
    </row>
    <row r="124" ht="15.75" customHeight="1">
      <c r="A124" s="3" t="s">
        <v>3471</v>
      </c>
      <c r="B124" s="3" t="s">
        <v>96</v>
      </c>
      <c r="C124" s="8">
        <v>46016.57821759259</v>
      </c>
      <c r="D124" s="3">
        <v>-10.0</v>
      </c>
    </row>
    <row r="125" ht="15.75" customHeight="1">
      <c r="A125" s="3" t="s">
        <v>3472</v>
      </c>
      <c r="B125" s="3" t="s">
        <v>186</v>
      </c>
      <c r="C125" s="8">
        <v>46016.57833333333</v>
      </c>
      <c r="D125" s="3">
        <v>-2.0</v>
      </c>
    </row>
    <row r="126" ht="15.75" customHeight="1">
      <c r="A126" s="3" t="s">
        <v>3473</v>
      </c>
      <c r="B126" s="3" t="s">
        <v>134</v>
      </c>
      <c r="C126" s="8">
        <v>46016.58003472222</v>
      </c>
      <c r="D126" s="3">
        <v>-3.0</v>
      </c>
    </row>
    <row r="127" ht="15.75" customHeight="1">
      <c r="A127" s="3" t="s">
        <v>3474</v>
      </c>
      <c r="B127" s="3" t="s">
        <v>59</v>
      </c>
      <c r="C127" s="8">
        <v>46016.5803125</v>
      </c>
      <c r="D127" s="3">
        <v>-3.0</v>
      </c>
    </row>
    <row r="128" ht="15.75" customHeight="1">
      <c r="A128" s="3" t="s">
        <v>3475</v>
      </c>
      <c r="B128" s="3" t="s">
        <v>220</v>
      </c>
      <c r="C128" s="8">
        <v>46016.65453703704</v>
      </c>
      <c r="D128" s="3">
        <v>12.0</v>
      </c>
    </row>
    <row r="129" ht="15.75" customHeight="1">
      <c r="A129" s="3" t="s">
        <v>3476</v>
      </c>
      <c r="B129" s="3" t="s">
        <v>226</v>
      </c>
      <c r="C129" s="8">
        <v>46016.65474537037</v>
      </c>
      <c r="D129" s="3">
        <v>12.0</v>
      </c>
    </row>
    <row r="130" ht="15.75" customHeight="1">
      <c r="A130" s="3" t="s">
        <v>3477</v>
      </c>
      <c r="B130" s="3" t="s">
        <v>229</v>
      </c>
      <c r="C130" s="8">
        <v>46016.65480324074</v>
      </c>
      <c r="D130" s="3">
        <v>12.0</v>
      </c>
    </row>
    <row r="131" ht="15.75" customHeight="1">
      <c r="A131" s="3" t="s">
        <v>3478</v>
      </c>
      <c r="B131" s="3" t="s">
        <v>171</v>
      </c>
      <c r="C131" s="8">
        <v>46016.65510416667</v>
      </c>
      <c r="D131" s="3">
        <v>96.0</v>
      </c>
    </row>
    <row r="132" ht="15.75" customHeight="1">
      <c r="A132" s="3" t="s">
        <v>3479</v>
      </c>
      <c r="B132" s="3" t="s">
        <v>214</v>
      </c>
      <c r="C132" s="8">
        <v>46016.65571759259</v>
      </c>
      <c r="D132" s="3">
        <v>-24.0</v>
      </c>
    </row>
    <row r="133" ht="15.75" customHeight="1">
      <c r="A133" s="3" t="s">
        <v>3480</v>
      </c>
      <c r="B133" s="3" t="s">
        <v>214</v>
      </c>
      <c r="C133" s="8">
        <v>46016.65601851852</v>
      </c>
      <c r="D133" s="3">
        <v>120.0</v>
      </c>
    </row>
    <row r="134" ht="15.75" customHeight="1">
      <c r="A134" s="3" t="s">
        <v>3481</v>
      </c>
      <c r="B134" s="3" t="s">
        <v>229</v>
      </c>
      <c r="C134" s="8">
        <v>46016.68097222222</v>
      </c>
      <c r="D134" s="3">
        <v>-3.0</v>
      </c>
    </row>
    <row r="135" ht="15.75" customHeight="1">
      <c r="A135" s="3" t="s">
        <v>3482</v>
      </c>
      <c r="B135" s="3" t="s">
        <v>202</v>
      </c>
      <c r="C135" s="8">
        <v>46016.68101851852</v>
      </c>
      <c r="D135" s="3">
        <v>-3.0</v>
      </c>
    </row>
    <row r="136" ht="15.75" customHeight="1">
      <c r="A136" s="3" t="s">
        <v>3483</v>
      </c>
      <c r="B136" s="3" t="s">
        <v>226</v>
      </c>
      <c r="C136" s="8">
        <v>46016.68109953704</v>
      </c>
      <c r="D136" s="3">
        <v>-3.0</v>
      </c>
    </row>
    <row r="137" ht="15.75" customHeight="1">
      <c r="A137" s="3" t="s">
        <v>3484</v>
      </c>
      <c r="B137" s="3" t="s">
        <v>223</v>
      </c>
      <c r="C137" s="8">
        <v>46016.68130787037</v>
      </c>
      <c r="D137" s="3">
        <v>-3.0</v>
      </c>
    </row>
    <row r="138" ht="15.75" customHeight="1">
      <c r="A138" s="3" t="s">
        <v>3485</v>
      </c>
      <c r="B138" s="3" t="s">
        <v>217</v>
      </c>
      <c r="C138" s="8">
        <v>46016.68143518519</v>
      </c>
      <c r="D138" s="3">
        <v>-14.0</v>
      </c>
    </row>
    <row r="139" ht="15.75" customHeight="1">
      <c r="A139" s="3" t="s">
        <v>3486</v>
      </c>
      <c r="B139" s="3" t="s">
        <v>96</v>
      </c>
      <c r="C139" s="8">
        <v>46016.68157407407</v>
      </c>
      <c r="D139" s="3">
        <v>-8.0</v>
      </c>
    </row>
    <row r="140" ht="15.75" customHeight="1">
      <c r="A140" s="3" t="s">
        <v>3487</v>
      </c>
      <c r="B140" s="3" t="s">
        <v>165</v>
      </c>
      <c r="C140" s="8">
        <v>46016.68175925926</v>
      </c>
      <c r="D140" s="3">
        <v>-24.0</v>
      </c>
    </row>
    <row r="141" ht="15.75" customHeight="1">
      <c r="A141" s="3" t="s">
        <v>3488</v>
      </c>
      <c r="B141" s="3" t="s">
        <v>46</v>
      </c>
      <c r="C141" s="8">
        <v>46016.68200231482</v>
      </c>
      <c r="D141" s="3">
        <v>-3.0</v>
      </c>
    </row>
    <row r="142" ht="15.75" customHeight="1">
      <c r="A142" s="3" t="s">
        <v>3489</v>
      </c>
      <c r="B142" s="3" t="s">
        <v>238</v>
      </c>
      <c r="C142" s="8">
        <v>46016.68342592593</v>
      </c>
      <c r="D142" s="3">
        <v>-3.0</v>
      </c>
    </row>
    <row r="143" ht="15.75" customHeight="1">
      <c r="A143" s="3" t="s">
        <v>3490</v>
      </c>
      <c r="B143" s="3" t="s">
        <v>214</v>
      </c>
      <c r="C143" s="8">
        <v>46016.70034722222</v>
      </c>
      <c r="D143" s="3">
        <v>-48.0</v>
      </c>
    </row>
    <row r="144" ht="15.75" customHeight="1">
      <c r="A144" s="3" t="s">
        <v>3491</v>
      </c>
      <c r="B144" s="3" t="s">
        <v>165</v>
      </c>
      <c r="C144" s="8">
        <v>46016.77538194445</v>
      </c>
      <c r="D144" s="3">
        <v>16.0</v>
      </c>
    </row>
    <row r="145" ht="15.75" customHeight="1">
      <c r="A145" s="3" t="s">
        <v>3492</v>
      </c>
      <c r="B145" s="3" t="s">
        <v>142</v>
      </c>
      <c r="C145" s="8">
        <v>46016.7774537037</v>
      </c>
      <c r="D145" s="3">
        <v>-19.0</v>
      </c>
    </row>
    <row r="146" ht="15.75" customHeight="1">
      <c r="A146" s="3" t="s">
        <v>3493</v>
      </c>
      <c r="B146" s="3" t="s">
        <v>82</v>
      </c>
      <c r="C146" s="8">
        <v>46016.77770833333</v>
      </c>
      <c r="D146" s="3">
        <v>-11.0</v>
      </c>
    </row>
    <row r="147" ht="15.75" customHeight="1">
      <c r="A147" s="3" t="s">
        <v>3494</v>
      </c>
      <c r="B147" s="3" t="s">
        <v>192</v>
      </c>
      <c r="C147" s="8">
        <v>46016.77993055555</v>
      </c>
      <c r="D147" s="3">
        <v>24.0</v>
      </c>
    </row>
    <row r="148" ht="15.75" customHeight="1">
      <c r="A148" s="3" t="s">
        <v>3495</v>
      </c>
      <c r="B148" s="3" t="s">
        <v>192</v>
      </c>
      <c r="C148" s="8">
        <v>46016.78010416667</v>
      </c>
      <c r="D148" s="3">
        <v>-8.0</v>
      </c>
    </row>
    <row r="149" ht="15.75" customHeight="1">
      <c r="A149" s="3" t="s">
        <v>3496</v>
      </c>
      <c r="B149" s="3" t="s">
        <v>171</v>
      </c>
      <c r="C149" s="8">
        <v>46016.78033564815</v>
      </c>
      <c r="D149" s="3">
        <v>-24.0</v>
      </c>
    </row>
    <row r="150" ht="15.75" customHeight="1">
      <c r="A150" s="3" t="s">
        <v>3497</v>
      </c>
      <c r="B150" s="3" t="s">
        <v>220</v>
      </c>
      <c r="C150" s="8">
        <v>46017.4003125</v>
      </c>
      <c r="D150" s="3">
        <v>-2.0</v>
      </c>
    </row>
    <row r="151" ht="15.75" customHeight="1">
      <c r="A151" s="3" t="s">
        <v>3498</v>
      </c>
      <c r="B151" s="3" t="s">
        <v>145</v>
      </c>
      <c r="C151" s="8">
        <v>46017.40046296296</v>
      </c>
      <c r="D151" s="3">
        <v>-2.0</v>
      </c>
    </row>
    <row r="152" ht="15.75" customHeight="1">
      <c r="A152" s="3" t="s">
        <v>3499</v>
      </c>
      <c r="B152" s="3" t="s">
        <v>139</v>
      </c>
      <c r="C152" s="8">
        <v>46017.400625</v>
      </c>
      <c r="D152" s="3">
        <v>-1.0</v>
      </c>
    </row>
    <row r="153" ht="15.75" customHeight="1">
      <c r="A153" s="3" t="s">
        <v>3500</v>
      </c>
      <c r="B153" s="3" t="s">
        <v>154</v>
      </c>
      <c r="C153" s="8">
        <v>46017.40071759259</v>
      </c>
      <c r="D153" s="3">
        <v>-4.0</v>
      </c>
    </row>
    <row r="154" ht="15.75" customHeight="1">
      <c r="A154" s="3" t="s">
        <v>3501</v>
      </c>
      <c r="B154" s="3" t="s">
        <v>217</v>
      </c>
      <c r="C154" s="8">
        <v>46017.40091435185</v>
      </c>
      <c r="D154" s="3">
        <v>-6.0</v>
      </c>
    </row>
    <row r="155" ht="15.75" customHeight="1">
      <c r="A155" s="3" t="s">
        <v>3502</v>
      </c>
      <c r="B155" s="3" t="s">
        <v>171</v>
      </c>
      <c r="C155" s="8">
        <v>46017.40104166666</v>
      </c>
      <c r="D155" s="3">
        <v>-24.0</v>
      </c>
    </row>
    <row r="156" ht="15.75" customHeight="1">
      <c r="A156" s="3" t="s">
        <v>3503</v>
      </c>
      <c r="B156" s="3" t="s">
        <v>142</v>
      </c>
      <c r="C156" s="8">
        <v>46017.40114583333</v>
      </c>
      <c r="D156" s="3">
        <v>-4.0</v>
      </c>
    </row>
    <row r="157" ht="15.75" customHeight="1">
      <c r="A157" s="3" t="s">
        <v>3504</v>
      </c>
      <c r="B157" s="3" t="s">
        <v>189</v>
      </c>
      <c r="C157" s="8">
        <v>46017.40135416666</v>
      </c>
      <c r="D157" s="3">
        <v>-21.0</v>
      </c>
    </row>
    <row r="158" ht="15.75" customHeight="1">
      <c r="A158" s="3" t="s">
        <v>3505</v>
      </c>
      <c r="B158" s="3" t="s">
        <v>229</v>
      </c>
      <c r="C158" s="8">
        <v>46017.40215277778</v>
      </c>
      <c r="D158" s="3">
        <v>-3.0</v>
      </c>
    </row>
    <row r="159" ht="15.75" customHeight="1">
      <c r="A159" s="3" t="s">
        <v>3506</v>
      </c>
      <c r="B159" s="3" t="s">
        <v>232</v>
      </c>
      <c r="C159" s="8">
        <v>46017.40231481481</v>
      </c>
      <c r="D159" s="3">
        <v>-5.0</v>
      </c>
    </row>
    <row r="160" ht="15.75" customHeight="1">
      <c r="A160" s="3" t="s">
        <v>3507</v>
      </c>
      <c r="B160" s="3" t="s">
        <v>220</v>
      </c>
      <c r="C160" s="8">
        <v>46017.40243055556</v>
      </c>
      <c r="D160" s="3">
        <v>-2.0</v>
      </c>
    </row>
    <row r="161" ht="15.75" customHeight="1">
      <c r="A161" s="3" t="s">
        <v>3508</v>
      </c>
      <c r="B161" s="3" t="s">
        <v>88</v>
      </c>
      <c r="C161" s="8">
        <v>46017.40252314815</v>
      </c>
      <c r="D161" s="3">
        <v>-6.0</v>
      </c>
    </row>
    <row r="162" ht="15.75" customHeight="1">
      <c r="A162" s="3" t="s">
        <v>3509</v>
      </c>
      <c r="B162" s="3" t="s">
        <v>220</v>
      </c>
      <c r="C162" s="8">
        <v>46017.40494212963</v>
      </c>
      <c r="D162" s="3">
        <v>-4.0</v>
      </c>
    </row>
    <row r="163" ht="15.75" customHeight="1">
      <c r="A163" s="3" t="s">
        <v>3510</v>
      </c>
      <c r="B163" s="3" t="s">
        <v>226</v>
      </c>
      <c r="C163" s="8">
        <v>46017.40530092592</v>
      </c>
      <c r="D163" s="3">
        <v>-5.0</v>
      </c>
    </row>
    <row r="164" ht="15.75" customHeight="1">
      <c r="A164" s="3" t="s">
        <v>3511</v>
      </c>
      <c r="B164" s="3" t="s">
        <v>232</v>
      </c>
      <c r="C164" s="8">
        <v>46017.40571759259</v>
      </c>
      <c r="D164" s="3">
        <v>-3.0</v>
      </c>
    </row>
    <row r="165" ht="15.75" customHeight="1">
      <c r="A165" s="3" t="s">
        <v>3512</v>
      </c>
      <c r="B165" s="3" t="s">
        <v>186</v>
      </c>
      <c r="C165" s="8">
        <v>46017.40722222222</v>
      </c>
      <c r="D165" s="3">
        <v>-2.0</v>
      </c>
    </row>
    <row r="166" ht="15.75" customHeight="1">
      <c r="A166" s="3" t="s">
        <v>3513</v>
      </c>
      <c r="B166" s="3" t="s">
        <v>192</v>
      </c>
      <c r="C166" s="8">
        <v>46017.43200231482</v>
      </c>
      <c r="D166" s="3">
        <v>-3.0</v>
      </c>
    </row>
    <row r="167" ht="15.75" customHeight="1">
      <c r="A167" s="3" t="s">
        <v>3514</v>
      </c>
      <c r="B167" s="3" t="s">
        <v>206</v>
      </c>
      <c r="C167" s="8">
        <v>46017.4340625</v>
      </c>
      <c r="D167" s="3">
        <v>-3.0</v>
      </c>
    </row>
    <row r="168" ht="15.75" customHeight="1">
      <c r="A168" s="3" t="s">
        <v>3515</v>
      </c>
      <c r="B168" s="3" t="s">
        <v>112</v>
      </c>
      <c r="C168" s="8">
        <v>46017.43423611111</v>
      </c>
      <c r="D168" s="3">
        <v>-4.0</v>
      </c>
    </row>
    <row r="169" ht="15.75" customHeight="1">
      <c r="A169" s="3" t="s">
        <v>3516</v>
      </c>
      <c r="B169" s="3" t="s">
        <v>192</v>
      </c>
      <c r="C169" s="8">
        <v>46017.4415162037</v>
      </c>
      <c r="D169" s="3">
        <v>-3.0</v>
      </c>
    </row>
    <row r="170" ht="15.75" customHeight="1">
      <c r="A170" s="3" t="s">
        <v>3517</v>
      </c>
      <c r="B170" s="3" t="s">
        <v>82</v>
      </c>
      <c r="C170" s="8">
        <v>46017.44163194444</v>
      </c>
      <c r="D170" s="3">
        <v>-5.0</v>
      </c>
    </row>
    <row r="171" ht="15.75" customHeight="1">
      <c r="A171" s="3" t="s">
        <v>3518</v>
      </c>
      <c r="B171" s="3" t="s">
        <v>142</v>
      </c>
      <c r="C171" s="8">
        <v>46017.46199074074</v>
      </c>
      <c r="D171" s="3">
        <v>4.0</v>
      </c>
    </row>
    <row r="172" ht="15.75" customHeight="1">
      <c r="A172" s="3" t="s">
        <v>3519</v>
      </c>
      <c r="B172" s="3" t="s">
        <v>112</v>
      </c>
      <c r="C172" s="8">
        <v>46017.46211805556</v>
      </c>
      <c r="D172" s="3">
        <v>2.0</v>
      </c>
    </row>
    <row r="173" ht="15.75" customHeight="1">
      <c r="A173" s="3" t="s">
        <v>3520</v>
      </c>
      <c r="B173" s="3" t="s">
        <v>171</v>
      </c>
      <c r="C173" s="8">
        <v>46017.46224537037</v>
      </c>
      <c r="D173" s="3">
        <v>24.0</v>
      </c>
    </row>
    <row r="174" ht="15.75" customHeight="1">
      <c r="A174" s="3" t="s">
        <v>3521</v>
      </c>
      <c r="B174" s="3" t="s">
        <v>232</v>
      </c>
      <c r="C174" s="8">
        <v>46017.46234953704</v>
      </c>
      <c r="D174" s="3">
        <v>5.0</v>
      </c>
    </row>
    <row r="175" ht="15.75" customHeight="1">
      <c r="A175" s="3" t="s">
        <v>3522</v>
      </c>
      <c r="B175" s="3" t="s">
        <v>112</v>
      </c>
      <c r="C175" s="8">
        <v>46017.49755787037</v>
      </c>
      <c r="D175" s="3">
        <v>12.0</v>
      </c>
    </row>
    <row r="176" ht="15.75" customHeight="1">
      <c r="A176" s="3" t="s">
        <v>3523</v>
      </c>
      <c r="B176" s="3" t="s">
        <v>112</v>
      </c>
      <c r="C176" s="8">
        <v>46017.49768518518</v>
      </c>
      <c r="D176" s="3">
        <v>-17.0</v>
      </c>
    </row>
    <row r="177" ht="15.75" customHeight="1">
      <c r="A177" s="3" t="s">
        <v>3524</v>
      </c>
      <c r="B177" s="3" t="s">
        <v>112</v>
      </c>
      <c r="C177" s="8">
        <v>46017.4991087963</v>
      </c>
      <c r="D177" s="3">
        <v>2.0</v>
      </c>
    </row>
    <row r="178" ht="15.75" customHeight="1">
      <c r="A178" s="3" t="s">
        <v>3525</v>
      </c>
      <c r="B178" s="3" t="s">
        <v>134</v>
      </c>
      <c r="C178" s="8">
        <v>46017.49957175926</v>
      </c>
      <c r="D178" s="3">
        <v>-4.0</v>
      </c>
    </row>
    <row r="179" ht="15.75" customHeight="1">
      <c r="A179" s="3" t="s">
        <v>3526</v>
      </c>
      <c r="B179" s="3" t="s">
        <v>134</v>
      </c>
      <c r="C179" s="8">
        <v>46017.49983796296</v>
      </c>
      <c r="D179" s="3">
        <v>-2.0</v>
      </c>
    </row>
    <row r="180" ht="15.75" customHeight="1">
      <c r="A180" s="3" t="s">
        <v>3527</v>
      </c>
      <c r="B180" s="3" t="s">
        <v>59</v>
      </c>
      <c r="C180" s="8">
        <v>46017.50008101852</v>
      </c>
      <c r="D180" s="3">
        <v>-6.0</v>
      </c>
    </row>
    <row r="181" ht="15.75" customHeight="1">
      <c r="A181" s="3" t="s">
        <v>3528</v>
      </c>
      <c r="B181" s="3" t="s">
        <v>14</v>
      </c>
      <c r="C181" s="8">
        <v>46017.50805555555</v>
      </c>
      <c r="D181" s="3">
        <v>0.0</v>
      </c>
    </row>
    <row r="182" ht="15.75" customHeight="1">
      <c r="A182" s="3" t="s">
        <v>3529</v>
      </c>
      <c r="B182" s="3" t="s">
        <v>165</v>
      </c>
      <c r="C182" s="8">
        <v>46017.58783564815</v>
      </c>
      <c r="D182" s="3">
        <v>-7.0</v>
      </c>
    </row>
    <row r="183" ht="15.75" customHeight="1">
      <c r="A183" s="3" t="s">
        <v>3530</v>
      </c>
      <c r="B183" s="3" t="s">
        <v>142</v>
      </c>
      <c r="C183" s="8">
        <v>46017.58805555556</v>
      </c>
      <c r="D183" s="3">
        <v>-12.0</v>
      </c>
    </row>
    <row r="184" ht="15.75" customHeight="1">
      <c r="A184" s="3" t="s">
        <v>3531</v>
      </c>
      <c r="B184" s="3" t="s">
        <v>192</v>
      </c>
      <c r="C184" s="8">
        <v>46017.58818287037</v>
      </c>
      <c r="D184" s="3">
        <v>-4.0</v>
      </c>
    </row>
    <row r="185" ht="15.75" customHeight="1">
      <c r="A185" s="3" t="s">
        <v>3532</v>
      </c>
      <c r="B185" s="3" t="s">
        <v>134</v>
      </c>
      <c r="C185" s="8">
        <v>46017.58883101852</v>
      </c>
      <c r="D185" s="3">
        <v>-12.0</v>
      </c>
    </row>
    <row r="186" ht="15.75" customHeight="1">
      <c r="A186" s="3" t="s">
        <v>3533</v>
      </c>
      <c r="B186" s="3" t="s">
        <v>189</v>
      </c>
      <c r="C186" s="8">
        <v>46017.58912037037</v>
      </c>
      <c r="D186" s="3">
        <v>-42.0</v>
      </c>
    </row>
    <row r="187" ht="15.75" customHeight="1">
      <c r="A187" s="3" t="s">
        <v>3534</v>
      </c>
      <c r="B187" s="3" t="s">
        <v>171</v>
      </c>
      <c r="C187" s="8">
        <v>46017.58930555556</v>
      </c>
      <c r="D187" s="3">
        <v>-24.0</v>
      </c>
    </row>
    <row r="188" ht="15.75" customHeight="1">
      <c r="A188" s="3" t="s">
        <v>3535</v>
      </c>
      <c r="B188" s="3" t="s">
        <v>96</v>
      </c>
      <c r="C188" s="8">
        <v>46017.58943287037</v>
      </c>
      <c r="D188" s="3">
        <v>-2.0</v>
      </c>
    </row>
    <row r="189" ht="15.75" customHeight="1">
      <c r="A189" s="3" t="s">
        <v>3536</v>
      </c>
      <c r="B189" s="3" t="s">
        <v>217</v>
      </c>
      <c r="C189" s="8">
        <v>46017.58956018519</v>
      </c>
      <c r="D189" s="3">
        <v>-17.0</v>
      </c>
    </row>
    <row r="190" ht="15.75" customHeight="1">
      <c r="A190" s="3" t="s">
        <v>3537</v>
      </c>
      <c r="B190" s="3" t="s">
        <v>238</v>
      </c>
      <c r="C190" s="8">
        <v>46017.58980324074</v>
      </c>
      <c r="D190" s="3">
        <v>-3.0</v>
      </c>
    </row>
    <row r="191" ht="15.75" customHeight="1">
      <c r="A191" s="3" t="s">
        <v>3538</v>
      </c>
      <c r="B191" s="3" t="s">
        <v>88</v>
      </c>
      <c r="C191" s="8">
        <v>46017.58989583333</v>
      </c>
      <c r="D191" s="3">
        <v>-3.0</v>
      </c>
    </row>
    <row r="192" ht="15.75" customHeight="1">
      <c r="A192" s="3" t="s">
        <v>3539</v>
      </c>
      <c r="B192" s="3" t="s">
        <v>202</v>
      </c>
      <c r="C192" s="8">
        <v>46017.59003472222</v>
      </c>
      <c r="D192" s="3">
        <v>-6.0</v>
      </c>
    </row>
    <row r="193" ht="15.75" customHeight="1">
      <c r="A193" s="3" t="s">
        <v>3540</v>
      </c>
      <c r="B193" s="3" t="s">
        <v>220</v>
      </c>
      <c r="C193" s="8">
        <v>46017.5903125</v>
      </c>
      <c r="D193" s="3">
        <v>-3.0</v>
      </c>
    </row>
    <row r="194" ht="15.75" customHeight="1">
      <c r="A194" s="3" t="s">
        <v>3541</v>
      </c>
      <c r="B194" s="3" t="s">
        <v>232</v>
      </c>
      <c r="C194" s="8">
        <v>46017.59049768518</v>
      </c>
      <c r="D194" s="3">
        <v>-3.0</v>
      </c>
    </row>
    <row r="195" ht="15.75" customHeight="1">
      <c r="A195" s="3" t="s">
        <v>3542</v>
      </c>
      <c r="B195" s="3" t="s">
        <v>229</v>
      </c>
      <c r="C195" s="8">
        <v>46017.59055555556</v>
      </c>
      <c r="D195" s="3">
        <v>-2.0</v>
      </c>
    </row>
    <row r="196" ht="15.75" customHeight="1">
      <c r="A196" s="3" t="s">
        <v>3543</v>
      </c>
      <c r="B196" s="3" t="s">
        <v>226</v>
      </c>
      <c r="C196" s="8">
        <v>46017.59072916667</v>
      </c>
      <c r="D196" s="3">
        <v>-7.0</v>
      </c>
    </row>
    <row r="197" ht="15.75" customHeight="1">
      <c r="A197" s="3" t="s">
        <v>3544</v>
      </c>
      <c r="B197" s="3" t="s">
        <v>229</v>
      </c>
      <c r="C197" s="8">
        <v>46017.59224537037</v>
      </c>
      <c r="D197" s="3">
        <v>-5.0</v>
      </c>
    </row>
    <row r="198" ht="15.75" customHeight="1">
      <c r="A198" s="3" t="s">
        <v>3545</v>
      </c>
      <c r="B198" s="3" t="s">
        <v>202</v>
      </c>
      <c r="C198" s="8">
        <v>46017.59267361111</v>
      </c>
      <c r="D198" s="3">
        <v>-1.0</v>
      </c>
    </row>
    <row r="199" ht="15.75" customHeight="1">
      <c r="A199" s="3" t="s">
        <v>3546</v>
      </c>
      <c r="B199" s="3" t="s">
        <v>232</v>
      </c>
      <c r="C199" s="8">
        <v>46018.48291666667</v>
      </c>
      <c r="D199" s="3">
        <v>-6.0</v>
      </c>
    </row>
    <row r="200" ht="15.75" customHeight="1">
      <c r="A200" s="3" t="s">
        <v>3547</v>
      </c>
      <c r="B200" s="3" t="s">
        <v>220</v>
      </c>
      <c r="C200" s="8">
        <v>46018.48305555555</v>
      </c>
      <c r="D200" s="3">
        <v>-2.0</v>
      </c>
    </row>
    <row r="201" ht="15.75" customHeight="1">
      <c r="A201" s="3" t="s">
        <v>3548</v>
      </c>
      <c r="B201" s="3" t="s">
        <v>226</v>
      </c>
      <c r="C201" s="8">
        <v>46018.48319444444</v>
      </c>
      <c r="D201" s="3">
        <v>-2.0</v>
      </c>
    </row>
    <row r="202" ht="15.75" customHeight="1">
      <c r="A202" s="3" t="s">
        <v>3549</v>
      </c>
      <c r="B202" s="3" t="s">
        <v>229</v>
      </c>
      <c r="C202" s="8">
        <v>46018.48336805555</v>
      </c>
      <c r="D202" s="3">
        <v>-4.0</v>
      </c>
    </row>
    <row r="203" ht="15.75" customHeight="1">
      <c r="A203" s="3" t="s">
        <v>3550</v>
      </c>
      <c r="B203" s="3" t="s">
        <v>223</v>
      </c>
      <c r="C203" s="8">
        <v>46018.48344907408</v>
      </c>
      <c r="D203" s="3">
        <v>-1.0</v>
      </c>
    </row>
    <row r="204" ht="15.75" customHeight="1">
      <c r="A204" s="3" t="s">
        <v>3551</v>
      </c>
      <c r="B204" s="3" t="s">
        <v>217</v>
      </c>
      <c r="C204" s="8">
        <v>46018.48368055555</v>
      </c>
      <c r="D204" s="3">
        <v>-12.0</v>
      </c>
    </row>
    <row r="205" ht="15.75" customHeight="1">
      <c r="A205" s="3" t="s">
        <v>3552</v>
      </c>
      <c r="B205" s="3" t="s">
        <v>186</v>
      </c>
      <c r="C205" s="8">
        <v>46018.48380787037</v>
      </c>
      <c r="D205" s="3">
        <v>-7.0</v>
      </c>
    </row>
    <row r="206" ht="15.75" customHeight="1">
      <c r="A206" s="3" t="s">
        <v>3553</v>
      </c>
      <c r="B206" s="3" t="s">
        <v>165</v>
      </c>
      <c r="C206" s="8">
        <v>46018.48395833333</v>
      </c>
      <c r="D206" s="3">
        <v>-6.0</v>
      </c>
    </row>
    <row r="207" ht="15.75" customHeight="1">
      <c r="A207" s="3" t="s">
        <v>3554</v>
      </c>
      <c r="B207" s="3" t="s">
        <v>165</v>
      </c>
      <c r="C207" s="8">
        <v>46018.48429398148</v>
      </c>
      <c r="D207" s="3">
        <v>1.0</v>
      </c>
    </row>
    <row r="208" ht="15.75" customHeight="1">
      <c r="A208" s="3" t="s">
        <v>3555</v>
      </c>
      <c r="B208" s="3" t="s">
        <v>142</v>
      </c>
      <c r="C208" s="8">
        <v>46018.48443287037</v>
      </c>
      <c r="D208" s="3">
        <v>-7.0</v>
      </c>
    </row>
    <row r="209" ht="15.75" customHeight="1">
      <c r="A209" s="3" t="s">
        <v>3556</v>
      </c>
      <c r="B209" s="3" t="s">
        <v>88</v>
      </c>
      <c r="C209" s="8">
        <v>46018.48550925926</v>
      </c>
      <c r="D209" s="3">
        <v>-4.0</v>
      </c>
    </row>
    <row r="210" ht="15.75" customHeight="1">
      <c r="A210" s="3" t="s">
        <v>3557</v>
      </c>
      <c r="B210" s="3" t="s">
        <v>238</v>
      </c>
      <c r="C210" s="8">
        <v>46018.485625</v>
      </c>
      <c r="D210" s="3">
        <v>-3.0</v>
      </c>
    </row>
    <row r="211" ht="15.75" customHeight="1">
      <c r="A211" s="3" t="s">
        <v>3558</v>
      </c>
      <c r="B211" s="3" t="s">
        <v>189</v>
      </c>
      <c r="C211" s="8">
        <v>46018.4859375</v>
      </c>
      <c r="D211" s="3">
        <v>-21.0</v>
      </c>
    </row>
    <row r="212" ht="15.75" customHeight="1">
      <c r="A212" s="3" t="s">
        <v>3559</v>
      </c>
      <c r="B212" s="3" t="s">
        <v>171</v>
      </c>
      <c r="C212" s="8">
        <v>46018.48607638889</v>
      </c>
      <c r="D212" s="3">
        <v>-24.0</v>
      </c>
    </row>
    <row r="213" ht="15.75" customHeight="1">
      <c r="A213" s="3" t="s">
        <v>3560</v>
      </c>
      <c r="B213" s="3" t="s">
        <v>217</v>
      </c>
      <c r="C213" s="8">
        <v>46018.48626157407</v>
      </c>
      <c r="D213" s="3">
        <v>-14.0</v>
      </c>
    </row>
    <row r="214" ht="15.75" customHeight="1">
      <c r="A214" s="3" t="s">
        <v>3561</v>
      </c>
      <c r="B214" s="3" t="s">
        <v>192</v>
      </c>
      <c r="C214" s="8">
        <v>46018.48635416666</v>
      </c>
      <c r="D214" s="3">
        <v>-8.0</v>
      </c>
    </row>
    <row r="215" ht="15.75" customHeight="1">
      <c r="A215" s="3" t="s">
        <v>3562</v>
      </c>
      <c r="B215" s="3" t="s">
        <v>189</v>
      </c>
      <c r="C215" s="8">
        <v>46018.48650462963</v>
      </c>
      <c r="D215" s="3">
        <v>-21.0</v>
      </c>
    </row>
    <row r="216" ht="15.75" customHeight="1">
      <c r="A216" s="3" t="s">
        <v>3563</v>
      </c>
      <c r="B216" s="3" t="s">
        <v>171</v>
      </c>
      <c r="C216" s="8">
        <v>46018.48662037037</v>
      </c>
      <c r="D216" s="3">
        <v>-24.0</v>
      </c>
    </row>
    <row r="217" ht="15.75" customHeight="1">
      <c r="A217" s="3" t="s">
        <v>3564</v>
      </c>
      <c r="B217" s="3" t="s">
        <v>88</v>
      </c>
      <c r="C217" s="8">
        <v>46018.48674768519</v>
      </c>
      <c r="D217" s="3">
        <v>-6.0</v>
      </c>
    </row>
    <row r="218" ht="15.75" customHeight="1">
      <c r="A218" s="3" t="s">
        <v>3565</v>
      </c>
      <c r="B218" s="3" t="s">
        <v>238</v>
      </c>
      <c r="C218" s="8">
        <v>46018.4868287037</v>
      </c>
      <c r="D218" s="3">
        <v>-3.0</v>
      </c>
    </row>
    <row r="219" ht="15.75" customHeight="1">
      <c r="A219" s="3" t="s">
        <v>3566</v>
      </c>
      <c r="B219" s="3" t="s">
        <v>165</v>
      </c>
      <c r="C219" s="8">
        <v>46018.48704861111</v>
      </c>
      <c r="D219" s="3">
        <v>-6.0</v>
      </c>
    </row>
    <row r="220" ht="15.75" customHeight="1">
      <c r="A220" s="3" t="s">
        <v>3567</v>
      </c>
      <c r="B220" s="3" t="s">
        <v>82</v>
      </c>
      <c r="C220" s="8">
        <v>46018.48722222223</v>
      </c>
      <c r="D220" s="3">
        <v>-5.0</v>
      </c>
    </row>
    <row r="221" ht="15.75" customHeight="1">
      <c r="A221" s="3" t="s">
        <v>3568</v>
      </c>
      <c r="B221" s="3" t="s">
        <v>142</v>
      </c>
      <c r="C221" s="8">
        <v>46018.48740740741</v>
      </c>
      <c r="D221" s="3">
        <v>-5.0</v>
      </c>
    </row>
    <row r="222" ht="15.75" customHeight="1">
      <c r="A222" s="3" t="s">
        <v>3569</v>
      </c>
      <c r="B222" s="3" t="s">
        <v>202</v>
      </c>
      <c r="C222" s="8">
        <v>46018.48835648148</v>
      </c>
      <c r="D222" s="3">
        <v>-4.0</v>
      </c>
    </row>
    <row r="223" ht="15.75" customHeight="1">
      <c r="A223" s="3" t="s">
        <v>3570</v>
      </c>
      <c r="B223" s="3" t="s">
        <v>220</v>
      </c>
      <c r="C223" s="8">
        <v>46018.48840277778</v>
      </c>
      <c r="D223" s="3">
        <v>-5.0</v>
      </c>
    </row>
    <row r="224" ht="15.75" customHeight="1">
      <c r="A224" s="3" t="s">
        <v>3571</v>
      </c>
      <c r="B224" s="3" t="s">
        <v>232</v>
      </c>
      <c r="C224" s="8">
        <v>46018.48847222222</v>
      </c>
      <c r="D224" s="3">
        <v>-3.0</v>
      </c>
    </row>
    <row r="225" ht="15.75" customHeight="1">
      <c r="A225" s="3" t="s">
        <v>3572</v>
      </c>
      <c r="B225" s="3" t="s">
        <v>82</v>
      </c>
      <c r="C225" s="8">
        <v>46018.49258101852</v>
      </c>
      <c r="D225" s="3">
        <v>-1.0</v>
      </c>
    </row>
    <row r="226" ht="15.75" customHeight="1">
      <c r="A226" s="3" t="s">
        <v>3573</v>
      </c>
      <c r="B226" s="3" t="s">
        <v>214</v>
      </c>
      <c r="C226" s="8">
        <v>46018.50222222223</v>
      </c>
      <c r="D226" s="3">
        <v>-72.0</v>
      </c>
    </row>
    <row r="227" ht="15.75" customHeight="1">
      <c r="A227" s="3" t="s">
        <v>3574</v>
      </c>
      <c r="B227" s="3" t="s">
        <v>214</v>
      </c>
      <c r="C227" s="8">
        <v>46018.50265046296</v>
      </c>
      <c r="D227" s="3">
        <v>120.0</v>
      </c>
    </row>
    <row r="228" ht="15.75" customHeight="1">
      <c r="A228" s="3" t="s">
        <v>3575</v>
      </c>
      <c r="B228" s="3" t="s">
        <v>96</v>
      </c>
      <c r="C228" s="8">
        <v>46018.50737268518</v>
      </c>
      <c r="D228" s="3">
        <v>24.0</v>
      </c>
    </row>
    <row r="229" ht="15.75" customHeight="1">
      <c r="A229" s="3" t="s">
        <v>3576</v>
      </c>
      <c r="B229" s="3" t="s">
        <v>214</v>
      </c>
      <c r="C229" s="8">
        <v>46018.56247685185</v>
      </c>
      <c r="D229" s="3">
        <v>-60.0</v>
      </c>
    </row>
    <row r="230" ht="15.75" customHeight="1">
      <c r="A230" s="3" t="s">
        <v>3577</v>
      </c>
      <c r="B230" s="3" t="s">
        <v>96</v>
      </c>
      <c r="C230" s="8">
        <v>46018.56274305555</v>
      </c>
      <c r="D230" s="3">
        <v>-7.0</v>
      </c>
    </row>
    <row r="231" ht="15.75" customHeight="1">
      <c r="A231" s="3" t="s">
        <v>3578</v>
      </c>
      <c r="B231" s="3" t="s">
        <v>214</v>
      </c>
      <c r="C231" s="8">
        <v>46018.6012962963</v>
      </c>
      <c r="D231" s="3">
        <v>-48.0</v>
      </c>
    </row>
    <row r="232" ht="15.75" customHeight="1">
      <c r="A232" s="3" t="s">
        <v>3579</v>
      </c>
      <c r="B232" s="3" t="s">
        <v>96</v>
      </c>
      <c r="C232" s="8">
        <v>46018.6015162037</v>
      </c>
      <c r="D232" s="3">
        <v>-12.0</v>
      </c>
    </row>
    <row r="233" ht="15.75" customHeight="1">
      <c r="A233" s="3" t="s">
        <v>3580</v>
      </c>
      <c r="B233" s="3" t="s">
        <v>171</v>
      </c>
      <c r="C233" s="8">
        <v>46018.60450231482</v>
      </c>
      <c r="D233" s="3">
        <v>24.0</v>
      </c>
    </row>
    <row r="234" ht="15.75" customHeight="1">
      <c r="A234" s="3" t="s">
        <v>3581</v>
      </c>
      <c r="B234" s="3" t="s">
        <v>217</v>
      </c>
      <c r="C234" s="8">
        <v>46018.60465277778</v>
      </c>
      <c r="D234" s="3">
        <v>2.0</v>
      </c>
    </row>
    <row r="235" ht="15.75" customHeight="1">
      <c r="A235" s="3" t="s">
        <v>3582</v>
      </c>
      <c r="B235" s="3" t="s">
        <v>82</v>
      </c>
      <c r="C235" s="8">
        <v>46018.60493055556</v>
      </c>
      <c r="D235" s="3">
        <v>8.0</v>
      </c>
    </row>
    <row r="236" ht="15.75" customHeight="1">
      <c r="A236" s="3" t="s">
        <v>3583</v>
      </c>
      <c r="B236" s="3" t="s">
        <v>54</v>
      </c>
      <c r="C236" s="8">
        <v>46018.93643518518</v>
      </c>
      <c r="D236" s="3">
        <v>-4.0</v>
      </c>
    </row>
    <row r="237" ht="15.75" customHeight="1">
      <c r="A237" s="3" t="s">
        <v>3584</v>
      </c>
      <c r="B237" s="3" t="s">
        <v>54</v>
      </c>
      <c r="C237" s="8">
        <v>46018.93664351852</v>
      </c>
      <c r="D237" s="3">
        <v>5.0</v>
      </c>
    </row>
    <row r="238" ht="15.75" customHeight="1">
      <c r="A238" s="3" t="s">
        <v>3585</v>
      </c>
      <c r="B238" s="3" t="s">
        <v>54</v>
      </c>
      <c r="C238" s="8">
        <v>46018.93681712963</v>
      </c>
      <c r="D238" s="3">
        <v>-1.0</v>
      </c>
    </row>
    <row r="239" ht="15.75" customHeight="1">
      <c r="A239" s="3" t="s">
        <v>3586</v>
      </c>
      <c r="B239" s="3" t="s">
        <v>171</v>
      </c>
      <c r="C239" s="8">
        <v>46019.02607638889</v>
      </c>
      <c r="D239" s="3">
        <v>-24.0</v>
      </c>
    </row>
    <row r="240" ht="15.75" customHeight="1">
      <c r="A240" s="3" t="s">
        <v>3587</v>
      </c>
      <c r="B240" s="3" t="s">
        <v>214</v>
      </c>
      <c r="C240" s="8">
        <v>46019.02626157407</v>
      </c>
      <c r="D240" s="3">
        <v>-12.0</v>
      </c>
    </row>
    <row r="241" ht="15.75" customHeight="1">
      <c r="A241" s="3" t="s">
        <v>3588</v>
      </c>
      <c r="B241" s="3" t="s">
        <v>202</v>
      </c>
      <c r="C241" s="8">
        <v>46020.44414351852</v>
      </c>
      <c r="D241" s="3">
        <v>-3.0</v>
      </c>
    </row>
    <row r="242" ht="15.75" customHeight="1">
      <c r="A242" s="3" t="s">
        <v>3589</v>
      </c>
      <c r="B242" s="3" t="s">
        <v>154</v>
      </c>
      <c r="C242" s="8">
        <v>46020.44444444445</v>
      </c>
      <c r="D242" s="3">
        <v>-3.0</v>
      </c>
    </row>
    <row r="243" ht="15.75" customHeight="1">
      <c r="A243" s="3" t="s">
        <v>3590</v>
      </c>
      <c r="B243" s="3" t="s">
        <v>165</v>
      </c>
      <c r="C243" s="8">
        <v>46020.46346064815</v>
      </c>
      <c r="D243" s="3">
        <v>-4.0</v>
      </c>
    </row>
    <row r="244" ht="15.75" customHeight="1">
      <c r="A244" s="3" t="s">
        <v>3591</v>
      </c>
      <c r="B244" s="3" t="s">
        <v>238</v>
      </c>
      <c r="C244" s="8">
        <v>46020.46378472223</v>
      </c>
      <c r="D244" s="3">
        <v>-2.0</v>
      </c>
    </row>
    <row r="245" ht="15.75" customHeight="1">
      <c r="A245" s="3" t="s">
        <v>3592</v>
      </c>
      <c r="B245" s="3" t="s">
        <v>202</v>
      </c>
      <c r="C245" s="8">
        <v>46021.55166666667</v>
      </c>
      <c r="D245" s="3">
        <v>-5.0</v>
      </c>
    </row>
    <row r="246" ht="15.75" customHeight="1">
      <c r="A246" s="3" t="s">
        <v>3593</v>
      </c>
      <c r="B246" s="3" t="s">
        <v>220</v>
      </c>
      <c r="C246" s="8">
        <v>46021.55180555556</v>
      </c>
      <c r="D246" s="3">
        <v>-2.0</v>
      </c>
    </row>
    <row r="247" ht="15.75" customHeight="1">
      <c r="A247" s="3" t="s">
        <v>3594</v>
      </c>
      <c r="B247" s="3" t="s">
        <v>223</v>
      </c>
      <c r="C247" s="8">
        <v>46021.55190972222</v>
      </c>
      <c r="D247" s="3">
        <v>-7.0</v>
      </c>
    </row>
    <row r="248" ht="15.75" customHeight="1">
      <c r="A248" s="3" t="s">
        <v>3595</v>
      </c>
      <c r="B248" s="3" t="s">
        <v>229</v>
      </c>
      <c r="C248" s="8">
        <v>46021.55196759259</v>
      </c>
      <c r="D248" s="3">
        <v>-4.0</v>
      </c>
    </row>
    <row r="249" ht="15.75" customHeight="1">
      <c r="A249" s="3" t="s">
        <v>3596</v>
      </c>
      <c r="B249" s="3" t="s">
        <v>232</v>
      </c>
      <c r="C249" s="8">
        <v>46021.55204861111</v>
      </c>
      <c r="D249" s="3">
        <v>-2.0</v>
      </c>
    </row>
    <row r="250" ht="15.75" customHeight="1">
      <c r="A250" s="3" t="s">
        <v>3597</v>
      </c>
      <c r="B250" s="3" t="s">
        <v>217</v>
      </c>
      <c r="C250" s="8">
        <v>46021.55212962963</v>
      </c>
      <c r="D250" s="3">
        <v>-16.0</v>
      </c>
    </row>
    <row r="251" ht="15.75" customHeight="1">
      <c r="A251" s="3" t="s">
        <v>3598</v>
      </c>
      <c r="B251" s="3" t="s">
        <v>46</v>
      </c>
      <c r="C251" s="8">
        <v>46021.55231481481</v>
      </c>
      <c r="D251" s="3">
        <v>-3.0</v>
      </c>
    </row>
    <row r="252" ht="15.75" customHeight="1">
      <c r="A252" s="3" t="s">
        <v>3599</v>
      </c>
      <c r="B252" s="3" t="s">
        <v>238</v>
      </c>
      <c r="C252" s="8">
        <v>46021.55244212963</v>
      </c>
      <c r="D252" s="3">
        <v>-4.0</v>
      </c>
    </row>
    <row r="253" ht="15.75" customHeight="1">
      <c r="A253" s="3" t="s">
        <v>3600</v>
      </c>
      <c r="B253" s="3" t="s">
        <v>134</v>
      </c>
      <c r="C253" s="8">
        <v>46021.55263888889</v>
      </c>
      <c r="D253" s="3">
        <v>-8.0</v>
      </c>
    </row>
    <row r="254" ht="15.75" customHeight="1">
      <c r="A254" s="3" t="s">
        <v>3601</v>
      </c>
      <c r="B254" s="3" t="s">
        <v>192</v>
      </c>
      <c r="C254" s="8">
        <v>46021.55275462963</v>
      </c>
      <c r="D254" s="3">
        <v>-3.0</v>
      </c>
    </row>
    <row r="255" ht="15.75" customHeight="1">
      <c r="A255" s="3" t="s">
        <v>3602</v>
      </c>
      <c r="B255" s="3" t="s">
        <v>82</v>
      </c>
      <c r="C255" s="8">
        <v>46021.55302083334</v>
      </c>
      <c r="D255" s="3">
        <v>-18.0</v>
      </c>
    </row>
    <row r="256" ht="15.75" customHeight="1">
      <c r="A256" s="3" t="s">
        <v>3603</v>
      </c>
      <c r="B256" s="3" t="s">
        <v>96</v>
      </c>
      <c r="C256" s="8">
        <v>46021.55321759259</v>
      </c>
      <c r="D256" s="3">
        <v>-12.0</v>
      </c>
    </row>
    <row r="257" ht="15.75" customHeight="1">
      <c r="A257" s="3" t="s">
        <v>3604</v>
      </c>
      <c r="B257" s="3" t="s">
        <v>214</v>
      </c>
      <c r="C257" s="8">
        <v>46021.55366898148</v>
      </c>
      <c r="D257" s="3">
        <v>-60.0</v>
      </c>
    </row>
    <row r="258" ht="15.75" customHeight="1">
      <c r="A258" s="3" t="s">
        <v>3605</v>
      </c>
      <c r="B258" s="3" t="s">
        <v>165</v>
      </c>
      <c r="C258" s="8">
        <v>46021.55386574074</v>
      </c>
      <c r="D258" s="3">
        <v>-8.0</v>
      </c>
    </row>
    <row r="259" ht="15.75" customHeight="1"/>
    <row r="260" ht="15.75" customHeight="1"/>
    <row r="261" ht="15.75" customHeight="1">
      <c r="A261" s="3" t="s">
        <v>3606</v>
      </c>
      <c r="B261" s="3" t="s">
        <v>186</v>
      </c>
      <c r="C261" s="8">
        <v>46021.55494212963</v>
      </c>
      <c r="D261" s="3">
        <v>-8.0</v>
      </c>
    </row>
    <row r="262" ht="15.75" customHeight="1">
      <c r="A262" s="3" t="s">
        <v>3607</v>
      </c>
      <c r="B262" s="3" t="s">
        <v>171</v>
      </c>
      <c r="C262" s="8">
        <v>46021.55521990741</v>
      </c>
      <c r="D262" s="3">
        <v>-24.0</v>
      </c>
    </row>
    <row r="263" ht="15.75" customHeight="1">
      <c r="A263" s="3" t="s">
        <v>3608</v>
      </c>
      <c r="B263" s="3" t="s">
        <v>189</v>
      </c>
      <c r="C263" s="8">
        <v>46021.55542824074</v>
      </c>
      <c r="D263" s="3">
        <v>-42.0</v>
      </c>
    </row>
    <row r="264" ht="15.75" customHeight="1">
      <c r="A264" s="3" t="s">
        <v>3609</v>
      </c>
      <c r="B264" s="3" t="s">
        <v>223</v>
      </c>
      <c r="C264" s="8">
        <v>46021.95452546296</v>
      </c>
      <c r="D264" s="3">
        <v>12.0</v>
      </c>
    </row>
    <row r="265" ht="15.75" customHeight="1">
      <c r="A265" s="3" t="s">
        <v>3610</v>
      </c>
      <c r="B265" s="3" t="s">
        <v>220</v>
      </c>
      <c r="C265" s="8">
        <v>46021.95460648148</v>
      </c>
      <c r="D265" s="3">
        <v>12.0</v>
      </c>
    </row>
    <row r="266" ht="15.75" customHeight="1">
      <c r="A266" s="3" t="s">
        <v>3611</v>
      </c>
      <c r="B266" s="3" t="s">
        <v>232</v>
      </c>
      <c r="C266" s="8">
        <v>46021.95465277778</v>
      </c>
      <c r="D266" s="3">
        <v>12.0</v>
      </c>
    </row>
    <row r="267" ht="15.75" customHeight="1">
      <c r="A267" s="3" t="s">
        <v>3612</v>
      </c>
      <c r="B267" s="3" t="s">
        <v>229</v>
      </c>
      <c r="C267" s="8">
        <v>46021.95469907407</v>
      </c>
      <c r="D267" s="3">
        <v>12.0</v>
      </c>
    </row>
    <row r="268" ht="15.75" customHeight="1">
      <c r="A268" s="3" t="s">
        <v>3613</v>
      </c>
      <c r="B268" s="3" t="s">
        <v>202</v>
      </c>
      <c r="C268" s="8">
        <v>46021.95474537037</v>
      </c>
      <c r="D268" s="3">
        <v>12.0</v>
      </c>
    </row>
    <row r="269" ht="15.75" customHeight="1">
      <c r="A269" s="3" t="s">
        <v>3614</v>
      </c>
      <c r="B269" s="3" t="s">
        <v>46</v>
      </c>
      <c r="C269" s="8">
        <v>46021.96078703704</v>
      </c>
      <c r="D269" s="3">
        <v>-8.0</v>
      </c>
    </row>
    <row r="270" ht="15.75" customHeight="1">
      <c r="A270" s="3" t="s">
        <v>3615</v>
      </c>
      <c r="B270" s="3" t="s">
        <v>220</v>
      </c>
      <c r="C270" s="8">
        <v>46021.96655092593</v>
      </c>
      <c r="D270" s="3">
        <v>-12.0</v>
      </c>
    </row>
    <row r="271" ht="15.75" customHeight="1">
      <c r="A271" s="3" t="s">
        <v>3616</v>
      </c>
      <c r="B271" s="3" t="s">
        <v>229</v>
      </c>
      <c r="C271" s="8">
        <v>46021.9666087963</v>
      </c>
      <c r="D271" s="3">
        <v>-12.0</v>
      </c>
    </row>
    <row r="272" ht="15.75" customHeight="1">
      <c r="A272" s="3" t="s">
        <v>3617</v>
      </c>
      <c r="B272" s="3" t="s">
        <v>232</v>
      </c>
      <c r="C272" s="8">
        <v>46021.96668981481</v>
      </c>
      <c r="D272" s="3">
        <v>-12.0</v>
      </c>
    </row>
    <row r="273" ht="15.75" customHeight="1">
      <c r="A273" s="3" t="s">
        <v>3618</v>
      </c>
      <c r="B273" s="3" t="s">
        <v>223</v>
      </c>
      <c r="C273" s="8">
        <v>46021.96677083334</v>
      </c>
      <c r="D273" s="3">
        <v>-12.0</v>
      </c>
    </row>
    <row r="274" ht="15.75" customHeight="1">
      <c r="A274" s="3" t="s">
        <v>3619</v>
      </c>
      <c r="B274" s="3" t="s">
        <v>202</v>
      </c>
      <c r="C274" s="8">
        <v>46021.96681712963</v>
      </c>
      <c r="D274" s="3">
        <v>-12.0</v>
      </c>
    </row>
    <row r="275" ht="15.75" customHeight="1">
      <c r="A275" s="3" t="s">
        <v>3620</v>
      </c>
      <c r="B275" s="3" t="s">
        <v>96</v>
      </c>
      <c r="C275" s="8">
        <v>46021.96712962963</v>
      </c>
      <c r="D275" s="3">
        <v>-10.0</v>
      </c>
    </row>
    <row r="276" ht="15.75" customHeight="1">
      <c r="A276" s="3" t="s">
        <v>3621</v>
      </c>
      <c r="B276" s="3" t="s">
        <v>139</v>
      </c>
      <c r="C276" s="8">
        <v>46021.9675462963</v>
      </c>
      <c r="D276" s="3">
        <v>-3.0</v>
      </c>
    </row>
    <row r="277" ht="15.75" customHeight="1">
      <c r="A277" s="3" t="s">
        <v>3622</v>
      </c>
      <c r="B277" s="3" t="s">
        <v>165</v>
      </c>
      <c r="C277" s="8">
        <v>46021.96767361111</v>
      </c>
      <c r="D277" s="3">
        <v>-6.0</v>
      </c>
    </row>
    <row r="278" ht="15.75" customHeight="1">
      <c r="A278" s="3" t="s">
        <v>3623</v>
      </c>
      <c r="B278" s="3" t="s">
        <v>189</v>
      </c>
      <c r="C278" s="8">
        <v>46021.96938657408</v>
      </c>
      <c r="D278" s="3">
        <v>-21.0</v>
      </c>
    </row>
    <row r="279" ht="15.75" customHeight="1">
      <c r="A279" s="3" t="s">
        <v>3624</v>
      </c>
      <c r="B279" s="3" t="s">
        <v>192</v>
      </c>
      <c r="C279" s="8">
        <v>46021.96951388889</v>
      </c>
      <c r="D279" s="3">
        <v>-8.0</v>
      </c>
    </row>
    <row r="280" ht="15.75" customHeight="1">
      <c r="A280" s="3" t="s">
        <v>3625</v>
      </c>
      <c r="B280" s="3" t="s">
        <v>171</v>
      </c>
      <c r="C280" s="8">
        <v>46021.96962962963</v>
      </c>
      <c r="D280" s="3">
        <v>-24.0</v>
      </c>
    </row>
    <row r="281" ht="15.75" customHeight="1">
      <c r="A281" s="3" t="s">
        <v>3626</v>
      </c>
      <c r="B281" s="3" t="s">
        <v>229</v>
      </c>
      <c r="C281" s="8">
        <v>46021.96990740741</v>
      </c>
      <c r="D281" s="3">
        <v>-2.0</v>
      </c>
    </row>
    <row r="282" ht="15.75" customHeight="1">
      <c r="A282" s="3" t="s">
        <v>3627</v>
      </c>
      <c r="B282" s="3" t="s">
        <v>202</v>
      </c>
      <c r="C282" s="8">
        <v>46021.9699537037</v>
      </c>
      <c r="D282" s="3">
        <v>-2.0</v>
      </c>
    </row>
    <row r="283" ht="15.75" customHeight="1">
      <c r="A283" s="3" t="s">
        <v>3628</v>
      </c>
      <c r="B283" s="3" t="s">
        <v>223</v>
      </c>
      <c r="C283" s="8">
        <v>46021.97</v>
      </c>
      <c r="D283" s="3">
        <v>-2.0</v>
      </c>
    </row>
    <row r="284" ht="15.75" customHeight="1">
      <c r="A284" s="3" t="s">
        <v>3629</v>
      </c>
      <c r="B284" s="3" t="s">
        <v>217</v>
      </c>
      <c r="C284" s="8">
        <v>46021.97009259259</v>
      </c>
      <c r="D284" s="3">
        <v>-9.0</v>
      </c>
    </row>
    <row r="285" ht="15.75" customHeight="1">
      <c r="A285" s="3" t="s">
        <v>3630</v>
      </c>
      <c r="B285" s="3" t="s">
        <v>96</v>
      </c>
      <c r="C285" s="8">
        <v>46022.00300925926</v>
      </c>
      <c r="D285" s="3">
        <v>1.0</v>
      </c>
    </row>
    <row r="286" ht="15.75" customHeight="1">
      <c r="A286" s="3" t="s">
        <v>3631</v>
      </c>
      <c r="B286" s="3" t="s">
        <v>214</v>
      </c>
      <c r="C286" s="8">
        <v>46022.01877314815</v>
      </c>
      <c r="D286" s="3">
        <v>24.0</v>
      </c>
      <c r="E286" s="3" t="s">
        <v>3632</v>
      </c>
    </row>
    <row r="287" ht="15.75" customHeight="1">
      <c r="A287" s="3" t="s">
        <v>3633</v>
      </c>
      <c r="B287" s="3" t="s">
        <v>214</v>
      </c>
      <c r="C287" s="8">
        <v>46022.0190162037</v>
      </c>
      <c r="D287" s="3">
        <v>24.0</v>
      </c>
    </row>
    <row r="288" ht="15.75" customHeight="1">
      <c r="A288" s="3" t="s">
        <v>3634</v>
      </c>
      <c r="B288" s="3" t="s">
        <v>214</v>
      </c>
      <c r="C288" s="8">
        <v>46022.01920138889</v>
      </c>
      <c r="D288" s="3">
        <v>36.0</v>
      </c>
    </row>
    <row r="289" ht="15.75" customHeight="1">
      <c r="A289" s="3" t="s">
        <v>3635</v>
      </c>
      <c r="B289" s="3" t="s">
        <v>214</v>
      </c>
      <c r="C289" s="8">
        <v>46022.01936342593</v>
      </c>
      <c r="D289" s="3">
        <v>24.0</v>
      </c>
    </row>
    <row r="290" ht="15.75" customHeight="1">
      <c r="A290" s="3" t="s">
        <v>3636</v>
      </c>
      <c r="B290" s="3" t="s">
        <v>56</v>
      </c>
      <c r="C290" s="8">
        <v>46022.02475694445</v>
      </c>
      <c r="D290" s="3">
        <v>-24.0</v>
      </c>
    </row>
    <row r="291" ht="15.75" customHeight="1">
      <c r="A291" s="3" t="s">
        <v>3637</v>
      </c>
      <c r="B291" s="3" t="s">
        <v>195</v>
      </c>
      <c r="C291" s="8">
        <v>46022.02876157407</v>
      </c>
      <c r="D291" s="3">
        <v>-12.0</v>
      </c>
    </row>
    <row r="292" ht="15.75" customHeight="1">
      <c r="A292" s="3" t="s">
        <v>3638</v>
      </c>
      <c r="B292" s="3" t="s">
        <v>262</v>
      </c>
      <c r="C292" s="8">
        <v>46022.03</v>
      </c>
      <c r="D292" s="3">
        <v>-7.0</v>
      </c>
    </row>
    <row r="293" ht="15.75" customHeight="1">
      <c r="A293" s="3" t="s">
        <v>3639</v>
      </c>
      <c r="B293" s="3" t="s">
        <v>268</v>
      </c>
      <c r="C293" s="8">
        <v>46022.03416666666</v>
      </c>
      <c r="D293" s="3">
        <v>-24.0</v>
      </c>
    </row>
    <row r="294" ht="15.75" customHeight="1">
      <c r="A294" s="3" t="s">
        <v>3640</v>
      </c>
      <c r="B294" s="3" t="s">
        <v>120</v>
      </c>
      <c r="C294" s="8">
        <v>46022.0355787037</v>
      </c>
      <c r="D294" s="3">
        <v>-6.0</v>
      </c>
    </row>
    <row r="295" ht="15.75" customHeight="1">
      <c r="A295" s="3" t="s">
        <v>3641</v>
      </c>
      <c r="B295" s="3" t="s">
        <v>112</v>
      </c>
      <c r="C295" s="8">
        <v>46022.03710648148</v>
      </c>
      <c r="D295" s="3">
        <v>-3.0</v>
      </c>
    </row>
    <row r="296" ht="15.75" customHeight="1">
      <c r="A296" s="3" t="s">
        <v>3642</v>
      </c>
      <c r="B296" s="3" t="s">
        <v>131</v>
      </c>
      <c r="C296" s="8">
        <v>46022.06239583333</v>
      </c>
      <c r="D296" s="3">
        <v>-5.0</v>
      </c>
    </row>
    <row r="297" ht="15.75" customHeight="1">
      <c r="A297" s="3" t="s">
        <v>3643</v>
      </c>
      <c r="B297" s="3" t="s">
        <v>96</v>
      </c>
      <c r="C297" s="8">
        <v>46022.06258101852</v>
      </c>
      <c r="D297" s="3">
        <v>-11.0</v>
      </c>
    </row>
    <row r="298" ht="15.75" customHeight="1">
      <c r="A298" s="3" t="s">
        <v>3644</v>
      </c>
      <c r="B298" s="3" t="s">
        <v>262</v>
      </c>
      <c r="C298" s="8">
        <v>46022.95384259259</v>
      </c>
      <c r="D298" s="3">
        <v>-11.0</v>
      </c>
    </row>
    <row r="299" ht="15.75" customHeight="1">
      <c r="A299" s="3" t="s">
        <v>3645</v>
      </c>
      <c r="B299" s="3" t="s">
        <v>214</v>
      </c>
      <c r="C299" s="8">
        <v>46022.95663194444</v>
      </c>
      <c r="D299" s="3">
        <v>-12.0</v>
      </c>
    </row>
    <row r="300" ht="15.75" customHeight="1">
      <c r="A300" s="3" t="s">
        <v>3646</v>
      </c>
      <c r="B300" s="3" t="s">
        <v>96</v>
      </c>
      <c r="C300" s="8">
        <v>46022.96141203704</v>
      </c>
      <c r="D300" s="3">
        <v>2.0</v>
      </c>
    </row>
    <row r="301" ht="15.75" customHeight="1">
      <c r="A301" s="3" t="s">
        <v>3647</v>
      </c>
      <c r="B301" s="3" t="s">
        <v>82</v>
      </c>
      <c r="C301" s="8">
        <v>46022.98944444444</v>
      </c>
      <c r="D301" s="3">
        <v>-9.0</v>
      </c>
    </row>
    <row r="302" ht="15.75" customHeight="1">
      <c r="A302" s="3" t="s">
        <v>3648</v>
      </c>
      <c r="B302" s="3" t="s">
        <v>59</v>
      </c>
      <c r="C302" s="8">
        <v>46022.99050925926</v>
      </c>
      <c r="D302" s="3">
        <v>-6.0</v>
      </c>
    </row>
    <row r="303" ht="15.75" customHeight="1">
      <c r="A303" s="3" t="s">
        <v>3649</v>
      </c>
      <c r="B303" s="3" t="s">
        <v>134</v>
      </c>
      <c r="C303" s="8">
        <v>46022.99068287037</v>
      </c>
      <c r="D303" s="3">
        <v>-1.0</v>
      </c>
    </row>
    <row r="304" ht="15.75" customHeight="1">
      <c r="A304" s="3" t="s">
        <v>3650</v>
      </c>
      <c r="B304" s="3" t="s">
        <v>265</v>
      </c>
      <c r="C304" s="8">
        <v>46022.99182870371</v>
      </c>
      <c r="D304" s="3">
        <v>-12.0</v>
      </c>
    </row>
    <row r="305" ht="15.75" customHeight="1">
      <c r="A305" s="3" t="s">
        <v>3651</v>
      </c>
      <c r="B305" s="3" t="s">
        <v>123</v>
      </c>
      <c r="C305" s="8">
        <v>46022.99280092592</v>
      </c>
      <c r="D305" s="3">
        <v>-30.0</v>
      </c>
    </row>
    <row r="306" ht="15.75" customHeight="1">
      <c r="A306" s="3" t="s">
        <v>3652</v>
      </c>
      <c r="B306" s="3" t="s">
        <v>145</v>
      </c>
      <c r="C306" s="8">
        <v>46022.99332175926</v>
      </c>
      <c r="D306" s="3">
        <v>-4.0</v>
      </c>
    </row>
    <row r="307" ht="15.75" customHeight="1">
      <c r="A307" s="3" t="s">
        <v>3653</v>
      </c>
      <c r="B307" s="3" t="s">
        <v>139</v>
      </c>
      <c r="C307" s="8">
        <v>46022.99363425926</v>
      </c>
      <c r="D307" s="3">
        <v>-2.0</v>
      </c>
    </row>
    <row r="308" ht="15.75" customHeight="1">
      <c r="A308" s="3" t="s">
        <v>3654</v>
      </c>
      <c r="B308" s="3" t="s">
        <v>165</v>
      </c>
      <c r="C308" s="8">
        <v>46022.99486111111</v>
      </c>
      <c r="D308" s="3">
        <v>-10.0</v>
      </c>
    </row>
    <row r="309" ht="15.75" customHeight="1">
      <c r="A309" s="3" t="s">
        <v>3655</v>
      </c>
      <c r="B309" s="3" t="s">
        <v>217</v>
      </c>
      <c r="C309" s="8">
        <v>46022.99814814814</v>
      </c>
      <c r="D309" s="3">
        <v>-3.0</v>
      </c>
    </row>
    <row r="310" ht="15.75" customHeight="1">
      <c r="A310" s="3" t="s">
        <v>3656</v>
      </c>
      <c r="B310" s="3" t="s">
        <v>120</v>
      </c>
      <c r="C310" s="8">
        <v>46022.99842592593</v>
      </c>
      <c r="D310" s="3">
        <v>-7.0</v>
      </c>
    </row>
    <row r="311" ht="15.75" customHeight="1">
      <c r="A311" s="3" t="s">
        <v>3657</v>
      </c>
      <c r="B311" s="3" t="s">
        <v>220</v>
      </c>
      <c r="C311" s="8">
        <v>46023.0009375</v>
      </c>
      <c r="D311" s="3">
        <v>-5.0</v>
      </c>
    </row>
    <row r="312" ht="15.75" customHeight="1">
      <c r="A312" s="3" t="s">
        <v>3658</v>
      </c>
      <c r="B312" s="3" t="s">
        <v>202</v>
      </c>
      <c r="C312" s="8">
        <v>46023.00108796296</v>
      </c>
      <c r="D312" s="3">
        <v>-5.0</v>
      </c>
    </row>
    <row r="313" ht="15.75" customHeight="1">
      <c r="A313" s="3" t="s">
        <v>3659</v>
      </c>
      <c r="B313" s="3" t="s">
        <v>229</v>
      </c>
      <c r="C313" s="8">
        <v>46023.00128472222</v>
      </c>
      <c r="D313" s="3">
        <v>-6.0</v>
      </c>
    </row>
    <row r="314" ht="15.75" customHeight="1">
      <c r="A314" s="3" t="s">
        <v>3660</v>
      </c>
      <c r="B314" s="3" t="s">
        <v>206</v>
      </c>
      <c r="C314" s="8">
        <v>46023.00560185185</v>
      </c>
      <c r="D314" s="3">
        <v>-4.0</v>
      </c>
    </row>
    <row r="315" ht="15.75" customHeight="1">
      <c r="A315" s="3" t="s">
        <v>3661</v>
      </c>
      <c r="B315" s="3" t="s">
        <v>82</v>
      </c>
      <c r="C315" s="8">
        <v>46023.03928240741</v>
      </c>
      <c r="D315" s="3">
        <v>48.0</v>
      </c>
      <c r="E315" s="3" t="s">
        <v>3662</v>
      </c>
    </row>
    <row r="316" ht="15.75" customHeight="1">
      <c r="A316" s="3" t="s">
        <v>3663</v>
      </c>
      <c r="B316" s="3" t="s">
        <v>217</v>
      </c>
      <c r="C316" s="8">
        <v>46023.04244212963</v>
      </c>
      <c r="D316" s="3">
        <v>45.0</v>
      </c>
      <c r="E316" s="3" t="s">
        <v>3664</v>
      </c>
    </row>
    <row r="317" ht="15.75" customHeight="1">
      <c r="A317" s="3" t="s">
        <v>3665</v>
      </c>
      <c r="B317" s="3" t="s">
        <v>202</v>
      </c>
      <c r="C317" s="8">
        <v>46023.04244212963</v>
      </c>
      <c r="D317" s="3">
        <v>12.0</v>
      </c>
      <c r="E317" s="3" t="s">
        <v>3664</v>
      </c>
    </row>
    <row r="318" ht="15.75" customHeight="1">
      <c r="A318" s="3" t="s">
        <v>3666</v>
      </c>
      <c r="B318" s="3" t="s">
        <v>220</v>
      </c>
      <c r="C318" s="8">
        <v>46023.04244212963</v>
      </c>
      <c r="D318" s="3">
        <v>12.0</v>
      </c>
      <c r="E318" s="3" t="s">
        <v>3664</v>
      </c>
    </row>
    <row r="319" ht="15.75" customHeight="1">
      <c r="A319" s="3" t="s">
        <v>3667</v>
      </c>
      <c r="B319" s="3" t="s">
        <v>223</v>
      </c>
      <c r="C319" s="8">
        <v>46023.04244212963</v>
      </c>
      <c r="D319" s="3">
        <v>12.0</v>
      </c>
      <c r="E319" s="3" t="s">
        <v>3664</v>
      </c>
    </row>
    <row r="320" ht="15.75" customHeight="1">
      <c r="A320" s="3" t="s">
        <v>3668</v>
      </c>
      <c r="B320" s="3" t="s">
        <v>229</v>
      </c>
      <c r="C320" s="8">
        <v>46023.04244212963</v>
      </c>
      <c r="D320" s="3">
        <v>12.0</v>
      </c>
      <c r="E320" s="3" t="s">
        <v>3664</v>
      </c>
    </row>
    <row r="321" ht="15.75" customHeight="1">
      <c r="A321" s="3" t="s">
        <v>3669</v>
      </c>
      <c r="B321" s="3" t="s">
        <v>232</v>
      </c>
      <c r="C321" s="8">
        <v>46023.04244212963</v>
      </c>
      <c r="D321" s="3">
        <v>12.0</v>
      </c>
      <c r="E321" s="3" t="s">
        <v>3664</v>
      </c>
    </row>
    <row r="322" ht="15.75" customHeight="1">
      <c r="A322" s="3" t="s">
        <v>3670</v>
      </c>
      <c r="B322" s="3" t="s">
        <v>189</v>
      </c>
      <c r="C322" s="8">
        <v>46023.04244212963</v>
      </c>
      <c r="D322" s="3">
        <v>63.0</v>
      </c>
      <c r="E322" s="3" t="s">
        <v>3664</v>
      </c>
    </row>
    <row r="323" ht="15.75" customHeight="1">
      <c r="A323" s="3" t="s">
        <v>3671</v>
      </c>
      <c r="B323" s="3" t="s">
        <v>165</v>
      </c>
      <c r="C323" s="8">
        <v>46023.04244212963</v>
      </c>
      <c r="D323" s="3">
        <v>24.0</v>
      </c>
      <c r="E323" s="3" t="s">
        <v>3664</v>
      </c>
    </row>
    <row r="324" ht="15.75" customHeight="1">
      <c r="A324" s="3" t="s">
        <v>3672</v>
      </c>
      <c r="B324" s="3" t="s">
        <v>262</v>
      </c>
      <c r="C324" s="8">
        <v>46023.44370370371</v>
      </c>
      <c r="D324" s="3">
        <v>30.0</v>
      </c>
      <c r="E324" s="3" t="s">
        <v>3673</v>
      </c>
    </row>
    <row r="325" ht="15.75" customHeight="1">
      <c r="A325" s="3" t="s">
        <v>3674</v>
      </c>
      <c r="B325" s="3" t="s">
        <v>120</v>
      </c>
      <c r="C325" s="8">
        <v>46023.44370370371</v>
      </c>
      <c r="D325" s="3">
        <v>16.0</v>
      </c>
      <c r="E325" s="3" t="s">
        <v>3673</v>
      </c>
    </row>
    <row r="326" ht="15.75" customHeight="1">
      <c r="A326" s="3" t="s">
        <v>3675</v>
      </c>
      <c r="B326" s="3" t="s">
        <v>265</v>
      </c>
      <c r="C326" s="8">
        <v>46023.44370370371</v>
      </c>
      <c r="D326" s="3">
        <v>90.0</v>
      </c>
      <c r="E326" s="3" t="s">
        <v>3673</v>
      </c>
    </row>
    <row r="327" ht="15.75" customHeight="1">
      <c r="A327" s="3" t="s">
        <v>3676</v>
      </c>
      <c r="B327" s="3" t="s">
        <v>268</v>
      </c>
      <c r="C327" s="8">
        <v>46023.44370370371</v>
      </c>
      <c r="D327" s="3">
        <v>24.0</v>
      </c>
      <c r="E327" s="3" t="s">
        <v>3673</v>
      </c>
    </row>
    <row r="328" ht="15.75" customHeight="1">
      <c r="A328" s="3" t="s">
        <v>3677</v>
      </c>
      <c r="B328" s="3" t="s">
        <v>96</v>
      </c>
      <c r="C328" s="8">
        <v>46023.44370370371</v>
      </c>
      <c r="D328" s="3">
        <v>48.0</v>
      </c>
      <c r="E328" s="3" t="s">
        <v>3673</v>
      </c>
    </row>
    <row r="329" ht="15.75" customHeight="1">
      <c r="A329" s="3" t="s">
        <v>3678</v>
      </c>
      <c r="B329" s="3" t="s">
        <v>217</v>
      </c>
      <c r="C329" s="8">
        <v>46023.04962962963</v>
      </c>
      <c r="D329" s="3">
        <v>-16.0</v>
      </c>
    </row>
    <row r="330" ht="15.75" customHeight="1">
      <c r="A330" s="3" t="s">
        <v>3679</v>
      </c>
      <c r="B330" s="3" t="s">
        <v>232</v>
      </c>
      <c r="C330" s="8">
        <v>46023.0497337963</v>
      </c>
      <c r="D330" s="3">
        <v>1.0</v>
      </c>
    </row>
    <row r="331" ht="15.75" customHeight="1">
      <c r="A331" s="3" t="s">
        <v>3680</v>
      </c>
      <c r="B331" s="3" t="s">
        <v>96</v>
      </c>
      <c r="C331" s="8">
        <v>46023.05130787037</v>
      </c>
      <c r="D331" s="3">
        <v>-6.0</v>
      </c>
    </row>
    <row r="332" ht="15.75" customHeight="1">
      <c r="A332" s="3" t="s">
        <v>3681</v>
      </c>
      <c r="B332" s="3" t="s">
        <v>206</v>
      </c>
      <c r="C332" s="8">
        <v>46023.05545138889</v>
      </c>
      <c r="D332" s="3">
        <v>-1.0</v>
      </c>
    </row>
    <row r="333" ht="15.75" customHeight="1">
      <c r="A333" s="3" t="s">
        <v>3682</v>
      </c>
      <c r="B333" s="3" t="s">
        <v>112</v>
      </c>
      <c r="C333" s="8">
        <v>46023.05587962963</v>
      </c>
      <c r="D333" s="3">
        <v>-1.0</v>
      </c>
    </row>
    <row r="334" ht="15.75" customHeight="1">
      <c r="A334" s="3" t="s">
        <v>3683</v>
      </c>
      <c r="B334" s="3" t="s">
        <v>232</v>
      </c>
      <c r="C334" s="8">
        <v>46023.43013888889</v>
      </c>
      <c r="D334" s="3">
        <v>-6.0</v>
      </c>
    </row>
    <row r="335" ht="15.75" customHeight="1">
      <c r="A335" s="3" t="s">
        <v>3684</v>
      </c>
      <c r="B335" s="3" t="s">
        <v>223</v>
      </c>
      <c r="C335" s="8">
        <v>46023.43034722222</v>
      </c>
      <c r="D335" s="3">
        <v>-3.0</v>
      </c>
    </row>
    <row r="336" ht="15.75" customHeight="1">
      <c r="A336" s="3" t="s">
        <v>3685</v>
      </c>
      <c r="B336" s="3" t="s">
        <v>217</v>
      </c>
      <c r="C336" s="8">
        <v>46023.43055555555</v>
      </c>
      <c r="D336" s="3">
        <v>-9.0</v>
      </c>
    </row>
    <row r="337" ht="15.75" customHeight="1">
      <c r="A337" s="3" t="s">
        <v>3686</v>
      </c>
      <c r="B337" s="3" t="s">
        <v>171</v>
      </c>
      <c r="C337" s="8">
        <v>46023.43064814815</v>
      </c>
      <c r="D337" s="3">
        <v>-24.0</v>
      </c>
    </row>
    <row r="338" ht="15.75" customHeight="1">
      <c r="A338" s="3" t="s">
        <v>3687</v>
      </c>
      <c r="B338" s="3" t="s">
        <v>192</v>
      </c>
      <c r="C338" s="8">
        <v>46023.43075231482</v>
      </c>
      <c r="D338" s="3">
        <v>-2.0</v>
      </c>
    </row>
    <row r="339" ht="15.75" customHeight="1">
      <c r="A339" s="3" t="s">
        <v>3688</v>
      </c>
      <c r="B339" s="3" t="s">
        <v>206</v>
      </c>
      <c r="C339" s="8">
        <v>46023.43086805556</v>
      </c>
      <c r="D339" s="3">
        <v>-1.0</v>
      </c>
    </row>
    <row r="340" ht="15.75" customHeight="1">
      <c r="A340" s="3" t="s">
        <v>3689</v>
      </c>
      <c r="B340" s="3" t="s">
        <v>134</v>
      </c>
      <c r="C340" s="8">
        <v>46023.43096064815</v>
      </c>
      <c r="D340" s="3">
        <v>-2.0</v>
      </c>
    </row>
    <row r="341" ht="15.75" customHeight="1">
      <c r="A341" s="3" t="s">
        <v>3690</v>
      </c>
      <c r="B341" s="3" t="s">
        <v>59</v>
      </c>
      <c r="C341" s="8">
        <v>46023.43104166666</v>
      </c>
      <c r="D341" s="3">
        <v>-1.0</v>
      </c>
    </row>
    <row r="342" ht="15.75" customHeight="1">
      <c r="A342" s="3" t="s">
        <v>3691</v>
      </c>
      <c r="B342" s="3" t="s">
        <v>195</v>
      </c>
      <c r="C342" s="8">
        <v>46023.43115740741</v>
      </c>
      <c r="D342" s="3">
        <v>-4.0</v>
      </c>
    </row>
    <row r="343" ht="15.75" customHeight="1">
      <c r="A343" s="3" t="s">
        <v>3692</v>
      </c>
      <c r="B343" s="3" t="s">
        <v>96</v>
      </c>
      <c r="C343" s="8">
        <v>46023.43131944445</v>
      </c>
      <c r="D343" s="3">
        <v>-4.0</v>
      </c>
    </row>
    <row r="344" ht="15.75" customHeight="1">
      <c r="A344" s="3" t="s">
        <v>3693</v>
      </c>
      <c r="B344" s="3" t="s">
        <v>82</v>
      </c>
      <c r="C344" s="8">
        <v>46023.43146990741</v>
      </c>
      <c r="D344" s="3">
        <v>-8.0</v>
      </c>
    </row>
    <row r="345" ht="15.75" customHeight="1">
      <c r="A345" s="3" t="s">
        <v>3694</v>
      </c>
      <c r="B345" s="3" t="s">
        <v>226</v>
      </c>
      <c r="C345" s="8">
        <v>46023.44356481481</v>
      </c>
      <c r="D345" s="3">
        <v>12.0</v>
      </c>
      <c r="E345" s="3" t="s">
        <v>3695</v>
      </c>
    </row>
    <row r="346" ht="15.75" customHeight="1">
      <c r="A346" s="3" t="s">
        <v>3696</v>
      </c>
      <c r="B346" s="3" t="s">
        <v>229</v>
      </c>
      <c r="C346" s="8">
        <v>46023.44356481481</v>
      </c>
      <c r="D346" s="3">
        <v>12.0</v>
      </c>
      <c r="E346" s="3" t="s">
        <v>3695</v>
      </c>
    </row>
    <row r="347" ht="15.75" customHeight="1">
      <c r="A347" s="3" t="s">
        <v>3697</v>
      </c>
      <c r="B347" s="3" t="s">
        <v>85</v>
      </c>
      <c r="C347" s="8">
        <v>46023.44356481481</v>
      </c>
      <c r="D347" s="3">
        <v>24.0</v>
      </c>
      <c r="E347" s="3" t="s">
        <v>3695</v>
      </c>
    </row>
    <row r="348" ht="15.75" customHeight="1">
      <c r="A348" s="3" t="s">
        <v>3698</v>
      </c>
      <c r="B348" s="3" t="s">
        <v>214</v>
      </c>
      <c r="C348" s="8">
        <v>46023.44498842592</v>
      </c>
      <c r="D348" s="3">
        <v>60.0</v>
      </c>
      <c r="E348" s="3" t="s">
        <v>3699</v>
      </c>
    </row>
    <row r="349" ht="15.75" customHeight="1">
      <c r="A349" s="3" t="s">
        <v>3700</v>
      </c>
      <c r="B349" s="3" t="s">
        <v>214</v>
      </c>
      <c r="C349" s="8">
        <v>46023.45259259259</v>
      </c>
      <c r="D349" s="3">
        <v>120.0</v>
      </c>
      <c r="E349" s="3" t="s">
        <v>3701</v>
      </c>
    </row>
    <row r="350" ht="15.75" customHeight="1">
      <c r="A350" s="3" t="s">
        <v>3702</v>
      </c>
      <c r="B350" s="3" t="s">
        <v>171</v>
      </c>
      <c r="C350" s="8">
        <v>46023.48972222222</v>
      </c>
      <c r="D350" s="3">
        <v>24.0</v>
      </c>
    </row>
    <row r="351" ht="15.75" customHeight="1">
      <c r="A351" s="3" t="s">
        <v>3703</v>
      </c>
      <c r="B351" s="3" t="s">
        <v>223</v>
      </c>
      <c r="C351" s="8">
        <v>46023.48995370371</v>
      </c>
      <c r="D351" s="3">
        <v>1.0</v>
      </c>
    </row>
    <row r="352" ht="15.75" customHeight="1">
      <c r="A352" s="3" t="s">
        <v>3704</v>
      </c>
      <c r="B352" s="3" t="s">
        <v>192</v>
      </c>
      <c r="C352" s="8">
        <v>46023.52943287037</v>
      </c>
      <c r="D352" s="3">
        <v>-9.0</v>
      </c>
    </row>
    <row r="353" ht="15.75" customHeight="1">
      <c r="A353" s="3" t="s">
        <v>3705</v>
      </c>
      <c r="B353" s="3" t="s">
        <v>214</v>
      </c>
      <c r="C353" s="8">
        <v>46023.52982638889</v>
      </c>
      <c r="D353" s="3">
        <v>-12.0</v>
      </c>
    </row>
    <row r="354" ht="15.75" customHeight="1">
      <c r="A354" s="3" t="s">
        <v>3706</v>
      </c>
      <c r="B354" s="3" t="s">
        <v>217</v>
      </c>
      <c r="C354" s="8">
        <v>46023.53173611111</v>
      </c>
      <c r="D354" s="3">
        <v>-7.0</v>
      </c>
    </row>
    <row r="355" ht="15.75" customHeight="1">
      <c r="A355" s="3" t="s">
        <v>3707</v>
      </c>
      <c r="B355" s="3" t="s">
        <v>229</v>
      </c>
      <c r="C355" s="8">
        <v>46023.53334490741</v>
      </c>
      <c r="D355" s="3">
        <v>-6.0</v>
      </c>
    </row>
    <row r="356" ht="15.75" customHeight="1">
      <c r="A356" s="3" t="s">
        <v>3708</v>
      </c>
      <c r="B356" s="3" t="s">
        <v>226</v>
      </c>
      <c r="C356" s="8">
        <v>46023.53348379629</v>
      </c>
      <c r="D356" s="3">
        <v>-6.0</v>
      </c>
    </row>
    <row r="357" ht="15.75" customHeight="1">
      <c r="A357" s="3" t="s">
        <v>3709</v>
      </c>
      <c r="B357" s="3" t="s">
        <v>85</v>
      </c>
      <c r="C357" s="8">
        <v>46023.54113425926</v>
      </c>
      <c r="D357" s="3">
        <v>-6.0</v>
      </c>
    </row>
    <row r="358" ht="15.75" customHeight="1">
      <c r="A358" s="3" t="s">
        <v>3710</v>
      </c>
      <c r="B358" s="3" t="s">
        <v>214</v>
      </c>
      <c r="C358" s="8">
        <v>46023.54159722223</v>
      </c>
      <c r="D358" s="3">
        <v>-24.0</v>
      </c>
    </row>
    <row r="359" ht="15.75" customHeight="1">
      <c r="A359" s="3" t="s">
        <v>3711</v>
      </c>
      <c r="B359" s="3" t="s">
        <v>85</v>
      </c>
      <c r="C359" s="8">
        <v>46023.56873842593</v>
      </c>
      <c r="D359" s="3">
        <v>-6.0</v>
      </c>
    </row>
    <row r="360" ht="15.75" customHeight="1">
      <c r="A360" s="3" t="s">
        <v>3712</v>
      </c>
      <c r="B360" s="3" t="s">
        <v>85</v>
      </c>
      <c r="C360" s="8">
        <v>46023.56928240741</v>
      </c>
      <c r="D360" s="3">
        <v>-1.0</v>
      </c>
    </row>
    <row r="361" ht="15.75" customHeight="1">
      <c r="A361" s="3" t="s">
        <v>3713</v>
      </c>
      <c r="B361" s="3" t="s">
        <v>214</v>
      </c>
      <c r="C361" s="8">
        <v>46023.56990740741</v>
      </c>
      <c r="D361" s="3">
        <v>-132.0</v>
      </c>
    </row>
    <row r="362" ht="15.75" customHeight="1">
      <c r="A362" s="3" t="s">
        <v>3714</v>
      </c>
      <c r="B362" s="3" t="s">
        <v>214</v>
      </c>
      <c r="C362" s="8">
        <v>46024.68267361111</v>
      </c>
      <c r="D362" s="3">
        <v>-48.0</v>
      </c>
    </row>
    <row r="363" ht="15.75" customHeight="1">
      <c r="A363" s="3" t="s">
        <v>3715</v>
      </c>
      <c r="B363" s="3" t="s">
        <v>134</v>
      </c>
      <c r="C363" s="8">
        <v>46024.68293981482</v>
      </c>
      <c r="D363" s="3">
        <v>-5.0</v>
      </c>
    </row>
    <row r="364" ht="15.75" customHeight="1">
      <c r="A364" s="3" t="s">
        <v>3716</v>
      </c>
      <c r="B364" s="3" t="s">
        <v>59</v>
      </c>
      <c r="C364" s="8">
        <v>46024.6830787037</v>
      </c>
      <c r="D364" s="3">
        <v>-3.0</v>
      </c>
    </row>
    <row r="365" ht="15.75" customHeight="1">
      <c r="A365" s="3" t="s">
        <v>3717</v>
      </c>
      <c r="B365" s="3" t="s">
        <v>82</v>
      </c>
      <c r="C365" s="8">
        <v>46024.68320601852</v>
      </c>
      <c r="D365" s="3">
        <v>-6.0</v>
      </c>
    </row>
    <row r="366" ht="15.75" customHeight="1">
      <c r="A366" s="3" t="s">
        <v>3718</v>
      </c>
      <c r="B366" s="3" t="s">
        <v>183</v>
      </c>
      <c r="C366" s="8">
        <v>46024.68354166667</v>
      </c>
      <c r="D366" s="3">
        <v>-4.0</v>
      </c>
    </row>
    <row r="367" ht="15.75" customHeight="1">
      <c r="A367" s="3" t="s">
        <v>3719</v>
      </c>
      <c r="B367" s="3" t="s">
        <v>96</v>
      </c>
      <c r="C367" s="8">
        <v>46024.68362268519</v>
      </c>
      <c r="D367" s="3">
        <v>-9.0</v>
      </c>
    </row>
    <row r="368" ht="15.75" customHeight="1">
      <c r="A368" s="3" t="s">
        <v>3720</v>
      </c>
      <c r="B368" s="3" t="s">
        <v>217</v>
      </c>
      <c r="C368" s="8">
        <v>46024.68375</v>
      </c>
      <c r="D368" s="3">
        <v>-13.0</v>
      </c>
    </row>
    <row r="369" ht="15.75" customHeight="1">
      <c r="A369" s="3" t="s">
        <v>3721</v>
      </c>
      <c r="B369" s="3" t="s">
        <v>226</v>
      </c>
      <c r="C369" s="8">
        <v>46024.68386574074</v>
      </c>
      <c r="D369" s="3">
        <v>-6.0</v>
      </c>
    </row>
    <row r="370" ht="15.75" customHeight="1">
      <c r="A370" s="3" t="s">
        <v>3722</v>
      </c>
      <c r="B370" s="3" t="s">
        <v>229</v>
      </c>
      <c r="C370" s="8">
        <v>46024.68394675926</v>
      </c>
      <c r="D370" s="3">
        <v>-6.0</v>
      </c>
    </row>
    <row r="371" ht="15.75" customHeight="1">
      <c r="A371" s="3" t="s">
        <v>3723</v>
      </c>
      <c r="B371" s="3" t="s">
        <v>220</v>
      </c>
      <c r="C371" s="8">
        <v>46024.6841087963</v>
      </c>
      <c r="D371" s="3">
        <v>-5.0</v>
      </c>
    </row>
    <row r="372" ht="15.75" customHeight="1">
      <c r="A372" s="3" t="s">
        <v>3724</v>
      </c>
      <c r="B372" s="3" t="s">
        <v>232</v>
      </c>
      <c r="C372" s="8">
        <v>46024.68420138889</v>
      </c>
      <c r="D372" s="3">
        <v>-5.0</v>
      </c>
    </row>
    <row r="373" ht="15.75" customHeight="1">
      <c r="A373" s="3" t="s">
        <v>3725</v>
      </c>
      <c r="B373" s="3" t="s">
        <v>223</v>
      </c>
      <c r="C373" s="8">
        <v>46024.68506944444</v>
      </c>
      <c r="D373" s="3">
        <v>-1.0</v>
      </c>
    </row>
    <row r="374" ht="15.75" customHeight="1">
      <c r="A374" s="3" t="s">
        <v>3726</v>
      </c>
      <c r="B374" s="3" t="s">
        <v>217</v>
      </c>
      <c r="C374" s="8">
        <v>46024.685625</v>
      </c>
      <c r="D374" s="3">
        <v>-26.0</v>
      </c>
    </row>
    <row r="375" ht="15.75" customHeight="1">
      <c r="A375" s="3" t="s">
        <v>3727</v>
      </c>
      <c r="B375" s="3" t="s">
        <v>85</v>
      </c>
      <c r="C375" s="8">
        <v>46024.68734953704</v>
      </c>
      <c r="D375" s="3">
        <v>-2.0</v>
      </c>
    </row>
    <row r="376" ht="15.75" customHeight="1">
      <c r="A376" s="3" t="s">
        <v>3728</v>
      </c>
      <c r="B376" s="3" t="s">
        <v>192</v>
      </c>
      <c r="C376" s="8">
        <v>46024.70833333334</v>
      </c>
      <c r="D376" s="3">
        <v>48.0</v>
      </c>
      <c r="E376" s="3" t="s">
        <v>3729</v>
      </c>
    </row>
    <row r="377" ht="15.75" customHeight="1">
      <c r="A377" s="3" t="s">
        <v>3730</v>
      </c>
      <c r="B377" s="3" t="s">
        <v>232</v>
      </c>
      <c r="C377" s="8">
        <v>46024.70833333334</v>
      </c>
      <c r="D377" s="3">
        <v>12.0</v>
      </c>
      <c r="E377" s="3" t="s">
        <v>3729</v>
      </c>
    </row>
    <row r="378" ht="15.75" customHeight="1">
      <c r="A378" s="3" t="s">
        <v>3731</v>
      </c>
      <c r="B378" s="3" t="s">
        <v>189</v>
      </c>
      <c r="C378" s="8">
        <v>46024.90311342593</v>
      </c>
      <c r="D378" s="3">
        <v>42.0</v>
      </c>
      <c r="E378" s="3" t="s">
        <v>3732</v>
      </c>
    </row>
    <row r="379" ht="15.75" customHeight="1">
      <c r="A379" s="3" t="s">
        <v>3733</v>
      </c>
      <c r="B379" s="3" t="s">
        <v>274</v>
      </c>
      <c r="C379" s="8">
        <v>46024.90311342593</v>
      </c>
      <c r="D379" s="3">
        <v>24.0</v>
      </c>
      <c r="E379" s="3" t="s">
        <v>3732</v>
      </c>
    </row>
    <row r="380" ht="15.75" customHeight="1">
      <c r="A380" s="3" t="s">
        <v>3734</v>
      </c>
      <c r="B380" s="3" t="s">
        <v>20</v>
      </c>
      <c r="C380" s="8">
        <v>46024.90311342593</v>
      </c>
      <c r="D380" s="3">
        <v>21.0</v>
      </c>
      <c r="E380" s="3" t="s">
        <v>3732</v>
      </c>
    </row>
    <row r="381" ht="15.75" customHeight="1">
      <c r="A381" s="3" t="s">
        <v>3735</v>
      </c>
      <c r="B381" s="3" t="s">
        <v>232</v>
      </c>
      <c r="C381" s="8">
        <v>46025.50130787037</v>
      </c>
      <c r="D381" s="3">
        <v>-12.0</v>
      </c>
    </row>
    <row r="382" ht="15.75" customHeight="1">
      <c r="A382" s="3" t="s">
        <v>3736</v>
      </c>
      <c r="B382" s="3" t="s">
        <v>174</v>
      </c>
      <c r="C382" s="8">
        <v>46025.51501157408</v>
      </c>
      <c r="D382" s="3">
        <v>18.0</v>
      </c>
      <c r="E382" s="3" t="s">
        <v>3737</v>
      </c>
    </row>
    <row r="383" ht="15.75" customHeight="1">
      <c r="A383" s="3" t="s">
        <v>3738</v>
      </c>
      <c r="B383" s="3" t="s">
        <v>277</v>
      </c>
      <c r="C383" s="8">
        <v>46025.51501157408</v>
      </c>
      <c r="D383" s="3">
        <v>24.0</v>
      </c>
      <c r="E383" s="3" t="s">
        <v>3737</v>
      </c>
    </row>
    <row r="384" ht="15.75" customHeight="1">
      <c r="A384" s="3" t="s">
        <v>3739</v>
      </c>
      <c r="B384" s="3" t="s">
        <v>59</v>
      </c>
      <c r="C384" s="8">
        <v>46025.53420138889</v>
      </c>
      <c r="D384" s="3">
        <v>54.0</v>
      </c>
      <c r="E384" s="3" t="s">
        <v>3740</v>
      </c>
    </row>
    <row r="385" ht="15.75" customHeight="1">
      <c r="A385" s="3" t="s">
        <v>3741</v>
      </c>
      <c r="B385" s="3" t="s">
        <v>134</v>
      </c>
      <c r="C385" s="8">
        <v>46025.53420138889</v>
      </c>
      <c r="D385" s="3">
        <v>54.0</v>
      </c>
      <c r="E385" s="3" t="s">
        <v>3740</v>
      </c>
    </row>
    <row r="386" ht="15.75" customHeight="1">
      <c r="A386" s="3" t="s">
        <v>3742</v>
      </c>
      <c r="B386" s="3" t="s">
        <v>105</v>
      </c>
      <c r="C386" s="8">
        <v>46025.53420138889</v>
      </c>
      <c r="D386" s="3">
        <v>24.0</v>
      </c>
      <c r="E386" s="3" t="s">
        <v>3740</v>
      </c>
    </row>
    <row r="387" ht="15.75" customHeight="1">
      <c r="A387" s="3" t="s">
        <v>3743</v>
      </c>
      <c r="B387" s="3" t="s">
        <v>206</v>
      </c>
      <c r="C387" s="8">
        <v>46025.53420138889</v>
      </c>
      <c r="D387" s="3">
        <v>24.0</v>
      </c>
      <c r="E387" s="3" t="s">
        <v>3740</v>
      </c>
    </row>
    <row r="388" ht="15.75" customHeight="1">
      <c r="A388" s="3" t="s">
        <v>3744</v>
      </c>
      <c r="B388" s="3" t="s">
        <v>139</v>
      </c>
      <c r="C388" s="8">
        <v>46025.53420138889</v>
      </c>
      <c r="D388" s="3">
        <v>24.0</v>
      </c>
      <c r="E388" s="3" t="s">
        <v>3740</v>
      </c>
    </row>
    <row r="389" ht="15.75" customHeight="1">
      <c r="A389" s="3" t="s">
        <v>3745</v>
      </c>
      <c r="B389" s="3" t="s">
        <v>145</v>
      </c>
      <c r="C389" s="8">
        <v>46025.53420138889</v>
      </c>
      <c r="D389" s="3">
        <v>24.0</v>
      </c>
      <c r="E389" s="3" t="s">
        <v>3740</v>
      </c>
    </row>
    <row r="390" ht="15.75" customHeight="1">
      <c r="A390" s="3" t="s">
        <v>3746</v>
      </c>
      <c r="B390" s="3" t="s">
        <v>202</v>
      </c>
      <c r="C390" s="8">
        <v>46025.71399305556</v>
      </c>
      <c r="D390" s="3">
        <v>12.0</v>
      </c>
      <c r="E390" s="3" t="s">
        <v>3747</v>
      </c>
    </row>
    <row r="391" ht="15.75" customHeight="1">
      <c r="A391" s="3" t="s">
        <v>3748</v>
      </c>
      <c r="B391" s="3" t="s">
        <v>229</v>
      </c>
      <c r="C391" s="8">
        <v>46025.71399305556</v>
      </c>
      <c r="D391" s="3">
        <v>24.0</v>
      </c>
      <c r="E391" s="3" t="s">
        <v>3747</v>
      </c>
    </row>
    <row r="392" ht="15.75" customHeight="1">
      <c r="A392" s="3" t="s">
        <v>3749</v>
      </c>
      <c r="B392" s="3" t="s">
        <v>226</v>
      </c>
      <c r="C392" s="8">
        <v>46025.71399305556</v>
      </c>
      <c r="D392" s="3">
        <v>24.0</v>
      </c>
      <c r="E392" s="3" t="s">
        <v>3747</v>
      </c>
    </row>
    <row r="393" ht="15.75" customHeight="1">
      <c r="A393" s="3" t="s">
        <v>3750</v>
      </c>
      <c r="B393" s="3" t="s">
        <v>220</v>
      </c>
      <c r="C393" s="8">
        <v>46025.71399305556</v>
      </c>
      <c r="D393" s="3">
        <v>24.0</v>
      </c>
      <c r="E393" s="3" t="s">
        <v>3747</v>
      </c>
    </row>
    <row r="394" ht="15.75" customHeight="1">
      <c r="A394" s="3" t="s">
        <v>3751</v>
      </c>
      <c r="B394" s="3" t="s">
        <v>271</v>
      </c>
      <c r="C394" s="8">
        <v>46025.71399305556</v>
      </c>
      <c r="D394" s="3">
        <v>15.0</v>
      </c>
      <c r="E394" s="3" t="s">
        <v>3747</v>
      </c>
    </row>
    <row r="395" ht="15.75" customHeight="1">
      <c r="A395" s="3" t="s">
        <v>3752</v>
      </c>
      <c r="B395" s="3" t="s">
        <v>280</v>
      </c>
      <c r="C395" s="8">
        <v>46025.71399305556</v>
      </c>
      <c r="D395" s="3">
        <v>90.0</v>
      </c>
      <c r="E395" s="3" t="s">
        <v>3747</v>
      </c>
    </row>
    <row r="396" ht="15.75" customHeight="1">
      <c r="A396" s="3" t="s">
        <v>3753</v>
      </c>
      <c r="B396" s="3" t="s">
        <v>217</v>
      </c>
      <c r="C396" s="8">
        <v>46025.71399305556</v>
      </c>
      <c r="D396" s="3">
        <v>15.0</v>
      </c>
      <c r="E396" s="3" t="s">
        <v>3747</v>
      </c>
    </row>
    <row r="397" ht="15.75" customHeight="1">
      <c r="A397" s="3" t="s">
        <v>3754</v>
      </c>
      <c r="B397" s="3" t="s">
        <v>165</v>
      </c>
      <c r="C397" s="8">
        <v>46025.71399305556</v>
      </c>
      <c r="D397" s="3">
        <v>48.0</v>
      </c>
      <c r="E397" s="3" t="s">
        <v>3747</v>
      </c>
    </row>
    <row r="398" ht="15.75" customHeight="1">
      <c r="A398" s="3" t="s">
        <v>3755</v>
      </c>
      <c r="B398" s="3" t="s">
        <v>259</v>
      </c>
      <c r="C398" s="8">
        <v>46025.89818287037</v>
      </c>
      <c r="D398" s="3">
        <v>10.0</v>
      </c>
      <c r="I398" s="3" t="s">
        <v>571</v>
      </c>
    </row>
    <row r="399" ht="15.75" customHeight="1">
      <c r="A399" s="3" t="s">
        <v>3756</v>
      </c>
      <c r="B399" s="3" t="s">
        <v>271</v>
      </c>
      <c r="C399" s="8">
        <v>46025.96951388889</v>
      </c>
      <c r="D399" s="3">
        <v>-3.0</v>
      </c>
      <c r="I399" s="3" t="s">
        <v>571</v>
      </c>
    </row>
    <row r="400" ht="15.75" customHeight="1">
      <c r="A400" s="3" t="s">
        <v>3757</v>
      </c>
      <c r="B400" s="3" t="s">
        <v>280</v>
      </c>
      <c r="C400" s="8">
        <v>46025.97009259259</v>
      </c>
      <c r="D400" s="3">
        <v>-15.0</v>
      </c>
      <c r="I400" s="3" t="s">
        <v>571</v>
      </c>
    </row>
    <row r="401" ht="15.75" customHeight="1">
      <c r="A401" s="3" t="s">
        <v>3758</v>
      </c>
      <c r="B401" s="3" t="s">
        <v>226</v>
      </c>
      <c r="C401" s="8">
        <v>46025.97056712963</v>
      </c>
      <c r="D401" s="3">
        <v>-10.0</v>
      </c>
      <c r="I401" s="3" t="s">
        <v>571</v>
      </c>
    </row>
    <row r="402" ht="15.75" customHeight="1">
      <c r="A402" s="3" t="s">
        <v>3759</v>
      </c>
      <c r="B402" s="3" t="s">
        <v>189</v>
      </c>
      <c r="C402" s="8">
        <v>46025.97752314815</v>
      </c>
      <c r="D402" s="3">
        <v>126.0</v>
      </c>
      <c r="I402" s="3" t="s">
        <v>571</v>
      </c>
    </row>
    <row r="403" ht="15.75" customHeight="1">
      <c r="A403" s="3" t="s">
        <v>3760</v>
      </c>
      <c r="B403" s="3" t="s">
        <v>189</v>
      </c>
      <c r="C403" s="8">
        <v>46025.97798611111</v>
      </c>
      <c r="D403" s="3">
        <v>21.0</v>
      </c>
      <c r="F403" s="3" t="s">
        <v>570</v>
      </c>
      <c r="G403" s="3" t="s">
        <v>3761</v>
      </c>
      <c r="H403" s="3" t="s">
        <v>3762</v>
      </c>
      <c r="I403" s="3" t="s">
        <v>571</v>
      </c>
    </row>
    <row r="404" ht="15.75" customHeight="1">
      <c r="A404" s="3" t="s">
        <v>3763</v>
      </c>
      <c r="B404" s="3" t="s">
        <v>189</v>
      </c>
      <c r="C404" s="8">
        <v>46025.97865740741</v>
      </c>
      <c r="D404" s="3">
        <v>-42.0</v>
      </c>
      <c r="I404" s="3" t="s">
        <v>571</v>
      </c>
    </row>
    <row r="405" ht="15.75" customHeight="1">
      <c r="A405" s="3" t="s">
        <v>3764</v>
      </c>
      <c r="B405" s="3" t="s">
        <v>274</v>
      </c>
      <c r="C405" s="8">
        <v>46025.98063657407</v>
      </c>
      <c r="D405" s="3">
        <v>-8.0</v>
      </c>
      <c r="I405" s="3" t="s">
        <v>571</v>
      </c>
    </row>
    <row r="406" ht="15.75" customHeight="1">
      <c r="A406" s="3" t="s">
        <v>3765</v>
      </c>
      <c r="B406" s="3" t="s">
        <v>214</v>
      </c>
      <c r="C406" s="8">
        <v>46025.98356481481</v>
      </c>
      <c r="D406" s="3">
        <v>360.0</v>
      </c>
      <c r="I406" s="3" t="s">
        <v>571</v>
      </c>
    </row>
    <row r="407" ht="15.75" customHeight="1">
      <c r="A407" s="3" t="s">
        <v>3766</v>
      </c>
      <c r="B407" s="3" t="s">
        <v>214</v>
      </c>
      <c r="C407" s="8">
        <v>46025.98381944445</v>
      </c>
      <c r="D407" s="3">
        <v>-240.0</v>
      </c>
      <c r="I407" s="3" t="s">
        <v>571</v>
      </c>
    </row>
    <row r="408" ht="15.75" customHeight="1">
      <c r="A408" s="3" t="s">
        <v>3767</v>
      </c>
      <c r="B408" s="3" t="s">
        <v>283</v>
      </c>
      <c r="C408" s="8">
        <v>46025.98962962963</v>
      </c>
      <c r="D408" s="3">
        <v>24.0</v>
      </c>
      <c r="I408" s="3" t="s">
        <v>571</v>
      </c>
    </row>
    <row r="409" ht="15.75" customHeight="1">
      <c r="A409" s="3" t="s">
        <v>3768</v>
      </c>
      <c r="B409" s="3" t="s">
        <v>220</v>
      </c>
      <c r="C409" s="8">
        <v>46025.99237268518</v>
      </c>
      <c r="D409" s="3">
        <v>-12.0</v>
      </c>
      <c r="I409" s="3" t="s">
        <v>571</v>
      </c>
    </row>
    <row r="410" ht="15.75" customHeight="1">
      <c r="A410" s="3" t="s">
        <v>3769</v>
      </c>
      <c r="B410" s="3" t="s">
        <v>189</v>
      </c>
      <c r="C410" s="8">
        <v>46025.99498842593</v>
      </c>
      <c r="D410" s="3">
        <v>-84.0</v>
      </c>
      <c r="I410" s="3" t="s">
        <v>571</v>
      </c>
    </row>
    <row r="411" ht="15.75" customHeight="1">
      <c r="A411" s="3" t="s">
        <v>3770</v>
      </c>
      <c r="B411" s="3" t="s">
        <v>192</v>
      </c>
      <c r="C411" s="8">
        <v>46025.99776620371</v>
      </c>
      <c r="D411" s="3">
        <v>-24.0</v>
      </c>
      <c r="I411" s="3" t="s">
        <v>571</v>
      </c>
    </row>
    <row r="412" ht="15.75" customHeight="1">
      <c r="A412" s="3" t="s">
        <v>3771</v>
      </c>
      <c r="B412" s="3" t="s">
        <v>280</v>
      </c>
      <c r="C412" s="8">
        <v>46025.99851851852</v>
      </c>
      <c r="D412" s="3">
        <v>-40.0</v>
      </c>
      <c r="I412" s="3" t="s">
        <v>571</v>
      </c>
    </row>
    <row r="413" ht="15.75" customHeight="1">
      <c r="A413" s="3" t="s">
        <v>3772</v>
      </c>
      <c r="B413" s="3" t="s">
        <v>217</v>
      </c>
      <c r="C413" s="8">
        <v>46025.99885416667</v>
      </c>
      <c r="D413" s="3">
        <v>4.0</v>
      </c>
      <c r="I413" s="3" t="s">
        <v>571</v>
      </c>
    </row>
    <row r="414" ht="15.75" customHeight="1">
      <c r="A414" s="3" t="s">
        <v>3773</v>
      </c>
      <c r="B414" s="3" t="s">
        <v>226</v>
      </c>
      <c r="C414" s="8">
        <v>46026.00135416666</v>
      </c>
      <c r="D414" s="3">
        <v>1.0</v>
      </c>
      <c r="I414" s="3" t="s">
        <v>571</v>
      </c>
    </row>
    <row r="415" ht="15.75" customHeight="1">
      <c r="A415" s="3" t="s">
        <v>3774</v>
      </c>
      <c r="B415" s="3" t="s">
        <v>286</v>
      </c>
      <c r="C415" s="8">
        <v>46026.00167824074</v>
      </c>
      <c r="D415" s="3">
        <v>45.0</v>
      </c>
      <c r="I415" s="3" t="s">
        <v>571</v>
      </c>
    </row>
    <row r="416" ht="15.75" customHeight="1">
      <c r="A416" s="3" t="s">
        <v>3775</v>
      </c>
      <c r="B416" s="3" t="s">
        <v>112</v>
      </c>
      <c r="C416" s="8">
        <v>46026.00840277778</v>
      </c>
      <c r="D416" s="3">
        <v>-4.0</v>
      </c>
      <c r="I416" s="3" t="s">
        <v>571</v>
      </c>
    </row>
    <row r="417" ht="15.75" customHeight="1">
      <c r="A417" s="3" t="s">
        <v>3776</v>
      </c>
      <c r="B417" s="3" t="s">
        <v>139</v>
      </c>
      <c r="C417" s="8">
        <v>46026.00878472222</v>
      </c>
      <c r="D417" s="3">
        <v>-24.0</v>
      </c>
      <c r="I417" s="3" t="s">
        <v>571</v>
      </c>
    </row>
    <row r="418" ht="15.75" customHeight="1">
      <c r="A418" s="3" t="s">
        <v>3777</v>
      </c>
      <c r="B418" s="3" t="s">
        <v>165</v>
      </c>
      <c r="C418" s="8">
        <v>46026.00890046296</v>
      </c>
      <c r="D418" s="3">
        <v>-24.0</v>
      </c>
      <c r="I418" s="3" t="s">
        <v>571</v>
      </c>
    </row>
    <row r="419" ht="15.75" customHeight="1">
      <c r="A419" s="3" t="s">
        <v>3778</v>
      </c>
      <c r="B419" s="3" t="s">
        <v>154</v>
      </c>
      <c r="C419" s="8">
        <v>46026.00918981482</v>
      </c>
      <c r="D419" s="3">
        <v>24.0</v>
      </c>
      <c r="I419" s="3" t="s">
        <v>571</v>
      </c>
    </row>
    <row r="420" ht="15.75" customHeight="1">
      <c r="A420" s="3" t="s">
        <v>3779</v>
      </c>
      <c r="B420" s="3" t="s">
        <v>154</v>
      </c>
      <c r="C420" s="8">
        <v>46026.00930555556</v>
      </c>
      <c r="D420" s="3">
        <v>-24.0</v>
      </c>
      <c r="I420" s="3" t="s">
        <v>571</v>
      </c>
    </row>
    <row r="421" ht="15.75" customHeight="1">
      <c r="A421" s="3" t="s">
        <v>3780</v>
      </c>
      <c r="B421" s="3" t="s">
        <v>283</v>
      </c>
      <c r="C421" s="8">
        <v>46026.00945601852</v>
      </c>
      <c r="D421" s="3">
        <v>-6.0</v>
      </c>
      <c r="I421" s="3" t="s">
        <v>571</v>
      </c>
    </row>
    <row r="422" ht="15.75" customHeight="1">
      <c r="A422" s="3" t="s">
        <v>3781</v>
      </c>
      <c r="B422" s="3" t="s">
        <v>229</v>
      </c>
      <c r="C422" s="8">
        <v>46026.00957175926</v>
      </c>
      <c r="D422" s="3">
        <v>-5.0</v>
      </c>
      <c r="I422" s="3" t="s">
        <v>571</v>
      </c>
    </row>
    <row r="423" ht="15.75" customHeight="1">
      <c r="A423" s="3" t="s">
        <v>3782</v>
      </c>
      <c r="B423" s="3" t="s">
        <v>202</v>
      </c>
      <c r="C423" s="8">
        <v>46026.0096875</v>
      </c>
      <c r="D423" s="3">
        <v>-6.0</v>
      </c>
      <c r="I423" s="3" t="s">
        <v>571</v>
      </c>
    </row>
    <row r="424" ht="15.75" customHeight="1">
      <c r="A424" s="3" t="s">
        <v>3783</v>
      </c>
      <c r="B424" s="3" t="s">
        <v>226</v>
      </c>
      <c r="C424" s="8">
        <v>46026.00974537037</v>
      </c>
      <c r="D424" s="3">
        <v>-7.0</v>
      </c>
      <c r="I424" s="3" t="s">
        <v>571</v>
      </c>
    </row>
    <row r="425" ht="15.75" customHeight="1">
      <c r="A425" s="3" t="s">
        <v>3784</v>
      </c>
      <c r="B425" s="3" t="s">
        <v>171</v>
      </c>
      <c r="C425" s="8">
        <v>46026.01185185185</v>
      </c>
      <c r="D425" s="3">
        <v>-24.0</v>
      </c>
      <c r="I425" s="3" t="s">
        <v>571</v>
      </c>
    </row>
    <row r="426" ht="15.75" customHeight="1">
      <c r="A426" s="3" t="s">
        <v>3785</v>
      </c>
      <c r="B426" s="3" t="s">
        <v>105</v>
      </c>
      <c r="C426" s="8">
        <v>46026.01782407407</v>
      </c>
      <c r="D426" s="3">
        <v>-12.0</v>
      </c>
      <c r="I426" s="3" t="s">
        <v>571</v>
      </c>
    </row>
    <row r="427" ht="15.75" customHeight="1">
      <c r="A427" s="3" t="s">
        <v>3786</v>
      </c>
      <c r="B427" s="3" t="s">
        <v>262</v>
      </c>
      <c r="C427" s="8">
        <v>46026.02148148148</v>
      </c>
      <c r="D427" s="3">
        <v>-12.0</v>
      </c>
      <c r="I427" s="3" t="s">
        <v>571</v>
      </c>
    </row>
    <row r="428" ht="15.75" customHeight="1">
      <c r="A428" s="3" t="s">
        <v>3787</v>
      </c>
      <c r="B428" s="3" t="s">
        <v>96</v>
      </c>
      <c r="C428" s="8">
        <v>46026.02217592593</v>
      </c>
      <c r="D428" s="3">
        <v>120.0</v>
      </c>
      <c r="I428" s="3" t="s">
        <v>571</v>
      </c>
    </row>
    <row r="429" ht="15.75" customHeight="1">
      <c r="A429" s="3" t="s">
        <v>3788</v>
      </c>
      <c r="B429" s="3" t="s">
        <v>96</v>
      </c>
      <c r="C429" s="8">
        <v>46026.02266203704</v>
      </c>
      <c r="D429" s="3">
        <v>-24.0</v>
      </c>
      <c r="I429" s="3" t="s">
        <v>571</v>
      </c>
    </row>
    <row r="430" ht="15.75" customHeight="1">
      <c r="A430" s="3" t="s">
        <v>3789</v>
      </c>
      <c r="B430" s="3" t="s">
        <v>56</v>
      </c>
      <c r="C430" s="8">
        <v>46026.0233912037</v>
      </c>
      <c r="D430" s="3">
        <v>-24.0</v>
      </c>
      <c r="I430" s="3" t="s">
        <v>571</v>
      </c>
    </row>
    <row r="431" ht="15.75" customHeight="1">
      <c r="A431" s="3" t="s">
        <v>3790</v>
      </c>
      <c r="B431" s="3" t="s">
        <v>259</v>
      </c>
      <c r="C431" s="8">
        <v>46026.69336805555</v>
      </c>
      <c r="D431" s="3">
        <v>2.0</v>
      </c>
      <c r="E431" s="3" t="s">
        <v>3791</v>
      </c>
      <c r="G431" s="3" t="s">
        <v>570</v>
      </c>
      <c r="H431" s="3" t="s">
        <v>3792</v>
      </c>
      <c r="I431" s="3" t="s">
        <v>599</v>
      </c>
    </row>
    <row r="432" ht="15.75" customHeight="1">
      <c r="A432" s="3" t="s">
        <v>3793</v>
      </c>
      <c r="B432" s="3" t="s">
        <v>259</v>
      </c>
      <c r="C432" s="8">
        <v>46026.69456018518</v>
      </c>
      <c r="D432" s="3">
        <v>5.0</v>
      </c>
      <c r="E432" s="3" t="s">
        <v>3794</v>
      </c>
      <c r="G432" s="3" t="s">
        <v>570</v>
      </c>
      <c r="H432" s="3" t="s">
        <v>3792</v>
      </c>
      <c r="I432" s="3" t="s">
        <v>599</v>
      </c>
    </row>
    <row r="433" ht="15.75" customHeight="1">
      <c r="A433" s="3" t="s">
        <v>3795</v>
      </c>
      <c r="B433" s="3" t="s">
        <v>259</v>
      </c>
      <c r="C433" s="8">
        <v>46026.69465277778</v>
      </c>
      <c r="D433" s="3">
        <v>5.0</v>
      </c>
      <c r="E433" s="3" t="s">
        <v>3794</v>
      </c>
      <c r="G433" s="3" t="s">
        <v>570</v>
      </c>
      <c r="H433" s="3" t="s">
        <v>3792</v>
      </c>
      <c r="I433" s="3" t="s">
        <v>599</v>
      </c>
    </row>
    <row r="434" ht="15.75" customHeight="1">
      <c r="A434" s="3" t="s">
        <v>3796</v>
      </c>
      <c r="B434" s="3" t="s">
        <v>256</v>
      </c>
      <c r="C434" s="8">
        <v>46026.69465277778</v>
      </c>
      <c r="D434" s="3">
        <v>3.0</v>
      </c>
      <c r="E434" s="3" t="s">
        <v>3794</v>
      </c>
      <c r="G434" s="3" t="s">
        <v>570</v>
      </c>
      <c r="H434" s="3" t="s">
        <v>3792</v>
      </c>
      <c r="I434" s="3" t="s">
        <v>599</v>
      </c>
    </row>
    <row r="435" ht="15.75" customHeight="1">
      <c r="A435" s="3" t="s">
        <v>3797</v>
      </c>
      <c r="B435" s="3" t="s">
        <v>259</v>
      </c>
      <c r="C435" s="8">
        <v>46026.69711805556</v>
      </c>
      <c r="D435" s="3">
        <v>3.0</v>
      </c>
      <c r="E435" s="3" t="s">
        <v>3798</v>
      </c>
      <c r="G435" s="3" t="s">
        <v>570</v>
      </c>
      <c r="H435" s="3" t="s">
        <v>3792</v>
      </c>
      <c r="I435" s="3" t="s">
        <v>599</v>
      </c>
    </row>
    <row r="436" ht="15.75" customHeight="1">
      <c r="A436" s="3" t="s">
        <v>3799</v>
      </c>
      <c r="B436" s="3" t="s">
        <v>259</v>
      </c>
      <c r="C436" s="8">
        <v>46026.69724537037</v>
      </c>
      <c r="D436" s="3">
        <v>3.0</v>
      </c>
      <c r="E436" s="3" t="s">
        <v>3798</v>
      </c>
      <c r="G436" s="3" t="s">
        <v>570</v>
      </c>
      <c r="H436" s="3" t="s">
        <v>3792</v>
      </c>
      <c r="I436" s="3" t="s">
        <v>599</v>
      </c>
    </row>
    <row r="437" ht="15.75" customHeight="1">
      <c r="A437" s="3" t="s">
        <v>3800</v>
      </c>
      <c r="B437" s="3" t="s">
        <v>256</v>
      </c>
      <c r="C437" s="8">
        <v>46026.69724537037</v>
      </c>
      <c r="D437" s="3">
        <v>3.0</v>
      </c>
      <c r="E437" s="3" t="s">
        <v>3798</v>
      </c>
      <c r="G437" s="3" t="s">
        <v>570</v>
      </c>
      <c r="H437" s="3" t="s">
        <v>3792</v>
      </c>
      <c r="I437" s="3" t="s">
        <v>599</v>
      </c>
    </row>
    <row r="438" ht="15.75" customHeight="1">
      <c r="A438" s="3" t="s">
        <v>3801</v>
      </c>
      <c r="B438" s="3" t="s">
        <v>259</v>
      </c>
      <c r="C438" s="8">
        <v>46026.70208333333</v>
      </c>
      <c r="D438" s="3">
        <v>4.0</v>
      </c>
      <c r="E438" s="3" t="s">
        <v>3802</v>
      </c>
      <c r="G438" s="3" t="s">
        <v>570</v>
      </c>
      <c r="H438" s="3" t="s">
        <v>3792</v>
      </c>
      <c r="I438" s="3" t="s">
        <v>599</v>
      </c>
    </row>
    <row r="439" ht="15.75" customHeight="1">
      <c r="A439" s="3" t="s">
        <v>3803</v>
      </c>
      <c r="B439" s="3" t="s">
        <v>256</v>
      </c>
      <c r="C439" s="8">
        <v>46026.70216435185</v>
      </c>
      <c r="D439" s="3">
        <v>2.0</v>
      </c>
      <c r="E439" s="3" t="s">
        <v>3802</v>
      </c>
      <c r="G439" s="3" t="s">
        <v>570</v>
      </c>
      <c r="H439" s="3" t="s">
        <v>3792</v>
      </c>
      <c r="I439" s="3" t="s">
        <v>599</v>
      </c>
    </row>
    <row r="440" ht="15.75" customHeight="1">
      <c r="A440" s="3" t="s">
        <v>3804</v>
      </c>
      <c r="B440" s="3" t="s">
        <v>217</v>
      </c>
      <c r="C440" s="8">
        <v>46026.70596064815</v>
      </c>
      <c r="D440" s="3">
        <v>45.0</v>
      </c>
      <c r="E440" s="3" t="s">
        <v>3805</v>
      </c>
      <c r="G440" s="3" t="s">
        <v>570</v>
      </c>
      <c r="H440" s="3" t="s">
        <v>3792</v>
      </c>
      <c r="I440" s="3" t="s">
        <v>599</v>
      </c>
    </row>
    <row r="441" ht="15.75" customHeight="1">
      <c r="A441" s="3" t="s">
        <v>3806</v>
      </c>
      <c r="B441" s="3" t="s">
        <v>280</v>
      </c>
      <c r="C441" s="8">
        <v>46026.70688657407</v>
      </c>
      <c r="D441" s="3">
        <v>75.0</v>
      </c>
      <c r="E441" s="3" t="s">
        <v>3805</v>
      </c>
      <c r="G441" s="3" t="s">
        <v>570</v>
      </c>
      <c r="H441" s="3" t="s">
        <v>3792</v>
      </c>
      <c r="I441" s="3" t="s">
        <v>599</v>
      </c>
    </row>
    <row r="442" ht="15.75" customHeight="1">
      <c r="A442" s="3" t="s">
        <v>3807</v>
      </c>
      <c r="B442" s="3" t="s">
        <v>286</v>
      </c>
      <c r="C442" s="8">
        <v>46026.70784722222</v>
      </c>
      <c r="D442" s="3">
        <v>45.0</v>
      </c>
      <c r="E442" s="3" t="s">
        <v>3805</v>
      </c>
      <c r="G442" s="3" t="s">
        <v>570</v>
      </c>
      <c r="H442" s="3" t="s">
        <v>3792</v>
      </c>
      <c r="I442" s="3" t="s">
        <v>599</v>
      </c>
    </row>
    <row r="443" ht="15.75" customHeight="1">
      <c r="A443" s="3" t="s">
        <v>3808</v>
      </c>
      <c r="B443" s="3" t="s">
        <v>214</v>
      </c>
      <c r="C443" s="8">
        <v>46026.70990740741</v>
      </c>
      <c r="D443" s="3">
        <v>24.0</v>
      </c>
      <c r="E443" s="3" t="s">
        <v>3632</v>
      </c>
      <c r="G443" s="3" t="s">
        <v>570</v>
      </c>
      <c r="H443" s="3" t="s">
        <v>3792</v>
      </c>
      <c r="I443" s="3" t="s">
        <v>599</v>
      </c>
    </row>
    <row r="444" ht="15.75" customHeight="1">
      <c r="A444" s="3" t="s">
        <v>3809</v>
      </c>
      <c r="B444" s="3" t="s">
        <v>280</v>
      </c>
      <c r="C444" s="8">
        <v>46026.73626157407</v>
      </c>
      <c r="D444" s="3">
        <v>-30.0</v>
      </c>
      <c r="I444" s="3" t="s">
        <v>571</v>
      </c>
    </row>
    <row r="445" ht="15.75" customHeight="1">
      <c r="A445" s="3" t="s">
        <v>3810</v>
      </c>
      <c r="B445" s="3" t="s">
        <v>259</v>
      </c>
      <c r="C445" s="8">
        <v>46026.81091435185</v>
      </c>
      <c r="D445" s="3">
        <v>1.0</v>
      </c>
      <c r="E445" s="3" t="s">
        <v>3811</v>
      </c>
      <c r="I445" s="3" t="s">
        <v>571</v>
      </c>
    </row>
    <row r="446" ht="15.75" customHeight="1">
      <c r="A446" s="3" t="s">
        <v>3812</v>
      </c>
      <c r="B446" s="3" t="s">
        <v>256</v>
      </c>
      <c r="C446" s="8">
        <v>46026.81096064814</v>
      </c>
      <c r="D446" s="3">
        <v>1.0</v>
      </c>
      <c r="E446" s="3" t="s">
        <v>3811</v>
      </c>
      <c r="I446" s="3" t="s">
        <v>571</v>
      </c>
    </row>
    <row r="447" ht="15.75" customHeight="1">
      <c r="A447" s="3" t="s">
        <v>3813</v>
      </c>
      <c r="C447" s="8">
        <v>46026.82685185185</v>
      </c>
      <c r="F447" s="3" t="s">
        <v>570</v>
      </c>
      <c r="H447" s="3" t="s">
        <v>3762</v>
      </c>
      <c r="I447" s="3" t="s">
        <v>571</v>
      </c>
    </row>
    <row r="448" ht="15.75" customHeight="1">
      <c r="A448" s="3" t="s">
        <v>3814</v>
      </c>
      <c r="B448" s="3" t="s">
        <v>256</v>
      </c>
      <c r="C448" s="8">
        <v>46026.82685185185</v>
      </c>
      <c r="D448" s="3">
        <v>9.0</v>
      </c>
      <c r="F448" s="3" t="s">
        <v>570</v>
      </c>
      <c r="H448" s="3" t="s">
        <v>3762</v>
      </c>
      <c r="I448" s="3" t="s">
        <v>571</v>
      </c>
    </row>
    <row r="449" ht="15.75" customHeight="1">
      <c r="A449" s="3" t="s">
        <v>3815</v>
      </c>
      <c r="C449" s="8">
        <v>46026.82989583333</v>
      </c>
      <c r="D449" s="3">
        <v>8.0</v>
      </c>
      <c r="G449" s="3" t="s">
        <v>3816</v>
      </c>
      <c r="H449" s="3" t="s">
        <v>3817</v>
      </c>
      <c r="I449" s="3" t="s">
        <v>571</v>
      </c>
      <c r="J449" s="3">
        <v>2.503000216E9</v>
      </c>
    </row>
    <row r="450" ht="15.75" customHeight="1">
      <c r="A450" s="3" t="s">
        <v>3818</v>
      </c>
      <c r="B450" s="3" t="s">
        <v>195</v>
      </c>
      <c r="C450" s="8">
        <v>46026.87944444444</v>
      </c>
      <c r="D450" s="3">
        <v>36.0</v>
      </c>
      <c r="E450" s="3" t="s">
        <v>3819</v>
      </c>
      <c r="I450" s="3" t="s">
        <v>571</v>
      </c>
    </row>
    <row r="451" ht="15.75" customHeight="1">
      <c r="A451" s="3" t="s">
        <v>3820</v>
      </c>
      <c r="B451" s="3" t="s">
        <v>262</v>
      </c>
      <c r="C451" s="8">
        <v>46026.87947916667</v>
      </c>
      <c r="D451" s="3">
        <v>30.0</v>
      </c>
      <c r="E451" s="3" t="s">
        <v>3819</v>
      </c>
      <c r="I451" s="3" t="s">
        <v>571</v>
      </c>
    </row>
    <row r="452" ht="15.75" customHeight="1">
      <c r="A452" s="3" t="s">
        <v>3821</v>
      </c>
      <c r="B452" s="3" t="s">
        <v>268</v>
      </c>
      <c r="C452" s="8">
        <v>46026.87956018518</v>
      </c>
      <c r="D452" s="3">
        <v>48.0</v>
      </c>
      <c r="E452" s="3" t="s">
        <v>3819</v>
      </c>
      <c r="I452" s="3" t="s">
        <v>571</v>
      </c>
    </row>
    <row r="453" ht="15.75" customHeight="1">
      <c r="A453" s="3" t="s">
        <v>3822</v>
      </c>
      <c r="B453" s="3" t="s">
        <v>238</v>
      </c>
      <c r="C453" s="8">
        <v>46026.8795949074</v>
      </c>
      <c r="D453" s="3">
        <v>18.0</v>
      </c>
      <c r="E453" s="3" t="s">
        <v>3819</v>
      </c>
      <c r="I453" s="3" t="s">
        <v>571</v>
      </c>
    </row>
    <row r="454" ht="15.75" customHeight="1">
      <c r="A454" s="3" t="s">
        <v>3823</v>
      </c>
      <c r="B454" s="3" t="s">
        <v>241</v>
      </c>
      <c r="C454" s="8">
        <v>46026.87962962963</v>
      </c>
      <c r="D454" s="3">
        <v>48.0</v>
      </c>
      <c r="E454" s="3" t="s">
        <v>3819</v>
      </c>
      <c r="I454" s="3" t="s">
        <v>571</v>
      </c>
    </row>
    <row r="455" ht="15.75" customHeight="1">
      <c r="A455" s="3" t="s">
        <v>3824</v>
      </c>
      <c r="B455" s="3" t="s">
        <v>195</v>
      </c>
      <c r="C455" s="8">
        <v>46026.89302083333</v>
      </c>
      <c r="D455" s="3">
        <v>-12.0</v>
      </c>
      <c r="I455" s="3" t="s">
        <v>571</v>
      </c>
    </row>
    <row r="456" ht="15.75" customHeight="1">
      <c r="A456" s="3" t="s">
        <v>3825</v>
      </c>
      <c r="B456" s="3" t="s">
        <v>214</v>
      </c>
      <c r="C456" s="8">
        <v>46026.89633101852</v>
      </c>
      <c r="D456" s="3">
        <v>-60.0</v>
      </c>
      <c r="I456" s="3" t="s">
        <v>571</v>
      </c>
    </row>
    <row r="457" ht="15.75" customHeight="1">
      <c r="A457" s="3" t="s">
        <v>3826</v>
      </c>
      <c r="B457" s="3" t="s">
        <v>85</v>
      </c>
      <c r="C457" s="8">
        <v>46026.90475694444</v>
      </c>
      <c r="D457" s="3">
        <v>-5.0</v>
      </c>
      <c r="I457" s="3" t="s">
        <v>571</v>
      </c>
    </row>
    <row r="458" ht="15.75" customHeight="1">
      <c r="A458" s="3" t="s">
        <v>3827</v>
      </c>
      <c r="B458" s="3" t="s">
        <v>192</v>
      </c>
      <c r="C458" s="8">
        <v>46026.90487268518</v>
      </c>
      <c r="D458" s="3">
        <v>-5.0</v>
      </c>
      <c r="I458" s="3" t="s">
        <v>571</v>
      </c>
    </row>
    <row r="459" ht="15.75" customHeight="1">
      <c r="A459" s="3" t="s">
        <v>3828</v>
      </c>
      <c r="B459" s="3" t="s">
        <v>286</v>
      </c>
      <c r="C459" s="8">
        <v>46026.90513888889</v>
      </c>
      <c r="D459" s="3">
        <v>-5.0</v>
      </c>
      <c r="I459" s="3" t="s">
        <v>571</v>
      </c>
    </row>
    <row r="460" ht="15.75" customHeight="1">
      <c r="A460" s="3" t="s">
        <v>3829</v>
      </c>
      <c r="B460" s="3" t="s">
        <v>229</v>
      </c>
      <c r="C460" s="8">
        <v>46026.90525462963</v>
      </c>
      <c r="D460" s="3">
        <v>-3.0</v>
      </c>
      <c r="I460" s="3" t="s">
        <v>571</v>
      </c>
    </row>
    <row r="461" ht="15.75" customHeight="1">
      <c r="A461" s="3" t="s">
        <v>3830</v>
      </c>
      <c r="B461" s="3" t="s">
        <v>202</v>
      </c>
      <c r="C461" s="8">
        <v>46026.90534722222</v>
      </c>
      <c r="D461" s="3">
        <v>-4.0</v>
      </c>
      <c r="I461" s="3" t="s">
        <v>571</v>
      </c>
    </row>
    <row r="462" ht="15.75" customHeight="1">
      <c r="A462" s="3" t="s">
        <v>3831</v>
      </c>
      <c r="B462" s="3" t="s">
        <v>226</v>
      </c>
      <c r="C462" s="8">
        <v>46026.90554398148</v>
      </c>
      <c r="D462" s="3">
        <v>-2.0</v>
      </c>
      <c r="I462" s="3" t="s">
        <v>571</v>
      </c>
    </row>
    <row r="463" ht="15.75" customHeight="1">
      <c r="A463" s="3" t="s">
        <v>3832</v>
      </c>
      <c r="B463" s="3" t="s">
        <v>271</v>
      </c>
      <c r="C463" s="8">
        <v>46026.90568287037</v>
      </c>
      <c r="D463" s="3">
        <v>-3.0</v>
      </c>
      <c r="I463" s="3" t="s">
        <v>571</v>
      </c>
    </row>
    <row r="464" ht="15.75" customHeight="1">
      <c r="A464" s="3" t="s">
        <v>3833</v>
      </c>
      <c r="B464" s="3" t="s">
        <v>56</v>
      </c>
      <c r="C464" s="8">
        <v>46026.90594907408</v>
      </c>
      <c r="D464" s="3">
        <v>-12.0</v>
      </c>
      <c r="I464" s="3" t="s">
        <v>571</v>
      </c>
    </row>
    <row r="465" ht="15.75" customHeight="1">
      <c r="A465" s="3" t="s">
        <v>3834</v>
      </c>
      <c r="B465" s="3" t="s">
        <v>238</v>
      </c>
      <c r="C465" s="8">
        <v>46026.90690972222</v>
      </c>
      <c r="D465" s="3">
        <v>-18.0</v>
      </c>
      <c r="I465" s="3" t="s">
        <v>571</v>
      </c>
    </row>
    <row r="466" ht="15.75" customHeight="1">
      <c r="A466" s="3" t="s">
        <v>3835</v>
      </c>
      <c r="B466" s="3" t="s">
        <v>139</v>
      </c>
      <c r="C466" s="8">
        <v>46027.43973379629</v>
      </c>
      <c r="D466" s="3">
        <v>24.0</v>
      </c>
      <c r="E466" s="3" t="s">
        <v>3836</v>
      </c>
      <c r="I466" s="3" t="s">
        <v>571</v>
      </c>
    </row>
    <row r="467" ht="15.75" customHeight="1">
      <c r="A467" s="3" t="s">
        <v>3837</v>
      </c>
      <c r="B467" s="3" t="s">
        <v>145</v>
      </c>
      <c r="C467" s="8">
        <v>46027.43983796296</v>
      </c>
      <c r="D467" s="3">
        <v>24.0</v>
      </c>
      <c r="E467" s="3" t="s">
        <v>3836</v>
      </c>
      <c r="I467" s="3" t="s">
        <v>571</v>
      </c>
    </row>
    <row r="468" ht="15.75" customHeight="1">
      <c r="A468" s="3" t="s">
        <v>3838</v>
      </c>
      <c r="B468" s="3" t="s">
        <v>186</v>
      </c>
      <c r="C468" s="8">
        <v>46027.43991898148</v>
      </c>
      <c r="D468" s="3">
        <v>30.0</v>
      </c>
      <c r="E468" s="3" t="s">
        <v>3836</v>
      </c>
      <c r="I468" s="3" t="s">
        <v>571</v>
      </c>
    </row>
    <row r="469" ht="15.75" customHeight="1">
      <c r="A469" s="3" t="s">
        <v>3839</v>
      </c>
      <c r="B469" s="3" t="s">
        <v>165</v>
      </c>
      <c r="C469" s="8">
        <v>46027.44001157407</v>
      </c>
      <c r="D469" s="3">
        <v>24.0</v>
      </c>
      <c r="E469" s="3" t="s">
        <v>3836</v>
      </c>
      <c r="I469" s="3" t="s">
        <v>571</v>
      </c>
    </row>
    <row r="470" ht="15.75" customHeight="1">
      <c r="A470" s="3" t="s">
        <v>3840</v>
      </c>
      <c r="B470" s="3" t="s">
        <v>289</v>
      </c>
      <c r="C470" s="8">
        <v>46027.44116898148</v>
      </c>
      <c r="D470" s="3">
        <v>18.0</v>
      </c>
      <c r="E470" s="3" t="s">
        <v>3836</v>
      </c>
      <c r="I470" s="3" t="s">
        <v>571</v>
      </c>
    </row>
    <row r="471" ht="15.75" customHeight="1">
      <c r="A471" s="3" t="s">
        <v>3841</v>
      </c>
      <c r="B471" s="3" t="s">
        <v>142</v>
      </c>
      <c r="C471" s="8">
        <v>46027.49091435185</v>
      </c>
      <c r="D471" s="3">
        <v>72.0</v>
      </c>
      <c r="E471" s="3" t="s">
        <v>3842</v>
      </c>
      <c r="I471" s="3" t="s">
        <v>571</v>
      </c>
    </row>
    <row r="472" ht="15.75" customHeight="1">
      <c r="A472" s="3" t="s">
        <v>3843</v>
      </c>
      <c r="B472" s="3" t="s">
        <v>214</v>
      </c>
      <c r="C472" s="8">
        <v>46027.63877314814</v>
      </c>
      <c r="D472" s="3">
        <v>36.0</v>
      </c>
      <c r="E472" s="3" t="s">
        <v>3844</v>
      </c>
      <c r="I472" s="3" t="s">
        <v>571</v>
      </c>
    </row>
    <row r="473" ht="15.75" customHeight="1">
      <c r="A473" s="3" t="s">
        <v>3845</v>
      </c>
      <c r="B473" s="3" t="s">
        <v>142</v>
      </c>
      <c r="C473" s="8">
        <v>46027.72731481482</v>
      </c>
      <c r="D473" s="3">
        <v>-7.0</v>
      </c>
      <c r="I473" s="3" t="s">
        <v>571</v>
      </c>
    </row>
    <row r="474" ht="15.75" customHeight="1">
      <c r="A474" s="3" t="s">
        <v>3846</v>
      </c>
      <c r="B474" s="3" t="s">
        <v>238</v>
      </c>
      <c r="C474" s="8">
        <v>46027.83326388889</v>
      </c>
      <c r="D474" s="3">
        <v>36.0</v>
      </c>
      <c r="E474" s="3" t="s">
        <v>3847</v>
      </c>
      <c r="I474" s="3" t="s">
        <v>571</v>
      </c>
    </row>
    <row r="475" ht="15.75" customHeight="1">
      <c r="A475" s="3" t="s">
        <v>3848</v>
      </c>
      <c r="B475" s="3" t="s">
        <v>189</v>
      </c>
      <c r="C475" s="8">
        <v>46027.84115740741</v>
      </c>
      <c r="D475" s="3">
        <v>105.0</v>
      </c>
      <c r="E475" s="3" t="s">
        <v>3847</v>
      </c>
      <c r="I475" s="3" t="s">
        <v>571</v>
      </c>
    </row>
    <row r="476" ht="15.75" customHeight="1">
      <c r="A476" s="3" t="s">
        <v>3849</v>
      </c>
      <c r="B476" s="3" t="s">
        <v>654</v>
      </c>
      <c r="C476" s="8">
        <v>46027.84314814815</v>
      </c>
      <c r="D476" s="3">
        <v>60.0</v>
      </c>
      <c r="E476" s="3" t="s">
        <v>3847</v>
      </c>
      <c r="I476" s="3" t="s">
        <v>571</v>
      </c>
    </row>
    <row r="477" ht="15.75" customHeight="1">
      <c r="A477" s="3" t="s">
        <v>3850</v>
      </c>
      <c r="B477" s="3" t="s">
        <v>3851</v>
      </c>
      <c r="C477" s="8">
        <v>46027.8440625</v>
      </c>
      <c r="D477" s="3">
        <v>24.0</v>
      </c>
      <c r="E477" s="3" t="s">
        <v>3847</v>
      </c>
      <c r="I477" s="3" t="s">
        <v>571</v>
      </c>
    </row>
    <row r="478" ht="15.75" customHeight="1">
      <c r="A478" s="3" t="s">
        <v>3852</v>
      </c>
      <c r="B478" s="3" t="s">
        <v>292</v>
      </c>
      <c r="C478" s="8">
        <v>46027.85657407407</v>
      </c>
      <c r="D478" s="3">
        <v>24.0</v>
      </c>
      <c r="E478" s="3" t="s">
        <v>3847</v>
      </c>
      <c r="I478" s="3" t="s">
        <v>571</v>
      </c>
    </row>
    <row r="479" ht="15.75" customHeight="1">
      <c r="A479" s="3" t="s">
        <v>3853</v>
      </c>
      <c r="B479" s="3" t="s">
        <v>214</v>
      </c>
      <c r="C479" s="8">
        <v>46027.86304398148</v>
      </c>
      <c r="D479" s="3">
        <v>360.0</v>
      </c>
      <c r="E479" s="3" t="s">
        <v>3854</v>
      </c>
      <c r="I479" s="3" t="s">
        <v>571</v>
      </c>
    </row>
    <row r="480" ht="15.75" customHeight="1">
      <c r="A480" s="3" t="s">
        <v>3855</v>
      </c>
      <c r="B480" s="3" t="s">
        <v>654</v>
      </c>
      <c r="C480" s="8">
        <v>46027.87994212963</v>
      </c>
      <c r="D480" s="3">
        <v>-12.0</v>
      </c>
      <c r="I480" s="3" t="s">
        <v>571</v>
      </c>
    </row>
    <row r="481" ht="15.75" customHeight="1">
      <c r="A481" s="3" t="s">
        <v>3856</v>
      </c>
      <c r="B481" s="3" t="s">
        <v>262</v>
      </c>
      <c r="C481" s="8">
        <v>46027.88010416667</v>
      </c>
      <c r="D481" s="3">
        <v>-20.0</v>
      </c>
      <c r="I481" s="3" t="s">
        <v>571</v>
      </c>
    </row>
    <row r="482" ht="15.75" customHeight="1">
      <c r="A482" s="3" t="s">
        <v>3857</v>
      </c>
      <c r="B482" s="3" t="s">
        <v>3851</v>
      </c>
      <c r="C482" s="8">
        <v>46027.88241898148</v>
      </c>
      <c r="D482" s="3">
        <v>-12.0</v>
      </c>
      <c r="I482" s="3" t="s">
        <v>571</v>
      </c>
    </row>
    <row r="483" ht="15.75" customHeight="1">
      <c r="A483" s="3" t="s">
        <v>3858</v>
      </c>
      <c r="B483" s="3" t="s">
        <v>292</v>
      </c>
      <c r="C483" s="8">
        <v>46027.88255787037</v>
      </c>
      <c r="D483" s="3">
        <v>-12.0</v>
      </c>
      <c r="I483" s="3" t="s">
        <v>571</v>
      </c>
    </row>
    <row r="484" ht="15.75" customHeight="1">
      <c r="A484" s="3" t="s">
        <v>3859</v>
      </c>
      <c r="B484" s="3" t="s">
        <v>56</v>
      </c>
      <c r="C484" s="8">
        <v>46027.88373842592</v>
      </c>
      <c r="D484" s="3">
        <v>12.0</v>
      </c>
      <c r="I484" s="3" t="s">
        <v>571</v>
      </c>
    </row>
    <row r="485" ht="15.75" customHeight="1">
      <c r="A485" s="3" t="s">
        <v>3860</v>
      </c>
      <c r="B485" s="3" t="s">
        <v>214</v>
      </c>
      <c r="C485" s="8">
        <v>46027.88797453704</v>
      </c>
      <c r="D485" s="3">
        <v>-36.0</v>
      </c>
      <c r="I485" s="3" t="s">
        <v>571</v>
      </c>
    </row>
    <row r="486" ht="15.75" customHeight="1">
      <c r="A486" s="3" t="s">
        <v>3861</v>
      </c>
      <c r="B486" s="3" t="s">
        <v>214</v>
      </c>
      <c r="C486" s="8">
        <v>46028.63015046297</v>
      </c>
      <c r="D486" s="3">
        <v>-24.0</v>
      </c>
      <c r="I486" s="3" t="s">
        <v>599</v>
      </c>
    </row>
    <row r="487" ht="15.75" customHeight="1">
      <c r="A487" s="3" t="s">
        <v>3862</v>
      </c>
      <c r="B487" s="3" t="s">
        <v>96</v>
      </c>
      <c r="C487" s="8">
        <v>46028.63034722222</v>
      </c>
      <c r="D487" s="3">
        <v>-9.0</v>
      </c>
      <c r="I487" s="3" t="s">
        <v>599</v>
      </c>
    </row>
    <row r="488" ht="15.75" customHeight="1">
      <c r="A488" s="3" t="s">
        <v>3863</v>
      </c>
      <c r="B488" s="3" t="s">
        <v>82</v>
      </c>
      <c r="C488" s="8">
        <v>46028.63055555556</v>
      </c>
      <c r="D488" s="3">
        <v>-3.0</v>
      </c>
      <c r="I488" s="3" t="s">
        <v>599</v>
      </c>
    </row>
    <row r="489" ht="15.75" customHeight="1">
      <c r="A489" s="3" t="s">
        <v>3864</v>
      </c>
      <c r="B489" s="3" t="s">
        <v>142</v>
      </c>
      <c r="C489" s="8">
        <v>46028.63092592593</v>
      </c>
      <c r="D489" s="3">
        <v>-5.0</v>
      </c>
      <c r="I489" s="3" t="s">
        <v>599</v>
      </c>
    </row>
    <row r="490" ht="15.75" customHeight="1">
      <c r="A490" s="3" t="s">
        <v>3865</v>
      </c>
      <c r="B490" s="3" t="s">
        <v>85</v>
      </c>
      <c r="C490" s="8">
        <v>46028.63108796296</v>
      </c>
      <c r="D490" s="3">
        <v>-6.0</v>
      </c>
      <c r="I490" s="3" t="s">
        <v>599</v>
      </c>
    </row>
    <row r="491" ht="15.75" customHeight="1">
      <c r="A491" s="3" t="s">
        <v>3866</v>
      </c>
      <c r="B491" s="3" t="s">
        <v>134</v>
      </c>
      <c r="C491" s="8">
        <v>46028.63134259259</v>
      </c>
      <c r="D491" s="3">
        <v>-6.0</v>
      </c>
      <c r="I491" s="3" t="s">
        <v>599</v>
      </c>
    </row>
    <row r="492" ht="15.75" customHeight="1">
      <c r="A492" s="3" t="s">
        <v>3867</v>
      </c>
      <c r="B492" s="3" t="s">
        <v>59</v>
      </c>
      <c r="C492" s="8">
        <v>46028.63148148148</v>
      </c>
      <c r="D492" s="3">
        <v>-3.0</v>
      </c>
      <c r="I492" s="3" t="s">
        <v>599</v>
      </c>
    </row>
    <row r="493" ht="15.75" customHeight="1">
      <c r="A493" s="3" t="s">
        <v>3868</v>
      </c>
      <c r="B493" s="3" t="s">
        <v>280</v>
      </c>
      <c r="C493" s="8">
        <v>46028.63184027778</v>
      </c>
      <c r="D493" s="3">
        <v>-7.0</v>
      </c>
      <c r="I493" s="3" t="s">
        <v>599</v>
      </c>
    </row>
    <row r="494" ht="15.75" customHeight="1">
      <c r="A494" s="3" t="s">
        <v>3869</v>
      </c>
      <c r="B494" s="3" t="s">
        <v>286</v>
      </c>
      <c r="C494" s="8">
        <v>46028.63215277778</v>
      </c>
      <c r="D494" s="3">
        <v>-4.0</v>
      </c>
      <c r="I494" s="3" t="s">
        <v>599</v>
      </c>
    </row>
    <row r="495" ht="15.75" customHeight="1">
      <c r="A495" s="3" t="s">
        <v>3870</v>
      </c>
      <c r="B495" s="3" t="s">
        <v>271</v>
      </c>
      <c r="C495" s="8">
        <v>46028.63260416667</v>
      </c>
      <c r="D495" s="3">
        <v>-4.0</v>
      </c>
      <c r="I495" s="3" t="s">
        <v>599</v>
      </c>
    </row>
    <row r="496" ht="15.75" customHeight="1">
      <c r="A496" s="3" t="s">
        <v>3871</v>
      </c>
      <c r="B496" s="3" t="s">
        <v>277</v>
      </c>
      <c r="C496" s="8">
        <v>46028.63337962963</v>
      </c>
      <c r="D496" s="3">
        <v>-1.0</v>
      </c>
      <c r="I496" s="3" t="s">
        <v>599</v>
      </c>
    </row>
    <row r="497" ht="15.75" customHeight="1">
      <c r="A497" s="3" t="s">
        <v>3872</v>
      </c>
      <c r="B497" s="3" t="s">
        <v>189</v>
      </c>
      <c r="C497" s="8">
        <v>46028.63348379629</v>
      </c>
      <c r="D497" s="3">
        <v>-21.0</v>
      </c>
      <c r="I497" s="3" t="s">
        <v>599</v>
      </c>
    </row>
    <row r="498" ht="15.75" customHeight="1">
      <c r="A498" s="3" t="s">
        <v>3873</v>
      </c>
      <c r="B498" s="3" t="s">
        <v>206</v>
      </c>
      <c r="C498" s="8">
        <v>46028.63547453703</v>
      </c>
      <c r="D498" s="3">
        <v>-7.0</v>
      </c>
      <c r="I498" s="3" t="s">
        <v>599</v>
      </c>
    </row>
    <row r="499" ht="15.75" customHeight="1">
      <c r="A499" s="3" t="s">
        <v>3874</v>
      </c>
      <c r="B499" s="3" t="s">
        <v>286</v>
      </c>
      <c r="C499" s="8">
        <v>46028.65421296296</v>
      </c>
      <c r="D499" s="3">
        <v>1.0</v>
      </c>
      <c r="I499" s="3" t="s">
        <v>599</v>
      </c>
    </row>
    <row r="500" ht="15.75" customHeight="1">
      <c r="A500" s="3" t="s">
        <v>3875</v>
      </c>
      <c r="B500" s="3" t="s">
        <v>274</v>
      </c>
      <c r="C500" s="8">
        <v>46029.7046875</v>
      </c>
      <c r="D500" s="3">
        <v>-12.0</v>
      </c>
      <c r="I500" s="3" t="s">
        <v>571</v>
      </c>
    </row>
    <row r="501" ht="15.75" customHeight="1">
      <c r="A501" s="3" t="s">
        <v>3876</v>
      </c>
      <c r="B501" s="3" t="s">
        <v>142</v>
      </c>
      <c r="C501" s="8">
        <v>46029.70488425926</v>
      </c>
      <c r="D501" s="3">
        <v>-8.0</v>
      </c>
      <c r="I501" s="3" t="s">
        <v>571</v>
      </c>
    </row>
    <row r="502" ht="15.75" customHeight="1">
      <c r="A502" s="3" t="s">
        <v>3877</v>
      </c>
      <c r="B502" s="3" t="s">
        <v>241</v>
      </c>
      <c r="C502" s="8">
        <v>46029.70574074074</v>
      </c>
      <c r="D502" s="3">
        <v>-16.0</v>
      </c>
      <c r="I502" s="3" t="s">
        <v>571</v>
      </c>
    </row>
    <row r="503" ht="15.75" customHeight="1">
      <c r="A503" s="3" t="s">
        <v>3878</v>
      </c>
      <c r="B503" s="3" t="s">
        <v>96</v>
      </c>
      <c r="C503" s="8">
        <v>46029.70600694444</v>
      </c>
      <c r="D503" s="3">
        <v>-20.0</v>
      </c>
      <c r="I503" s="3" t="s">
        <v>571</v>
      </c>
    </row>
    <row r="504" ht="15.75" customHeight="1">
      <c r="A504" s="3" t="s">
        <v>3879</v>
      </c>
      <c r="B504" s="3" t="s">
        <v>286</v>
      </c>
      <c r="C504" s="8">
        <v>46029.70630787037</v>
      </c>
      <c r="D504" s="3">
        <v>-5.0</v>
      </c>
      <c r="I504" s="3" t="s">
        <v>571</v>
      </c>
    </row>
    <row r="505" ht="15.75" customHeight="1">
      <c r="A505" s="3" t="s">
        <v>3880</v>
      </c>
      <c r="B505" s="3" t="s">
        <v>217</v>
      </c>
      <c r="C505" s="8">
        <v>46029.70644675926</v>
      </c>
      <c r="D505" s="3">
        <v>-3.0</v>
      </c>
      <c r="I505" s="3" t="s">
        <v>571</v>
      </c>
    </row>
    <row r="506" ht="15.75" customHeight="1">
      <c r="A506" s="3" t="s">
        <v>3881</v>
      </c>
      <c r="B506" s="3" t="s">
        <v>59</v>
      </c>
      <c r="C506" s="8">
        <v>46029.70715277778</v>
      </c>
      <c r="D506" s="3">
        <v>-7.0</v>
      </c>
      <c r="I506" s="3" t="s">
        <v>571</v>
      </c>
    </row>
    <row r="507" ht="15.75" customHeight="1">
      <c r="A507" s="3" t="s">
        <v>3882</v>
      </c>
      <c r="B507" s="3" t="s">
        <v>85</v>
      </c>
      <c r="C507" s="8">
        <v>46029.70795138889</v>
      </c>
      <c r="D507" s="3">
        <v>2.0</v>
      </c>
      <c r="I507" s="3" t="s">
        <v>571</v>
      </c>
    </row>
    <row r="508" ht="15.75" customHeight="1">
      <c r="A508" s="3" t="s">
        <v>3883</v>
      </c>
      <c r="B508" s="3" t="s">
        <v>283</v>
      </c>
      <c r="C508" s="8">
        <v>46029.97388888889</v>
      </c>
      <c r="D508" s="3">
        <v>-6.0</v>
      </c>
      <c r="I508" s="3" t="s">
        <v>571</v>
      </c>
    </row>
    <row r="509" ht="15.75" customHeight="1">
      <c r="A509" s="3" t="s">
        <v>3884</v>
      </c>
      <c r="B509" s="3" t="s">
        <v>189</v>
      </c>
      <c r="C509" s="8">
        <v>46029.97542824074</v>
      </c>
      <c r="D509" s="3">
        <v>-42.0</v>
      </c>
      <c r="I509" s="3" t="s">
        <v>571</v>
      </c>
    </row>
    <row r="510" ht="15.75" customHeight="1">
      <c r="A510" s="3" t="s">
        <v>3885</v>
      </c>
      <c r="B510" s="3" t="s">
        <v>105</v>
      </c>
      <c r="C510" s="8">
        <v>46029.97612268518</v>
      </c>
      <c r="D510" s="3">
        <v>-12.0</v>
      </c>
      <c r="I510" s="3" t="s">
        <v>571</v>
      </c>
    </row>
    <row r="511" ht="15.75" customHeight="1">
      <c r="A511" s="3" t="s">
        <v>3886</v>
      </c>
      <c r="B511" s="3" t="s">
        <v>238</v>
      </c>
      <c r="C511" s="8">
        <v>46032.50116898148</v>
      </c>
      <c r="D511" s="3">
        <v>36.0</v>
      </c>
      <c r="E511" s="3" t="s">
        <v>3887</v>
      </c>
      <c r="I511" s="3" t="s">
        <v>571</v>
      </c>
    </row>
    <row r="512" ht="15.75" customHeight="1">
      <c r="A512" s="3" t="s">
        <v>3888</v>
      </c>
      <c r="B512" s="3" t="s">
        <v>280</v>
      </c>
      <c r="C512" s="8">
        <v>46032.52005787037</v>
      </c>
      <c r="D512" s="3">
        <v>30.0</v>
      </c>
      <c r="E512" s="3" t="s">
        <v>3889</v>
      </c>
      <c r="I512" s="3" t="s">
        <v>571</v>
      </c>
    </row>
    <row r="513" ht="15.75" customHeight="1">
      <c r="A513" s="3" t="s">
        <v>3890</v>
      </c>
      <c r="B513" s="3" t="s">
        <v>286</v>
      </c>
      <c r="C513" s="8">
        <v>46032.52013888889</v>
      </c>
      <c r="D513" s="3">
        <v>30.0</v>
      </c>
      <c r="E513" s="3" t="s">
        <v>3889</v>
      </c>
      <c r="I513" s="3" t="s">
        <v>571</v>
      </c>
    </row>
    <row r="514" ht="15.75" customHeight="1">
      <c r="A514" s="3" t="s">
        <v>3891</v>
      </c>
      <c r="B514" s="3" t="s">
        <v>217</v>
      </c>
      <c r="C514" s="8">
        <v>46032.5202199074</v>
      </c>
      <c r="D514" s="3">
        <v>45.0</v>
      </c>
      <c r="E514" s="3" t="s">
        <v>3889</v>
      </c>
      <c r="I514" s="3" t="s">
        <v>571</v>
      </c>
    </row>
    <row r="515" ht="15.75" customHeight="1">
      <c r="A515" s="3" t="s">
        <v>3892</v>
      </c>
      <c r="B515" s="3" t="s">
        <v>202</v>
      </c>
      <c r="C515" s="8">
        <v>46032.52028935185</v>
      </c>
      <c r="D515" s="3">
        <v>36.0</v>
      </c>
      <c r="E515" s="3" t="s">
        <v>3889</v>
      </c>
      <c r="I515" s="3" t="s">
        <v>571</v>
      </c>
    </row>
    <row r="516" ht="15.75" customHeight="1">
      <c r="A516" s="3" t="s">
        <v>3893</v>
      </c>
      <c r="B516" s="3" t="s">
        <v>223</v>
      </c>
      <c r="C516" s="8">
        <v>46032.52038194444</v>
      </c>
      <c r="D516" s="3">
        <v>36.0</v>
      </c>
      <c r="E516" s="3" t="s">
        <v>3889</v>
      </c>
      <c r="I516" s="3" t="s">
        <v>571</v>
      </c>
    </row>
    <row r="517" ht="15.75" customHeight="1">
      <c r="A517" s="3" t="s">
        <v>3894</v>
      </c>
      <c r="B517" s="3" t="s">
        <v>171</v>
      </c>
      <c r="C517" s="8">
        <v>46032.52043981481</v>
      </c>
      <c r="D517" s="3">
        <v>144.0</v>
      </c>
      <c r="E517" s="3" t="s">
        <v>3889</v>
      </c>
      <c r="I517" s="3" t="s">
        <v>571</v>
      </c>
    </row>
    <row r="518" ht="15.75" customHeight="1">
      <c r="A518" s="3" t="s">
        <v>3895</v>
      </c>
      <c r="B518" s="3" t="s">
        <v>295</v>
      </c>
      <c r="C518" s="8">
        <v>46032.52050925926</v>
      </c>
      <c r="D518" s="3">
        <v>96.0</v>
      </c>
      <c r="E518" s="3" t="s">
        <v>3889</v>
      </c>
      <c r="I518" s="3" t="s">
        <v>571</v>
      </c>
    </row>
    <row r="519" ht="15.75" customHeight="1">
      <c r="A519" s="3" t="s">
        <v>3896</v>
      </c>
      <c r="B519" s="3" t="s">
        <v>289</v>
      </c>
      <c r="C519" s="8">
        <v>46032.52059027777</v>
      </c>
      <c r="D519" s="3">
        <v>72.0</v>
      </c>
      <c r="E519" s="3" t="s">
        <v>3889</v>
      </c>
      <c r="I519" s="3" t="s">
        <v>571</v>
      </c>
    </row>
    <row r="520" ht="15.75" customHeight="1">
      <c r="A520" s="3" t="s">
        <v>3897</v>
      </c>
      <c r="B520" s="3" t="s">
        <v>165</v>
      </c>
      <c r="C520" s="8">
        <v>46039.76179398148</v>
      </c>
      <c r="D520" s="3">
        <v>72.0</v>
      </c>
      <c r="E520" s="3" t="s">
        <v>3898</v>
      </c>
      <c r="I520" s="3" t="s">
        <v>571</v>
      </c>
    </row>
    <row r="521" ht="15.75" customHeight="1">
      <c r="A521" s="3" t="s">
        <v>3899</v>
      </c>
      <c r="B521" s="3" t="s">
        <v>59</v>
      </c>
      <c r="C521" s="8">
        <v>46039.76208333333</v>
      </c>
      <c r="D521" s="3">
        <v>24.0</v>
      </c>
      <c r="E521" s="3" t="s">
        <v>3900</v>
      </c>
      <c r="I521" s="3" t="s">
        <v>571</v>
      </c>
    </row>
    <row r="522" ht="15.75" customHeight="1">
      <c r="A522" s="3" t="s">
        <v>3901</v>
      </c>
      <c r="C522" s="8">
        <v>46043.83486111111</v>
      </c>
      <c r="I522" s="3" t="s">
        <v>571</v>
      </c>
    </row>
    <row r="523" ht="15.75" customHeight="1">
      <c r="A523" s="3" t="s">
        <v>3902</v>
      </c>
      <c r="B523" s="3" t="s">
        <v>259</v>
      </c>
      <c r="C523" s="8">
        <v>46043.83486111111</v>
      </c>
      <c r="D523" s="3">
        <v>5.0</v>
      </c>
      <c r="I523" s="3" t="s">
        <v>571</v>
      </c>
    </row>
    <row r="524" ht="15.75" customHeight="1">
      <c r="A524" s="3" t="s">
        <v>3903</v>
      </c>
      <c r="B524" s="3" t="s">
        <v>14</v>
      </c>
      <c r="C524" s="8">
        <v>46043.8408912037</v>
      </c>
      <c r="D524" s="3">
        <v>1.0</v>
      </c>
      <c r="I524" s="3" t="s">
        <v>571</v>
      </c>
    </row>
    <row r="525" ht="15.75" customHeight="1">
      <c r="A525" s="3" t="s">
        <v>3904</v>
      </c>
      <c r="B525" s="3" t="s">
        <v>259</v>
      </c>
      <c r="C525" s="8">
        <v>46043.86513888889</v>
      </c>
      <c r="D525" s="3">
        <v>1.0</v>
      </c>
      <c r="I525" s="3" t="s">
        <v>571</v>
      </c>
    </row>
    <row r="526" ht="15.75" customHeight="1">
      <c r="A526" s="3" t="s">
        <v>3905</v>
      </c>
      <c r="B526" s="3" t="s">
        <v>256</v>
      </c>
      <c r="C526" s="8">
        <v>46043.86554398148</v>
      </c>
      <c r="D526" s="3">
        <v>2.0</v>
      </c>
      <c r="I526" s="3" t="s">
        <v>571</v>
      </c>
    </row>
    <row r="527" ht="15.75" customHeight="1">
      <c r="A527" s="3" t="s">
        <v>3906</v>
      </c>
      <c r="B527" s="3" t="s">
        <v>259</v>
      </c>
      <c r="C527" s="8">
        <v>46043.86659722222</v>
      </c>
      <c r="D527" s="3">
        <v>1.0</v>
      </c>
      <c r="I527" s="3" t="s">
        <v>571</v>
      </c>
    </row>
    <row r="528" ht="15.75" customHeight="1">
      <c r="A528" s="3" t="s">
        <v>3907</v>
      </c>
      <c r="B528" s="3" t="s">
        <v>259</v>
      </c>
      <c r="C528" s="8">
        <v>46043.87104166667</v>
      </c>
      <c r="D528" s="3">
        <v>2.0</v>
      </c>
      <c r="I528" s="3" t="s">
        <v>571</v>
      </c>
    </row>
    <row r="529" ht="15.75" customHeight="1">
      <c r="A529" s="3" t="s">
        <v>3908</v>
      </c>
      <c r="B529" s="3" t="s">
        <v>256</v>
      </c>
      <c r="C529" s="8">
        <v>46043.87188657407</v>
      </c>
      <c r="D529" s="3">
        <v>3.0</v>
      </c>
      <c r="I529" s="3" t="s">
        <v>571</v>
      </c>
    </row>
    <row r="530" ht="15.75" customHeight="1">
      <c r="A530" s="3" t="s">
        <v>3909</v>
      </c>
      <c r="B530" s="3" t="s">
        <v>14</v>
      </c>
      <c r="C530" s="8">
        <v>46043.87226851852</v>
      </c>
      <c r="D530" s="3">
        <v>1.0</v>
      </c>
      <c r="I530" s="3" t="s">
        <v>571</v>
      </c>
    </row>
    <row r="531" ht="15.75" customHeight="1">
      <c r="A531" s="3" t="s">
        <v>3910</v>
      </c>
      <c r="B531" s="3" t="s">
        <v>36</v>
      </c>
      <c r="C531" s="8">
        <v>46043.87288194444</v>
      </c>
      <c r="D531" s="3">
        <v>1.0</v>
      </c>
      <c r="I531" s="3" t="s">
        <v>571</v>
      </c>
    </row>
    <row r="532" ht="15.75" customHeight="1">
      <c r="A532" s="3" t="s">
        <v>3911</v>
      </c>
      <c r="B532" s="3" t="s">
        <v>165</v>
      </c>
      <c r="C532" s="8">
        <v>46044.72100694444</v>
      </c>
      <c r="D532" s="3">
        <v>24.0</v>
      </c>
      <c r="E532" s="3" t="s">
        <v>3912</v>
      </c>
      <c r="I532" s="3" t="s">
        <v>571</v>
      </c>
    </row>
    <row r="533" ht="15.75" customHeight="1">
      <c r="A533" s="3" t="s">
        <v>3913</v>
      </c>
      <c r="B533" s="3" t="s">
        <v>298</v>
      </c>
      <c r="C533" s="8">
        <v>46044.72104166666</v>
      </c>
      <c r="D533" s="3">
        <v>24.0</v>
      </c>
      <c r="E533" s="3" t="s">
        <v>3912</v>
      </c>
      <c r="I533" s="3" t="s">
        <v>571</v>
      </c>
    </row>
    <row r="534" ht="15.75" customHeight="1">
      <c r="A534" s="3" t="s">
        <v>3914</v>
      </c>
      <c r="B534" s="3" t="s">
        <v>192</v>
      </c>
      <c r="C534" s="8">
        <v>46044.72166666666</v>
      </c>
      <c r="D534" s="3">
        <v>72.0</v>
      </c>
      <c r="E534" s="3" t="s">
        <v>3915</v>
      </c>
      <c r="I534" s="3" t="s">
        <v>571</v>
      </c>
    </row>
    <row r="535" ht="15.75" customHeight="1">
      <c r="A535" s="3" t="s">
        <v>3916</v>
      </c>
      <c r="B535" s="3" t="s">
        <v>195</v>
      </c>
      <c r="C535" s="8">
        <v>46044.7222800926</v>
      </c>
      <c r="D535" s="3">
        <v>36.0</v>
      </c>
      <c r="E535" s="3" t="s">
        <v>3917</v>
      </c>
      <c r="I535" s="3" t="s">
        <v>571</v>
      </c>
    </row>
    <row r="536" ht="15.75" customHeight="1">
      <c r="A536" s="3" t="s">
        <v>3918</v>
      </c>
      <c r="B536" s="3" t="s">
        <v>241</v>
      </c>
      <c r="C536" s="8">
        <v>46044.7229050926</v>
      </c>
      <c r="D536" s="3">
        <v>24.0</v>
      </c>
      <c r="E536" s="3" t="s">
        <v>3919</v>
      </c>
      <c r="I536" s="3" t="s">
        <v>571</v>
      </c>
    </row>
    <row r="537" ht="15.75" customHeight="1">
      <c r="A537" s="3" t="s">
        <v>3920</v>
      </c>
      <c r="B537" s="3" t="s">
        <v>14</v>
      </c>
      <c r="C537" s="8">
        <v>46044.72322916667</v>
      </c>
      <c r="D537" s="3">
        <v>20.0</v>
      </c>
      <c r="E537" s="3" t="s">
        <v>3921</v>
      </c>
      <c r="I537" s="3" t="s">
        <v>571</v>
      </c>
    </row>
    <row r="538" ht="15.75" customHeight="1">
      <c r="A538" s="3" t="s">
        <v>3922</v>
      </c>
      <c r="B538" s="3" t="s">
        <v>14</v>
      </c>
      <c r="C538" s="8">
        <v>46044.72439814815</v>
      </c>
      <c r="D538" s="3">
        <v>60.0</v>
      </c>
      <c r="E538" s="3" t="s">
        <v>3923</v>
      </c>
      <c r="I538" s="3" t="s">
        <v>571</v>
      </c>
    </row>
    <row r="539" ht="15.75" customHeight="1">
      <c r="A539" s="3" t="s">
        <v>3924</v>
      </c>
      <c r="B539" s="3" t="s">
        <v>142</v>
      </c>
      <c r="C539" s="8">
        <v>46044.72490740741</v>
      </c>
      <c r="D539" s="3">
        <v>24.0</v>
      </c>
      <c r="E539" s="3" t="s">
        <v>3925</v>
      </c>
      <c r="I539" s="3" t="s">
        <v>571</v>
      </c>
    </row>
    <row r="540" ht="15.75" customHeight="1">
      <c r="A540" s="3" t="s">
        <v>3926</v>
      </c>
      <c r="B540" s="3" t="s">
        <v>3927</v>
      </c>
      <c r="C540" s="8">
        <v>46049.63288194445</v>
      </c>
      <c r="D540" s="3">
        <v>20.0</v>
      </c>
      <c r="E540" s="3" t="s">
        <v>3928</v>
      </c>
      <c r="I540" s="3" t="s">
        <v>571</v>
      </c>
    </row>
    <row r="541" ht="15.75" customHeight="1">
      <c r="A541" s="3" t="s">
        <v>3929</v>
      </c>
      <c r="B541" s="3" t="s">
        <v>283</v>
      </c>
      <c r="C541" s="8">
        <v>46049.72775462963</v>
      </c>
      <c r="D541" s="3">
        <v>24.0</v>
      </c>
      <c r="E541" s="3" t="s">
        <v>3930</v>
      </c>
      <c r="I541" s="3" t="s">
        <v>571</v>
      </c>
    </row>
    <row r="542" ht="15.75" customHeight="1">
      <c r="A542" s="3" t="s">
        <v>3931</v>
      </c>
      <c r="B542" s="3" t="s">
        <v>211</v>
      </c>
      <c r="C542" s="8">
        <v>46049.72817129629</v>
      </c>
      <c r="D542" s="3">
        <v>25.0</v>
      </c>
      <c r="E542" s="3" t="s">
        <v>3932</v>
      </c>
      <c r="I542" s="3" t="s">
        <v>571</v>
      </c>
    </row>
    <row r="543" ht="15.75" customHeight="1">
      <c r="A543" s="3" t="s">
        <v>3933</v>
      </c>
      <c r="B543" s="3" t="s">
        <v>214</v>
      </c>
      <c r="C543" s="8">
        <v>46049.72913194444</v>
      </c>
      <c r="D543" s="3">
        <v>300.0</v>
      </c>
      <c r="E543" s="3" t="s">
        <v>3934</v>
      </c>
      <c r="I543" s="3" t="s">
        <v>571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57"/>
    <col customWidth="1" min="4" max="4" width="22.71"/>
    <col customWidth="1" min="5" max="5" width="16.71"/>
    <col customWidth="1" min="6" max="26" width="8.71"/>
  </cols>
  <sheetData>
    <row r="1">
      <c r="A1" s="1" t="s">
        <v>3935</v>
      </c>
      <c r="B1" s="1" t="s">
        <v>561</v>
      </c>
      <c r="C1" s="1" t="s">
        <v>566</v>
      </c>
      <c r="D1" s="1" t="s">
        <v>3343</v>
      </c>
      <c r="E1" s="1" t="s">
        <v>3344</v>
      </c>
      <c r="F1" s="1" t="s">
        <v>3936</v>
      </c>
      <c r="G1" s="1" t="s">
        <v>3937</v>
      </c>
    </row>
    <row r="2">
      <c r="A2" s="3" t="s">
        <v>3938</v>
      </c>
      <c r="B2" s="8">
        <v>46044.0</v>
      </c>
      <c r="C2" s="3" t="s">
        <v>571</v>
      </c>
      <c r="D2" s="3" t="s">
        <v>570</v>
      </c>
      <c r="E2" s="2" t="s">
        <v>3761</v>
      </c>
      <c r="F2" s="3" t="s">
        <v>3939</v>
      </c>
    </row>
    <row r="3">
      <c r="A3" s="3" t="s">
        <v>3940</v>
      </c>
      <c r="B3" s="8">
        <v>46044.0</v>
      </c>
      <c r="C3" s="3" t="s">
        <v>571</v>
      </c>
      <c r="D3" s="3" t="s">
        <v>570</v>
      </c>
      <c r="E3" s="2" t="s">
        <v>3761</v>
      </c>
      <c r="F3" s="3" t="s">
        <v>3939</v>
      </c>
    </row>
    <row r="4">
      <c r="A4" s="3" t="s">
        <v>3941</v>
      </c>
      <c r="B4" s="8">
        <v>46048.0</v>
      </c>
      <c r="C4" s="3" t="s">
        <v>571</v>
      </c>
      <c r="D4" s="3" t="s">
        <v>570</v>
      </c>
      <c r="E4" s="2" t="s">
        <v>3761</v>
      </c>
      <c r="F4" s="3" t="s">
        <v>3939</v>
      </c>
    </row>
    <row r="5">
      <c r="A5" s="3" t="s">
        <v>3942</v>
      </c>
      <c r="B5" s="8">
        <v>46049.0</v>
      </c>
      <c r="C5" s="3" t="s">
        <v>571</v>
      </c>
      <c r="D5" s="3" t="s">
        <v>570</v>
      </c>
      <c r="E5" s="2" t="s">
        <v>3761</v>
      </c>
      <c r="F5" s="3" t="s">
        <v>3939</v>
      </c>
    </row>
    <row r="6">
      <c r="A6" s="2" t="s">
        <v>3943</v>
      </c>
      <c r="B6" s="9">
        <v>46051.0</v>
      </c>
      <c r="C6" s="2" t="s">
        <v>571</v>
      </c>
      <c r="D6" s="2" t="s">
        <v>570</v>
      </c>
      <c r="E6" s="2" t="s">
        <v>3761</v>
      </c>
      <c r="F6" s="2" t="s">
        <v>3939</v>
      </c>
    </row>
    <row r="7">
      <c r="A7" s="2" t="s">
        <v>3944</v>
      </c>
      <c r="B7" s="9">
        <v>46051.0</v>
      </c>
      <c r="C7" s="2" t="s">
        <v>571</v>
      </c>
      <c r="D7" s="2" t="s">
        <v>570</v>
      </c>
      <c r="E7" s="2" t="s">
        <v>3761</v>
      </c>
      <c r="F7" s="2" t="s">
        <v>3939</v>
      </c>
    </row>
    <row r="8">
      <c r="A8" s="2" t="s">
        <v>3945</v>
      </c>
      <c r="B8" s="9">
        <v>46051.0</v>
      </c>
      <c r="C8" s="2" t="s">
        <v>571</v>
      </c>
      <c r="D8" s="2" t="s">
        <v>570</v>
      </c>
      <c r="E8" s="2" t="s">
        <v>3761</v>
      </c>
      <c r="F8" s="2" t="s">
        <v>3939</v>
      </c>
    </row>
    <row r="9">
      <c r="A9" s="2" t="s">
        <v>3946</v>
      </c>
      <c r="B9" s="9">
        <v>46051.0</v>
      </c>
      <c r="C9" s="2" t="s">
        <v>571</v>
      </c>
      <c r="D9" s="2" t="s">
        <v>570</v>
      </c>
      <c r="E9" s="2" t="s">
        <v>3761</v>
      </c>
      <c r="F9" s="2" t="s">
        <v>3939</v>
      </c>
    </row>
    <row r="10">
      <c r="A10" s="2" t="s">
        <v>3947</v>
      </c>
      <c r="B10" s="9">
        <v>46051.0</v>
      </c>
      <c r="C10" s="2" t="s">
        <v>571</v>
      </c>
      <c r="D10" s="2" t="s">
        <v>570</v>
      </c>
      <c r="E10" s="2" t="s">
        <v>3761</v>
      </c>
      <c r="F10" s="2" t="s">
        <v>3939</v>
      </c>
    </row>
    <row r="11">
      <c r="A11" s="2" t="s">
        <v>3948</v>
      </c>
      <c r="B11" s="9">
        <v>46051.0</v>
      </c>
      <c r="C11" s="2" t="s">
        <v>571</v>
      </c>
      <c r="D11" s="2" t="s">
        <v>570</v>
      </c>
      <c r="E11" s="2" t="s">
        <v>3761</v>
      </c>
      <c r="F11" s="2" t="s">
        <v>3939</v>
      </c>
    </row>
    <row r="12">
      <c r="A12" s="2" t="s">
        <v>3949</v>
      </c>
      <c r="B12" s="9">
        <v>46051.0</v>
      </c>
      <c r="C12" s="2" t="s">
        <v>571</v>
      </c>
      <c r="D12" s="2" t="s">
        <v>570</v>
      </c>
      <c r="E12" s="2" t="s">
        <v>3761</v>
      </c>
      <c r="F12" s="2" t="s">
        <v>3939</v>
      </c>
    </row>
    <row r="13">
      <c r="A13" s="2" t="s">
        <v>3950</v>
      </c>
      <c r="B13" s="9">
        <v>46051.0</v>
      </c>
      <c r="C13" s="2" t="s">
        <v>571</v>
      </c>
      <c r="D13" s="2" t="s">
        <v>570</v>
      </c>
      <c r="E13" s="2" t="s">
        <v>3761</v>
      </c>
      <c r="F13" s="2" t="s">
        <v>3939</v>
      </c>
    </row>
    <row r="14">
      <c r="A14" s="2" t="s">
        <v>3951</v>
      </c>
      <c r="B14" s="9">
        <v>46051.0</v>
      </c>
      <c r="C14" s="2" t="s">
        <v>571</v>
      </c>
      <c r="D14" s="2" t="s">
        <v>570</v>
      </c>
      <c r="E14" s="2" t="s">
        <v>3761</v>
      </c>
      <c r="F14" s="2" t="s">
        <v>3939</v>
      </c>
    </row>
    <row r="15">
      <c r="A15" s="2" t="s">
        <v>3952</v>
      </c>
      <c r="B15" s="9">
        <v>46110.0</v>
      </c>
      <c r="C15" s="2" t="s">
        <v>571</v>
      </c>
      <c r="D15" s="2" t="s">
        <v>570</v>
      </c>
      <c r="E15" s="2" t="s">
        <v>3761</v>
      </c>
      <c r="F15" s="2" t="s">
        <v>3939</v>
      </c>
    </row>
    <row r="16">
      <c r="A16" s="2" t="s">
        <v>3953</v>
      </c>
      <c r="B16" s="9">
        <v>46110.0</v>
      </c>
      <c r="C16" s="2" t="s">
        <v>571</v>
      </c>
      <c r="D16" s="2" t="s">
        <v>570</v>
      </c>
      <c r="E16" s="2" t="s">
        <v>3761</v>
      </c>
      <c r="F16" s="2" t="s">
        <v>3939</v>
      </c>
    </row>
    <row r="17">
      <c r="A17" s="2" t="s">
        <v>3954</v>
      </c>
      <c r="B17" s="9">
        <v>46110.0</v>
      </c>
      <c r="C17" s="2" t="s">
        <v>571</v>
      </c>
      <c r="D17" s="2" t="s">
        <v>570</v>
      </c>
      <c r="E17" s="2" t="s">
        <v>3761</v>
      </c>
      <c r="F17" s="2" t="s">
        <v>3939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43"/>
    <col customWidth="1" min="3" max="26" width="8.71"/>
  </cols>
  <sheetData>
    <row r="1">
      <c r="A1" s="1" t="s">
        <v>3955</v>
      </c>
      <c r="B1" s="1" t="s">
        <v>3935</v>
      </c>
      <c r="C1" s="1" t="s">
        <v>0</v>
      </c>
      <c r="D1" s="1" t="s">
        <v>562</v>
      </c>
    </row>
    <row r="2">
      <c r="A2" s="3" t="s">
        <v>3956</v>
      </c>
      <c r="B2" s="3" t="s">
        <v>3942</v>
      </c>
      <c r="C2" s="3" t="s">
        <v>259</v>
      </c>
      <c r="D2" s="3">
        <v>5.0</v>
      </c>
    </row>
    <row r="3">
      <c r="A3" s="3" t="s">
        <v>3957</v>
      </c>
      <c r="B3" s="3" t="s">
        <v>3942</v>
      </c>
      <c r="C3" s="3" t="s">
        <v>256</v>
      </c>
      <c r="D3" s="3">
        <v>2.0</v>
      </c>
    </row>
    <row r="4">
      <c r="A4" s="3" t="s">
        <v>3958</v>
      </c>
      <c r="C4" s="3" t="s">
        <v>259</v>
      </c>
      <c r="D4" s="3">
        <v>1.0</v>
      </c>
    </row>
    <row r="5">
      <c r="A5" s="2" t="s">
        <v>3959</v>
      </c>
      <c r="C5" s="2" t="s">
        <v>220</v>
      </c>
      <c r="D5" s="2">
        <v>3.0</v>
      </c>
    </row>
    <row r="6">
      <c r="A6" s="2" t="s">
        <v>3960</v>
      </c>
      <c r="C6" s="5" t="s">
        <v>202</v>
      </c>
      <c r="D6" s="2">
        <v>2.0</v>
      </c>
    </row>
    <row r="7">
      <c r="A7" s="2" t="s">
        <v>3961</v>
      </c>
      <c r="C7" s="5" t="s">
        <v>202</v>
      </c>
      <c r="D7" s="2">
        <v>-5.0</v>
      </c>
    </row>
    <row r="8">
      <c r="A8" s="2" t="s">
        <v>3962</v>
      </c>
      <c r="C8" s="5" t="s">
        <v>202</v>
      </c>
      <c r="D8" s="2">
        <v>1.0</v>
      </c>
    </row>
    <row r="9">
      <c r="A9" s="2" t="s">
        <v>3963</v>
      </c>
      <c r="C9" s="2" t="s">
        <v>220</v>
      </c>
      <c r="D9" s="2">
        <v>3.0</v>
      </c>
    </row>
    <row r="10">
      <c r="A10" s="2" t="s">
        <v>3964</v>
      </c>
      <c r="C10" s="5" t="s">
        <v>202</v>
      </c>
      <c r="D10" s="2">
        <v>2.0</v>
      </c>
    </row>
    <row r="11">
      <c r="A11" s="2" t="s">
        <v>3965</v>
      </c>
      <c r="C11" s="5" t="s">
        <v>202</v>
      </c>
      <c r="D11" s="2">
        <v>1.0</v>
      </c>
    </row>
    <row r="12">
      <c r="A12" s="2" t="s">
        <v>3966</v>
      </c>
      <c r="B12" s="2" t="s">
        <v>3951</v>
      </c>
      <c r="C12" s="5" t="s">
        <v>202</v>
      </c>
      <c r="D12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3967</v>
      </c>
      <c r="B1" s="1" t="s">
        <v>561</v>
      </c>
      <c r="C1" s="1" t="s">
        <v>566</v>
      </c>
      <c r="D1" s="1" t="s">
        <v>3968</v>
      </c>
      <c r="E1" s="1" t="s">
        <v>3969</v>
      </c>
      <c r="F1" s="1" t="s">
        <v>3970</v>
      </c>
      <c r="G1" s="1" t="s">
        <v>3971</v>
      </c>
      <c r="H1" s="1" t="s">
        <v>3937</v>
      </c>
    </row>
    <row r="2">
      <c r="A2" s="3" t="s">
        <v>3632</v>
      </c>
      <c r="B2" s="8">
        <v>46022.0</v>
      </c>
      <c r="C2" s="3" t="s">
        <v>599</v>
      </c>
      <c r="D2" s="10" t="s">
        <v>3972</v>
      </c>
      <c r="E2" s="3">
        <v>9.0</v>
      </c>
      <c r="F2" s="3">
        <v>7.0</v>
      </c>
      <c r="G2" s="3" t="s">
        <v>3973</v>
      </c>
    </row>
    <row r="3">
      <c r="A3" s="3" t="s">
        <v>3662</v>
      </c>
      <c r="B3" s="8">
        <v>46021.0</v>
      </c>
      <c r="C3" s="3" t="s">
        <v>599</v>
      </c>
      <c r="D3" s="10" t="s">
        <v>3974</v>
      </c>
      <c r="E3" s="3">
        <v>110.0</v>
      </c>
      <c r="F3" s="3">
        <v>108.0</v>
      </c>
      <c r="G3" s="3" t="s">
        <v>3975</v>
      </c>
    </row>
    <row r="4">
      <c r="A4" s="3" t="s">
        <v>3664</v>
      </c>
      <c r="B4" s="8">
        <v>46021.0</v>
      </c>
      <c r="C4" s="3" t="s">
        <v>599</v>
      </c>
      <c r="D4" s="10" t="s">
        <v>3976</v>
      </c>
      <c r="E4" s="3">
        <v>402.0</v>
      </c>
      <c r="F4" s="3">
        <v>254.0</v>
      </c>
      <c r="G4" s="3" t="s">
        <v>3977</v>
      </c>
    </row>
    <row r="5">
      <c r="A5" s="3" t="s">
        <v>3673</v>
      </c>
      <c r="B5" s="8">
        <v>46021.0</v>
      </c>
      <c r="C5" s="3" t="s">
        <v>599</v>
      </c>
      <c r="D5" s="10" t="s">
        <v>3978</v>
      </c>
      <c r="E5" s="3">
        <v>323.0</v>
      </c>
      <c r="F5" s="3">
        <v>167.0</v>
      </c>
      <c r="G5" s="3" t="s">
        <v>3979</v>
      </c>
    </row>
    <row r="6">
      <c r="A6" s="3" t="s">
        <v>3695</v>
      </c>
      <c r="B6" s="8">
        <v>46023.0</v>
      </c>
      <c r="C6" s="3" t="s">
        <v>599</v>
      </c>
      <c r="D6" s="10" t="s">
        <v>3976</v>
      </c>
      <c r="E6" s="3">
        <v>138.0</v>
      </c>
      <c r="F6" s="3">
        <v>128.0</v>
      </c>
      <c r="G6" s="3" t="s">
        <v>3980</v>
      </c>
    </row>
    <row r="7">
      <c r="A7" s="3" t="s">
        <v>3699</v>
      </c>
      <c r="B7" s="8">
        <v>46022.0</v>
      </c>
      <c r="C7" s="3" t="s">
        <v>599</v>
      </c>
      <c r="D7" s="10" t="s">
        <v>3981</v>
      </c>
      <c r="E7" s="3">
        <v>22.0</v>
      </c>
      <c r="F7" s="3">
        <v>18.0</v>
      </c>
      <c r="G7" s="3" t="s">
        <v>3982</v>
      </c>
    </row>
    <row r="8">
      <c r="A8" s="3" t="s">
        <v>3701</v>
      </c>
      <c r="B8" s="8">
        <v>46023.0</v>
      </c>
      <c r="C8" s="3" t="s">
        <v>599</v>
      </c>
      <c r="D8" s="10" t="s">
        <v>3983</v>
      </c>
      <c r="E8" s="3">
        <v>45.0</v>
      </c>
      <c r="F8" s="3">
        <v>36.0</v>
      </c>
      <c r="G8" s="3" t="s">
        <v>3984</v>
      </c>
    </row>
    <row r="9">
      <c r="A9" s="3" t="s">
        <v>3729</v>
      </c>
      <c r="B9" s="8">
        <v>46024.0</v>
      </c>
      <c r="C9" s="3" t="s">
        <v>571</v>
      </c>
      <c r="D9" s="10" t="s">
        <v>3985</v>
      </c>
      <c r="E9" s="3">
        <v>224.0</v>
      </c>
      <c r="F9" s="3">
        <v>205.0</v>
      </c>
      <c r="G9" s="3" t="s">
        <v>3986</v>
      </c>
    </row>
    <row r="10">
      <c r="A10" s="3" t="s">
        <v>3732</v>
      </c>
      <c r="B10" s="8">
        <v>46024.0</v>
      </c>
      <c r="C10" s="3" t="s">
        <v>571</v>
      </c>
      <c r="D10" s="10" t="s">
        <v>3985</v>
      </c>
      <c r="E10" s="3">
        <v>87.0</v>
      </c>
      <c r="F10" s="3">
        <v>83.0</v>
      </c>
      <c r="G10" s="3" t="s">
        <v>3987</v>
      </c>
    </row>
    <row r="12">
      <c r="A12" s="3" t="s">
        <v>3737</v>
      </c>
      <c r="B12" s="8">
        <v>46025.0</v>
      </c>
      <c r="C12" s="3" t="s">
        <v>571</v>
      </c>
      <c r="D12" s="10" t="s">
        <v>3988</v>
      </c>
      <c r="E12" s="3">
        <v>1456.0</v>
      </c>
      <c r="F12" s="3">
        <v>432.0</v>
      </c>
      <c r="G12" s="3" t="s">
        <v>3989</v>
      </c>
    </row>
    <row r="13">
      <c r="A13" s="3" t="s">
        <v>3740</v>
      </c>
      <c r="B13" s="8">
        <v>46025.0</v>
      </c>
      <c r="C13" s="3" t="s">
        <v>571</v>
      </c>
      <c r="E13" s="3">
        <v>732.0</v>
      </c>
      <c r="F13" s="3">
        <v>112.0</v>
      </c>
      <c r="G13" s="3" t="s">
        <v>3990</v>
      </c>
    </row>
    <row r="14">
      <c r="A14" s="3" t="s">
        <v>3747</v>
      </c>
      <c r="B14" s="8">
        <v>46025.0</v>
      </c>
      <c r="C14" s="3" t="s">
        <v>571</v>
      </c>
      <c r="D14" s="10" t="s">
        <v>3991</v>
      </c>
      <c r="E14" s="3">
        <v>722.0</v>
      </c>
      <c r="F14" s="3">
        <v>535.0</v>
      </c>
      <c r="G14" s="3" t="s">
        <v>3992</v>
      </c>
    </row>
    <row r="15">
      <c r="A15" s="3" t="s">
        <v>3993</v>
      </c>
      <c r="B15" s="8">
        <v>46025.0</v>
      </c>
      <c r="C15" s="3" t="s">
        <v>571</v>
      </c>
      <c r="E15" s="3">
        <v>114.0</v>
      </c>
      <c r="F15" s="3">
        <v>108.0</v>
      </c>
      <c r="G15" s="3" t="s">
        <v>3994</v>
      </c>
    </row>
    <row r="16">
      <c r="A16" s="3" t="s">
        <v>3805</v>
      </c>
      <c r="B16" s="8">
        <v>46026.0</v>
      </c>
      <c r="C16" s="3" t="s">
        <v>571</v>
      </c>
      <c r="D16" s="10" t="s">
        <v>3991</v>
      </c>
      <c r="E16" s="3">
        <v>400.0</v>
      </c>
      <c r="F16" s="3">
        <v>126.0</v>
      </c>
      <c r="G16" s="3" t="s">
        <v>3995</v>
      </c>
    </row>
    <row r="17">
      <c r="A17" s="3" t="s">
        <v>3819</v>
      </c>
      <c r="B17" s="8">
        <v>46026.0</v>
      </c>
      <c r="C17" s="3" t="s">
        <v>571</v>
      </c>
      <c r="D17" s="10" t="s">
        <v>3988</v>
      </c>
      <c r="E17" s="3">
        <v>501.0</v>
      </c>
      <c r="F17" s="3">
        <v>333.0</v>
      </c>
      <c r="G17" s="3" t="s">
        <v>3996</v>
      </c>
    </row>
    <row r="18">
      <c r="A18" s="3" t="s">
        <v>3836</v>
      </c>
      <c r="B18" s="8">
        <v>46027.0</v>
      </c>
      <c r="C18" s="3" t="s">
        <v>571</v>
      </c>
      <c r="E18" s="3">
        <v>488.0</v>
      </c>
      <c r="F18" s="3">
        <v>445.0</v>
      </c>
      <c r="G18" s="3" t="s">
        <v>3997</v>
      </c>
    </row>
    <row r="19">
      <c r="A19" s="3" t="s">
        <v>3842</v>
      </c>
      <c r="B19" s="8">
        <v>46027.0</v>
      </c>
      <c r="C19" s="3" t="s">
        <v>571</v>
      </c>
      <c r="D19" s="10" t="s">
        <v>3991</v>
      </c>
      <c r="E19" s="3">
        <v>162.0</v>
      </c>
      <c r="F19" s="3">
        <v>162.0</v>
      </c>
      <c r="G19" s="3" t="s">
        <v>3998</v>
      </c>
    </row>
    <row r="20">
      <c r="A20" s="3" t="s">
        <v>3844</v>
      </c>
      <c r="B20" s="8">
        <v>46027.0</v>
      </c>
      <c r="C20" s="3" t="s">
        <v>571</v>
      </c>
      <c r="E20" s="3">
        <v>12.0</v>
      </c>
      <c r="F20" s="3">
        <v>11.0</v>
      </c>
      <c r="G20" s="3" t="s">
        <v>3999</v>
      </c>
    </row>
    <row r="21" ht="15.75" customHeight="1">
      <c r="A21" s="3" t="s">
        <v>3847</v>
      </c>
      <c r="B21" s="8">
        <v>46027.0</v>
      </c>
      <c r="C21" s="3" t="s">
        <v>571</v>
      </c>
      <c r="D21" s="10" t="s">
        <v>3988</v>
      </c>
      <c r="E21" s="3">
        <v>245.0</v>
      </c>
      <c r="F21" s="3">
        <v>148.0</v>
      </c>
      <c r="G21" s="3" t="s">
        <v>4000</v>
      </c>
    </row>
    <row r="22" ht="15.75" customHeight="1">
      <c r="A22" s="3" t="s">
        <v>3854</v>
      </c>
      <c r="B22" s="8">
        <v>46027.0</v>
      </c>
      <c r="C22" s="3" t="s">
        <v>571</v>
      </c>
      <c r="D22" s="10" t="s">
        <v>4001</v>
      </c>
      <c r="E22" s="3">
        <v>105.0</v>
      </c>
      <c r="F22" s="3">
        <v>108.0</v>
      </c>
      <c r="G22" s="3" t="s">
        <v>4002</v>
      </c>
    </row>
    <row r="23" ht="15.75" customHeight="1">
      <c r="A23" s="3" t="s">
        <v>3887</v>
      </c>
      <c r="B23" s="8">
        <v>46032.0</v>
      </c>
      <c r="C23" s="3" t="s">
        <v>571</v>
      </c>
      <c r="D23" s="10" t="s">
        <v>3988</v>
      </c>
      <c r="E23" s="3">
        <v>158.0</v>
      </c>
      <c r="F23" s="3">
        <v>0.0</v>
      </c>
      <c r="G23" s="3" t="s">
        <v>4003</v>
      </c>
    </row>
    <row r="24" ht="15.75" customHeight="1">
      <c r="A24" s="3" t="s">
        <v>3889</v>
      </c>
      <c r="B24" s="8">
        <v>46032.0</v>
      </c>
      <c r="C24" s="3" t="s">
        <v>571</v>
      </c>
      <c r="D24" s="10" t="s">
        <v>3991</v>
      </c>
      <c r="E24" s="3">
        <v>979.0</v>
      </c>
      <c r="F24" s="3">
        <v>755.0</v>
      </c>
      <c r="G24" s="3" t="s">
        <v>4004</v>
      </c>
    </row>
    <row r="25" ht="15.75" customHeight="1">
      <c r="A25" s="3" t="s">
        <v>3898</v>
      </c>
      <c r="B25" s="8">
        <v>46039.0</v>
      </c>
      <c r="C25" s="3" t="s">
        <v>571</v>
      </c>
      <c r="E25" s="3">
        <v>762.0</v>
      </c>
      <c r="F25" s="3">
        <v>162.0</v>
      </c>
      <c r="G25" s="3" t="s">
        <v>4005</v>
      </c>
    </row>
    <row r="26" ht="15.75" customHeight="1">
      <c r="A26" s="3" t="s">
        <v>3900</v>
      </c>
      <c r="B26" s="8">
        <v>46039.0</v>
      </c>
      <c r="C26" s="3" t="s">
        <v>571</v>
      </c>
      <c r="E26" s="3">
        <v>232.0</v>
      </c>
      <c r="F26" s="3">
        <v>50.0</v>
      </c>
      <c r="G26" s="3" t="s">
        <v>4006</v>
      </c>
    </row>
    <row r="27" ht="15.75" customHeight="1">
      <c r="A27" s="3" t="s">
        <v>3912</v>
      </c>
      <c r="B27" s="8">
        <v>46044.0</v>
      </c>
      <c r="C27" s="3" t="s">
        <v>571</v>
      </c>
      <c r="D27" s="10" t="s">
        <v>3991</v>
      </c>
      <c r="E27" s="3">
        <v>562.0</v>
      </c>
      <c r="F27" s="3">
        <v>100.0</v>
      </c>
      <c r="G27" s="3" t="s">
        <v>4007</v>
      </c>
    </row>
    <row r="28" ht="15.75" customHeight="1">
      <c r="A28" s="3" t="s">
        <v>3915</v>
      </c>
      <c r="B28" s="8">
        <v>46044.0</v>
      </c>
      <c r="C28" s="3" t="s">
        <v>571</v>
      </c>
      <c r="E28" s="3">
        <v>652.0</v>
      </c>
      <c r="F28" s="3">
        <v>252.0</v>
      </c>
      <c r="G28" s="3" t="s">
        <v>4008</v>
      </c>
    </row>
    <row r="29" ht="15.75" customHeight="1">
      <c r="A29" s="3" t="s">
        <v>3917</v>
      </c>
      <c r="B29" s="8">
        <v>46044.0</v>
      </c>
      <c r="C29" s="3" t="s">
        <v>571</v>
      </c>
      <c r="D29" s="10" t="s">
        <v>3988</v>
      </c>
      <c r="E29" s="3">
        <v>719.0</v>
      </c>
      <c r="F29" s="3">
        <v>210.0</v>
      </c>
      <c r="G29" s="3" t="s">
        <v>4009</v>
      </c>
    </row>
    <row r="30" ht="15.75" customHeight="1">
      <c r="A30" s="3" t="s">
        <v>3919</v>
      </c>
      <c r="B30" s="8">
        <v>46044.0</v>
      </c>
      <c r="C30" s="3" t="s">
        <v>571</v>
      </c>
      <c r="D30" s="10" t="s">
        <v>3988</v>
      </c>
      <c r="E30" s="3">
        <v>531.0</v>
      </c>
      <c r="F30" s="3">
        <v>42.0</v>
      </c>
      <c r="G30" s="3" t="s">
        <v>4010</v>
      </c>
    </row>
    <row r="31" ht="15.75" customHeight="1">
      <c r="A31" s="3" t="s">
        <v>3921</v>
      </c>
      <c r="B31" s="8">
        <v>46044.0</v>
      </c>
      <c r="C31" s="3" t="s">
        <v>571</v>
      </c>
      <c r="D31" s="10" t="s">
        <v>3988</v>
      </c>
      <c r="E31" s="3">
        <v>94.0</v>
      </c>
      <c r="F31" s="3">
        <v>94.0</v>
      </c>
      <c r="G31" s="3" t="s">
        <v>4011</v>
      </c>
    </row>
    <row r="32" ht="15.75" customHeight="1">
      <c r="A32" s="3" t="s">
        <v>3923</v>
      </c>
      <c r="B32" s="8">
        <v>46044.0</v>
      </c>
      <c r="C32" s="3" t="s">
        <v>571</v>
      </c>
      <c r="D32" s="10" t="s">
        <v>3988</v>
      </c>
      <c r="E32" s="3">
        <v>487.0</v>
      </c>
      <c r="F32" s="3">
        <v>282.0</v>
      </c>
      <c r="G32" s="3" t="s">
        <v>4012</v>
      </c>
    </row>
    <row r="33" ht="15.75" customHeight="1">
      <c r="A33" s="3" t="s">
        <v>3925</v>
      </c>
      <c r="B33" s="8">
        <v>46044.0</v>
      </c>
      <c r="C33" s="3" t="s">
        <v>571</v>
      </c>
      <c r="D33" s="10" t="s">
        <v>4013</v>
      </c>
      <c r="E33" s="3">
        <v>352.0</v>
      </c>
      <c r="F33" s="3">
        <v>54.0</v>
      </c>
      <c r="G33" s="3" t="s">
        <v>4014</v>
      </c>
    </row>
    <row r="34" ht="15.75" customHeight="1">
      <c r="A34" s="3" t="s">
        <v>3928</v>
      </c>
      <c r="B34" s="8">
        <v>46049.0</v>
      </c>
      <c r="C34" s="3" t="s">
        <v>571</v>
      </c>
      <c r="D34" s="10" t="s">
        <v>3991</v>
      </c>
      <c r="E34" s="3">
        <v>175.0</v>
      </c>
      <c r="F34" s="3">
        <v>0.0</v>
      </c>
      <c r="G34" s="3" t="s">
        <v>4015</v>
      </c>
    </row>
    <row r="35" ht="15.75" customHeight="1">
      <c r="A35" s="3" t="s">
        <v>3930</v>
      </c>
      <c r="B35" s="8">
        <v>46049.0</v>
      </c>
      <c r="C35" s="3" t="s">
        <v>571</v>
      </c>
      <c r="D35" s="10" t="s">
        <v>4013</v>
      </c>
      <c r="E35" s="3">
        <v>858.0</v>
      </c>
      <c r="F35" s="3">
        <v>76.0</v>
      </c>
      <c r="G35" s="3" t="s">
        <v>4016</v>
      </c>
    </row>
    <row r="36" ht="15.75" customHeight="1">
      <c r="A36" s="3" t="s">
        <v>3932</v>
      </c>
      <c r="B36" s="8">
        <v>46049.0</v>
      </c>
      <c r="C36" s="3" t="s">
        <v>571</v>
      </c>
      <c r="D36" s="10" t="s">
        <v>3988</v>
      </c>
      <c r="E36" s="3">
        <v>957.0</v>
      </c>
      <c r="F36" s="3">
        <v>122.0</v>
      </c>
      <c r="G36" s="3" t="s">
        <v>4017</v>
      </c>
    </row>
    <row r="37" ht="15.75" customHeight="1">
      <c r="A37" s="3" t="s">
        <v>3934</v>
      </c>
      <c r="B37" s="8">
        <v>46049.0</v>
      </c>
      <c r="C37" s="3" t="s">
        <v>571</v>
      </c>
      <c r="E37" s="3">
        <v>95.0</v>
      </c>
      <c r="F37" s="3">
        <v>90.0</v>
      </c>
      <c r="G37" s="3" t="s">
        <v>4018</v>
      </c>
    </row>
    <row r="38" ht="15.75" customHeight="1">
      <c r="A38" s="2" t="s">
        <v>579</v>
      </c>
      <c r="B38" s="9">
        <v>46052.0</v>
      </c>
      <c r="C38" s="2" t="s">
        <v>571</v>
      </c>
      <c r="D38" s="11" t="s">
        <v>3988</v>
      </c>
      <c r="E38" s="2">
        <v>168.0</v>
      </c>
      <c r="F38" s="2">
        <v>54.0</v>
      </c>
      <c r="G38" s="2" t="s">
        <v>4019</v>
      </c>
    </row>
    <row r="39" ht="15.75" customHeight="1">
      <c r="A39" s="2" t="s">
        <v>581</v>
      </c>
      <c r="B39" s="9">
        <v>46052.0</v>
      </c>
      <c r="C39" s="2" t="s">
        <v>571</v>
      </c>
      <c r="E39" s="2">
        <v>134.0</v>
      </c>
      <c r="F39" s="2">
        <v>100.0</v>
      </c>
      <c r="G39" s="2" t="s">
        <v>4020</v>
      </c>
    </row>
    <row r="40" ht="15.75" customHeight="1">
      <c r="A40" s="2" t="s">
        <v>583</v>
      </c>
      <c r="B40" s="9">
        <v>46053.0</v>
      </c>
      <c r="C40" s="2" t="s">
        <v>571</v>
      </c>
      <c r="D40" s="11" t="s">
        <v>3988</v>
      </c>
      <c r="E40" s="2">
        <v>893.0</v>
      </c>
      <c r="F40" s="2">
        <v>162.0</v>
      </c>
      <c r="G40" s="2" t="s">
        <v>4021</v>
      </c>
    </row>
    <row r="41" ht="15.75" customHeight="1">
      <c r="A41" s="2" t="s">
        <v>4022</v>
      </c>
      <c r="B41" s="9">
        <v>46054.0</v>
      </c>
      <c r="C41" s="2" t="s">
        <v>571</v>
      </c>
      <c r="E41" s="2">
        <v>54.0</v>
      </c>
      <c r="F41" s="2">
        <v>0.0</v>
      </c>
      <c r="G41" s="2" t="s">
        <v>4023</v>
      </c>
    </row>
    <row r="42" ht="15.75" customHeight="1">
      <c r="A42" s="2" t="s">
        <v>4024</v>
      </c>
      <c r="B42" s="9">
        <v>46052.0</v>
      </c>
      <c r="C42" s="2" t="s">
        <v>571</v>
      </c>
      <c r="E42" s="2">
        <v>411.0</v>
      </c>
      <c r="F42" s="2">
        <v>0.0</v>
      </c>
      <c r="G42" s="2" t="s">
        <v>4025</v>
      </c>
    </row>
    <row r="43" ht="15.75" customHeight="1">
      <c r="A43" s="2" t="s">
        <v>585</v>
      </c>
      <c r="B43" s="9">
        <v>46053.0</v>
      </c>
      <c r="C43" s="2" t="s">
        <v>571</v>
      </c>
      <c r="D43" s="11" t="s">
        <v>3991</v>
      </c>
      <c r="E43" s="2">
        <v>598.0</v>
      </c>
      <c r="F43" s="2">
        <v>150.0</v>
      </c>
      <c r="G43" s="2" t="s">
        <v>4026</v>
      </c>
    </row>
    <row r="44" ht="15.75" customHeight="1">
      <c r="A44" s="2" t="s">
        <v>4027</v>
      </c>
      <c r="B44" s="9">
        <v>46053.0</v>
      </c>
      <c r="C44" s="2" t="s">
        <v>571</v>
      </c>
      <c r="D44" s="11" t="s">
        <v>4013</v>
      </c>
      <c r="E44" s="2">
        <v>693.0</v>
      </c>
      <c r="F44" s="2">
        <v>0.0</v>
      </c>
      <c r="G44" s="2" t="s">
        <v>4028</v>
      </c>
    </row>
    <row r="45" ht="15.75" customHeight="1">
      <c r="A45" s="2" t="s">
        <v>4029</v>
      </c>
      <c r="B45" s="9">
        <v>46054.0</v>
      </c>
      <c r="C45" s="2" t="s">
        <v>571</v>
      </c>
      <c r="D45" s="11" t="s">
        <v>3988</v>
      </c>
      <c r="E45" s="2">
        <v>218.0</v>
      </c>
      <c r="F45" s="2">
        <v>0.0</v>
      </c>
      <c r="G45" s="2" t="s">
        <v>4030</v>
      </c>
    </row>
    <row r="46" ht="15.75" customHeight="1">
      <c r="A46" s="2" t="s">
        <v>587</v>
      </c>
      <c r="B46" s="9">
        <v>46055.0</v>
      </c>
      <c r="C46" s="2" t="s">
        <v>571</v>
      </c>
      <c r="E46" s="2">
        <v>902.0</v>
      </c>
      <c r="F46" s="2">
        <v>1.0</v>
      </c>
      <c r="G46" s="2" t="s">
        <v>4031</v>
      </c>
    </row>
    <row r="47" ht="15.75" customHeight="1">
      <c r="A47" s="2" t="s">
        <v>589</v>
      </c>
      <c r="B47" s="9">
        <v>46055.0</v>
      </c>
      <c r="C47" s="2" t="s">
        <v>571</v>
      </c>
      <c r="D47" s="11" t="s">
        <v>4032</v>
      </c>
      <c r="E47" s="2">
        <v>470.0</v>
      </c>
      <c r="F47" s="2">
        <v>470.0</v>
      </c>
      <c r="G47" s="2" t="s">
        <v>4033</v>
      </c>
    </row>
    <row r="48" ht="15.75" customHeight="1">
      <c r="A48" s="2" t="s">
        <v>591</v>
      </c>
      <c r="B48" s="9">
        <v>46055.0</v>
      </c>
      <c r="C48" s="2" t="s">
        <v>571</v>
      </c>
      <c r="D48" s="11" t="s">
        <v>4013</v>
      </c>
      <c r="E48" s="2">
        <v>131.0</v>
      </c>
      <c r="F48" s="2">
        <v>1.0</v>
      </c>
      <c r="G48" s="2" t="s">
        <v>4034</v>
      </c>
    </row>
    <row r="49" ht="15.75" customHeight="1">
      <c r="A49" s="2" t="s">
        <v>593</v>
      </c>
      <c r="B49" s="9">
        <v>46055.0</v>
      </c>
      <c r="C49" s="2" t="s">
        <v>571</v>
      </c>
      <c r="D49" s="11" t="s">
        <v>4032</v>
      </c>
      <c r="E49" s="2">
        <v>329.0</v>
      </c>
      <c r="F49" s="2">
        <v>329.0</v>
      </c>
      <c r="G49" s="2" t="s">
        <v>4035</v>
      </c>
    </row>
    <row r="50" ht="15.75" customHeight="1">
      <c r="A50" s="2" t="s">
        <v>595</v>
      </c>
      <c r="B50" s="9">
        <v>46056.0</v>
      </c>
      <c r="C50" s="2" t="s">
        <v>571</v>
      </c>
      <c r="E50" s="2">
        <v>601.0</v>
      </c>
      <c r="F50" s="2">
        <v>1.0</v>
      </c>
      <c r="G50" s="2" t="s">
        <v>4036</v>
      </c>
    </row>
    <row r="51" ht="15.75" customHeight="1">
      <c r="A51" s="2" t="s">
        <v>597</v>
      </c>
      <c r="B51" s="9">
        <v>46056.0</v>
      </c>
      <c r="C51" s="2" t="s">
        <v>571</v>
      </c>
      <c r="D51" s="11" t="s">
        <v>3988</v>
      </c>
      <c r="E51" s="2">
        <v>492.0</v>
      </c>
      <c r="F51" s="2">
        <v>0.0</v>
      </c>
      <c r="G51" s="2" t="s">
        <v>4037</v>
      </c>
    </row>
    <row r="52" ht="15.75" customHeight="1">
      <c r="A52" s="2" t="s">
        <v>676</v>
      </c>
      <c r="B52" s="9">
        <v>46061.0</v>
      </c>
      <c r="C52" s="2" t="s">
        <v>571</v>
      </c>
      <c r="E52" s="2">
        <v>167.0</v>
      </c>
      <c r="F52" s="2">
        <v>180.0</v>
      </c>
      <c r="G52" s="2" t="s">
        <v>4038</v>
      </c>
    </row>
    <row r="53" ht="15.75" customHeight="1">
      <c r="A53" s="2" t="s">
        <v>718</v>
      </c>
      <c r="B53" s="9">
        <v>46062.0</v>
      </c>
      <c r="C53" s="2" t="s">
        <v>571</v>
      </c>
      <c r="D53" s="11" t="s">
        <v>3991</v>
      </c>
      <c r="E53" s="2">
        <v>180.0</v>
      </c>
      <c r="F53" s="2">
        <v>0.0</v>
      </c>
      <c r="G53" s="2" t="s">
        <v>4039</v>
      </c>
    </row>
    <row r="54" ht="15.75" customHeight="1">
      <c r="A54" s="2" t="s">
        <v>720</v>
      </c>
      <c r="B54" s="9">
        <v>46062.0</v>
      </c>
      <c r="C54" s="2" t="s">
        <v>571</v>
      </c>
      <c r="D54" s="11" t="s">
        <v>3988</v>
      </c>
      <c r="E54" s="2">
        <v>160.0</v>
      </c>
      <c r="F54" s="2">
        <v>54.0</v>
      </c>
      <c r="G54" s="2" t="s">
        <v>4040</v>
      </c>
    </row>
    <row r="55" ht="15.75" customHeight="1">
      <c r="A55" s="2" t="s">
        <v>861</v>
      </c>
      <c r="B55" s="9">
        <v>46064.0</v>
      </c>
      <c r="C55" s="2" t="s">
        <v>571</v>
      </c>
      <c r="D55" s="11" t="s">
        <v>3991</v>
      </c>
      <c r="E55" s="2">
        <v>1050.0</v>
      </c>
      <c r="F55" s="2">
        <v>813.0</v>
      </c>
      <c r="G55" s="2" t="s">
        <v>4041</v>
      </c>
    </row>
    <row r="56" ht="15.75" customHeight="1">
      <c r="A56" s="2" t="s">
        <v>875</v>
      </c>
      <c r="B56" s="9">
        <v>46066.0</v>
      </c>
      <c r="C56" s="2" t="s">
        <v>571</v>
      </c>
      <c r="E56" s="2">
        <v>487.0</v>
      </c>
      <c r="F56" s="2">
        <v>164.0</v>
      </c>
      <c r="G56" s="2" t="s">
        <v>4042</v>
      </c>
    </row>
    <row r="57" ht="15.75" customHeight="1">
      <c r="A57" s="2" t="s">
        <v>879</v>
      </c>
      <c r="B57" s="9">
        <v>46066.0</v>
      </c>
      <c r="C57" s="2" t="s">
        <v>571</v>
      </c>
      <c r="E57" s="2">
        <v>1283.0</v>
      </c>
      <c r="F57" s="2">
        <v>823.0</v>
      </c>
      <c r="G57" s="2" t="s">
        <v>4043</v>
      </c>
    </row>
    <row r="58" ht="15.75" customHeight="1">
      <c r="A58" s="2" t="s">
        <v>883</v>
      </c>
      <c r="B58" s="9">
        <v>46066.0</v>
      </c>
      <c r="C58" s="2" t="s">
        <v>571</v>
      </c>
      <c r="E58" s="2">
        <v>447.0</v>
      </c>
      <c r="F58" s="2">
        <v>434.0</v>
      </c>
      <c r="G58" s="2" t="s">
        <v>4044</v>
      </c>
    </row>
    <row r="59" ht="15.75" customHeight="1">
      <c r="A59" s="2" t="s">
        <v>887</v>
      </c>
      <c r="B59" s="9">
        <v>46067.0</v>
      </c>
      <c r="C59" s="2" t="s">
        <v>571</v>
      </c>
      <c r="E59" s="2">
        <v>217.0</v>
      </c>
      <c r="F59" s="2">
        <v>198.0</v>
      </c>
      <c r="G59" s="2" t="s">
        <v>4045</v>
      </c>
    </row>
    <row r="60" ht="15.75" customHeight="1">
      <c r="A60" s="2" t="s">
        <v>891</v>
      </c>
      <c r="B60" s="9">
        <v>46067.0</v>
      </c>
      <c r="C60" s="2" t="s">
        <v>571</v>
      </c>
      <c r="E60" s="2">
        <v>388.0</v>
      </c>
      <c r="F60" s="2">
        <v>379.0</v>
      </c>
      <c r="G60" s="2" t="s">
        <v>4046</v>
      </c>
    </row>
    <row r="61" ht="15.75" customHeight="1">
      <c r="A61" s="2" t="s">
        <v>894</v>
      </c>
      <c r="B61" s="9">
        <v>46067.0</v>
      </c>
      <c r="C61" s="2" t="s">
        <v>571</v>
      </c>
      <c r="E61" s="2">
        <v>541.0</v>
      </c>
      <c r="F61" s="2">
        <v>117.0</v>
      </c>
      <c r="G61" s="2" t="s">
        <v>4047</v>
      </c>
    </row>
    <row r="62" ht="15.75" customHeight="1">
      <c r="A62" s="2" t="s">
        <v>899</v>
      </c>
      <c r="B62" s="9">
        <v>46068.0</v>
      </c>
      <c r="C62" s="2" t="s">
        <v>571</v>
      </c>
      <c r="E62" s="2">
        <v>913.0</v>
      </c>
      <c r="F62" s="2">
        <v>508.0</v>
      </c>
      <c r="G62" s="2" t="s">
        <v>4048</v>
      </c>
    </row>
    <row r="63" ht="15.75" customHeight="1">
      <c r="A63" s="2" t="s">
        <v>907</v>
      </c>
      <c r="B63" s="9">
        <v>46068.0</v>
      </c>
      <c r="C63" s="2" t="s">
        <v>571</v>
      </c>
      <c r="E63" s="2">
        <v>748.0</v>
      </c>
      <c r="F63" s="2">
        <v>573.0</v>
      </c>
      <c r="G63" s="2" t="s">
        <v>4049</v>
      </c>
    </row>
    <row r="64" ht="15.75" customHeight="1">
      <c r="A64" s="2" t="s">
        <v>911</v>
      </c>
      <c r="B64" s="9">
        <v>46069.0</v>
      </c>
      <c r="C64" s="2" t="s">
        <v>571</v>
      </c>
      <c r="E64" s="2">
        <v>464.0</v>
      </c>
      <c r="F64" s="2">
        <v>141.0</v>
      </c>
      <c r="G64" s="2" t="s">
        <v>4050</v>
      </c>
    </row>
    <row r="65" ht="15.75" customHeight="1">
      <c r="A65" s="2" t="s">
        <v>915</v>
      </c>
      <c r="B65" s="9">
        <v>46069.0</v>
      </c>
      <c r="C65" s="2" t="s">
        <v>571</v>
      </c>
      <c r="E65" s="2">
        <v>870.0</v>
      </c>
      <c r="F65" s="2">
        <v>696.0</v>
      </c>
      <c r="G65" s="2" t="s">
        <v>4051</v>
      </c>
    </row>
    <row r="66" ht="15.75" customHeight="1">
      <c r="A66" s="2" t="s">
        <v>920</v>
      </c>
      <c r="B66" s="9">
        <v>46069.0</v>
      </c>
      <c r="C66" s="2" t="s">
        <v>571</v>
      </c>
      <c r="E66" s="2">
        <v>167.0</v>
      </c>
      <c r="F66" s="2">
        <v>180.0</v>
      </c>
      <c r="G66" s="2" t="s">
        <v>4052</v>
      </c>
    </row>
    <row r="67" ht="15.75" customHeight="1">
      <c r="A67" s="2" t="s">
        <v>922</v>
      </c>
      <c r="B67" s="9">
        <v>46071.0</v>
      </c>
      <c r="C67" s="2" t="s">
        <v>571</v>
      </c>
      <c r="E67" s="2">
        <v>987.0</v>
      </c>
      <c r="F67" s="2">
        <v>59.0</v>
      </c>
      <c r="G67" s="2" t="s">
        <v>4053</v>
      </c>
    </row>
    <row r="68" ht="15.75" customHeight="1">
      <c r="A68" s="2" t="s">
        <v>924</v>
      </c>
      <c r="B68" s="9">
        <v>46060.0</v>
      </c>
      <c r="C68" s="2" t="s">
        <v>571</v>
      </c>
      <c r="E68" s="2">
        <v>771.0</v>
      </c>
      <c r="F68" s="2">
        <v>420.0</v>
      </c>
      <c r="G68" s="2" t="s">
        <v>4054</v>
      </c>
    </row>
    <row r="69" ht="15.75" customHeight="1">
      <c r="A69" s="2" t="s">
        <v>926</v>
      </c>
      <c r="B69" s="9">
        <v>46074.0</v>
      </c>
      <c r="C69" s="2" t="s">
        <v>571</v>
      </c>
      <c r="E69" s="2">
        <v>519.0</v>
      </c>
      <c r="F69" s="2">
        <v>216.0</v>
      </c>
      <c r="G69" s="2" t="s">
        <v>4055</v>
      </c>
    </row>
    <row r="70" ht="15.75" customHeight="1">
      <c r="A70" s="2" t="s">
        <v>930</v>
      </c>
      <c r="B70" s="9">
        <v>46074.0</v>
      </c>
      <c r="C70" s="2" t="s">
        <v>571</v>
      </c>
      <c r="E70" s="2">
        <v>55.0</v>
      </c>
      <c r="F70" s="2">
        <v>45.0</v>
      </c>
      <c r="G70" s="2" t="s">
        <v>4056</v>
      </c>
    </row>
    <row r="71" ht="15.75" customHeight="1">
      <c r="A71" s="2" t="s">
        <v>932</v>
      </c>
      <c r="B71" s="9">
        <v>46081.0</v>
      </c>
      <c r="C71" s="2" t="s">
        <v>571</v>
      </c>
      <c r="E71" s="2">
        <v>1228.0</v>
      </c>
      <c r="F71" s="2">
        <v>2644.0</v>
      </c>
      <c r="G71" s="2" t="s">
        <v>4057</v>
      </c>
    </row>
    <row r="72" ht="15.75" customHeight="1">
      <c r="A72" s="2" t="s">
        <v>936</v>
      </c>
      <c r="B72" s="9">
        <v>46081.0</v>
      </c>
      <c r="C72" s="2" t="s">
        <v>571</v>
      </c>
      <c r="E72" s="2">
        <v>240.0</v>
      </c>
      <c r="F72" s="2">
        <v>216.0</v>
      </c>
      <c r="G72" s="2" t="s">
        <v>4058</v>
      </c>
    </row>
    <row r="73" ht="15.75" customHeight="1">
      <c r="A73" s="2" t="s">
        <v>938</v>
      </c>
      <c r="B73" s="9">
        <v>46081.0</v>
      </c>
      <c r="C73" s="2" t="s">
        <v>571</v>
      </c>
      <c r="E73" s="2">
        <v>700.0</v>
      </c>
      <c r="F73" s="2">
        <v>605.0</v>
      </c>
      <c r="G73" s="2" t="s">
        <v>4059</v>
      </c>
    </row>
    <row r="74" ht="15.75" customHeight="1">
      <c r="A74" s="2" t="s">
        <v>942</v>
      </c>
      <c r="B74" s="9">
        <v>46074.0</v>
      </c>
      <c r="C74" s="2" t="s">
        <v>571</v>
      </c>
      <c r="E74" s="2">
        <v>913.0</v>
      </c>
      <c r="F74" s="2">
        <v>744.0</v>
      </c>
      <c r="G74" s="2" t="s">
        <v>4060</v>
      </c>
    </row>
    <row r="75" ht="15.75" customHeight="1">
      <c r="A75" s="2" t="s">
        <v>945</v>
      </c>
      <c r="B75" s="9">
        <v>46081.0</v>
      </c>
      <c r="C75" s="2" t="s">
        <v>571</v>
      </c>
      <c r="E75" s="2">
        <v>140.0</v>
      </c>
      <c r="F75" s="2">
        <v>144.0</v>
      </c>
      <c r="G75" s="2" t="s">
        <v>4061</v>
      </c>
    </row>
    <row r="76" ht="15.75" customHeight="1">
      <c r="A76" s="2" t="s">
        <v>947</v>
      </c>
      <c r="B76" s="9">
        <v>46084.0</v>
      </c>
      <c r="C76" s="2" t="s">
        <v>571</v>
      </c>
      <c r="E76" s="2">
        <v>574.0</v>
      </c>
      <c r="F76" s="2">
        <v>238.0</v>
      </c>
      <c r="G76" s="2" t="s">
        <v>4062</v>
      </c>
    </row>
    <row r="77" ht="15.75" customHeight="1">
      <c r="A77" s="2" t="s">
        <v>950</v>
      </c>
      <c r="B77" s="9">
        <v>46084.0</v>
      </c>
      <c r="C77" s="2" t="s">
        <v>571</v>
      </c>
      <c r="E77" s="2">
        <v>115.0</v>
      </c>
      <c r="F77" s="2">
        <v>116.0</v>
      </c>
      <c r="G77" s="2" t="s">
        <v>4063</v>
      </c>
    </row>
    <row r="78" ht="15.75" customHeight="1">
      <c r="A78" s="2" t="s">
        <v>952</v>
      </c>
      <c r="B78" s="9">
        <v>46084.0</v>
      </c>
      <c r="C78" s="2" t="s">
        <v>571</v>
      </c>
      <c r="E78" s="2">
        <v>369.0</v>
      </c>
      <c r="F78" s="2">
        <v>294.0</v>
      </c>
      <c r="G78" s="2" t="s">
        <v>4064</v>
      </c>
    </row>
    <row r="79" ht="15.75" customHeight="1">
      <c r="A79" s="2" t="s">
        <v>955</v>
      </c>
      <c r="B79" s="9">
        <v>46088.0</v>
      </c>
      <c r="C79" s="2" t="s">
        <v>571</v>
      </c>
      <c r="E79" s="2">
        <v>818.0</v>
      </c>
      <c r="F79" s="2">
        <v>316.0</v>
      </c>
      <c r="G79" s="2" t="s">
        <v>4065</v>
      </c>
    </row>
    <row r="80" ht="15.75" customHeight="1">
      <c r="A80" s="2" t="s">
        <v>959</v>
      </c>
      <c r="B80" s="9">
        <v>46088.0</v>
      </c>
      <c r="C80" s="2" t="s">
        <v>571</v>
      </c>
      <c r="E80" s="2">
        <v>84.0</v>
      </c>
      <c r="F80" s="2">
        <v>0.0</v>
      </c>
      <c r="G80" s="2" t="s">
        <v>4066</v>
      </c>
    </row>
    <row r="81" ht="15.75" customHeight="1">
      <c r="A81" s="2" t="s">
        <v>963</v>
      </c>
      <c r="B81" s="9">
        <v>46088.0</v>
      </c>
      <c r="C81" s="2" t="s">
        <v>571</v>
      </c>
      <c r="E81" s="2">
        <v>598.0</v>
      </c>
      <c r="F81" s="2">
        <v>476.0</v>
      </c>
      <c r="G81" s="2" t="s">
        <v>4067</v>
      </c>
    </row>
    <row r="82" ht="15.75" customHeight="1">
      <c r="A82" s="2" t="s">
        <v>968</v>
      </c>
      <c r="B82" s="9">
        <v>46088.0</v>
      </c>
      <c r="C82" s="2" t="s">
        <v>571</v>
      </c>
      <c r="E82" s="2">
        <v>418.0</v>
      </c>
      <c r="F82" s="2">
        <v>365.0</v>
      </c>
      <c r="G82" s="2" t="s">
        <v>4068</v>
      </c>
    </row>
    <row r="83" ht="15.75" customHeight="1">
      <c r="A83" s="2" t="s">
        <v>974</v>
      </c>
      <c r="B83" s="9">
        <v>46088.0</v>
      </c>
      <c r="C83" s="2" t="s">
        <v>571</v>
      </c>
      <c r="E83" s="2">
        <v>88.0</v>
      </c>
      <c r="F83" s="2">
        <v>78.0</v>
      </c>
      <c r="G83" s="2" t="s">
        <v>4069</v>
      </c>
    </row>
    <row r="84" ht="15.75" customHeight="1">
      <c r="A84" s="2" t="s">
        <v>976</v>
      </c>
      <c r="B84" s="9">
        <v>46091.0</v>
      </c>
      <c r="C84" s="2" t="s">
        <v>571</v>
      </c>
      <c r="E84" s="2">
        <v>1477.0</v>
      </c>
      <c r="F84" s="2">
        <v>910.0</v>
      </c>
      <c r="G84" s="2" t="s">
        <v>4070</v>
      </c>
    </row>
    <row r="85" ht="15.75" customHeight="1">
      <c r="A85" s="2" t="s">
        <v>988</v>
      </c>
      <c r="B85" s="9">
        <v>46091.0</v>
      </c>
      <c r="C85" s="2" t="s">
        <v>571</v>
      </c>
      <c r="E85" s="2">
        <v>392.0</v>
      </c>
      <c r="F85" s="2">
        <v>0.0</v>
      </c>
      <c r="G85" s="2" t="s">
        <v>4071</v>
      </c>
    </row>
    <row r="86" ht="15.75" customHeight="1">
      <c r="A86" s="2" t="s">
        <v>990</v>
      </c>
      <c r="B86" s="9">
        <v>46091.0</v>
      </c>
      <c r="C86" s="2" t="s">
        <v>571</v>
      </c>
      <c r="E86" s="2">
        <v>500.0</v>
      </c>
      <c r="F86" s="2">
        <v>350.0</v>
      </c>
      <c r="G86" s="2" t="s">
        <v>4072</v>
      </c>
    </row>
    <row r="87" ht="15.75" customHeight="1">
      <c r="A87" s="2" t="s">
        <v>993</v>
      </c>
      <c r="B87" s="9">
        <v>46091.0</v>
      </c>
      <c r="C87" s="2" t="s">
        <v>571</v>
      </c>
      <c r="E87" s="2">
        <v>475.0</v>
      </c>
      <c r="F87" s="2">
        <v>420.0</v>
      </c>
      <c r="G87" s="2" t="s">
        <v>4073</v>
      </c>
    </row>
    <row r="88" ht="15.75" customHeight="1">
      <c r="A88" s="2" t="s">
        <v>1202</v>
      </c>
      <c r="B88" s="9">
        <v>46096.0</v>
      </c>
      <c r="C88" s="2" t="s">
        <v>571</v>
      </c>
      <c r="E88" s="2">
        <v>1414.0</v>
      </c>
      <c r="F88" s="2">
        <v>1037.0</v>
      </c>
      <c r="G88" s="2" t="s">
        <v>4074</v>
      </c>
    </row>
    <row r="89" ht="15.75" customHeight="1">
      <c r="A89" s="2" t="s">
        <v>1222</v>
      </c>
      <c r="B89" s="9">
        <v>46096.0</v>
      </c>
      <c r="C89" s="2" t="s">
        <v>571</v>
      </c>
      <c r="E89" s="2">
        <v>655.0</v>
      </c>
      <c r="F89" s="2">
        <v>451.0</v>
      </c>
      <c r="G89" s="2" t="s">
        <v>4075</v>
      </c>
    </row>
    <row r="90" ht="15.75" customHeight="1">
      <c r="A90" s="2" t="s">
        <v>1229</v>
      </c>
      <c r="B90" s="9">
        <v>46096.0</v>
      </c>
      <c r="C90" s="2" t="s">
        <v>571</v>
      </c>
      <c r="E90" s="2">
        <v>920.0</v>
      </c>
      <c r="F90" s="2">
        <v>367.0</v>
      </c>
      <c r="G90" s="2" t="s">
        <v>4076</v>
      </c>
    </row>
    <row r="91" ht="15.75" customHeight="1">
      <c r="A91" s="2" t="s">
        <v>1240</v>
      </c>
      <c r="B91" s="9">
        <v>46096.0</v>
      </c>
      <c r="C91" s="2" t="s">
        <v>571</v>
      </c>
      <c r="E91" s="2">
        <v>195.0</v>
      </c>
      <c r="F91" s="2">
        <v>180.0</v>
      </c>
      <c r="G91" s="2" t="s">
        <v>4077</v>
      </c>
    </row>
    <row r="92" ht="15.75" customHeight="1">
      <c r="A92" s="2" t="s">
        <v>1386</v>
      </c>
      <c r="B92" s="9">
        <v>46100.0</v>
      </c>
      <c r="C92" s="2" t="s">
        <v>571</v>
      </c>
      <c r="E92" s="2">
        <v>498.0</v>
      </c>
      <c r="F92" s="2">
        <v>458.0</v>
      </c>
      <c r="G92" s="2" t="s">
        <v>4078</v>
      </c>
    </row>
    <row r="93" ht="15.75" customHeight="1">
      <c r="A93" s="2" t="s">
        <v>1389</v>
      </c>
      <c r="B93" s="9">
        <v>46100.0</v>
      </c>
      <c r="C93" s="2" t="s">
        <v>571</v>
      </c>
      <c r="E93" s="2">
        <v>810.0</v>
      </c>
      <c r="F93" s="2">
        <v>522.0</v>
      </c>
      <c r="G93" s="2" t="s">
        <v>4079</v>
      </c>
    </row>
    <row r="94" ht="15.75" customHeight="1">
      <c r="A94" s="2" t="s">
        <v>1396</v>
      </c>
      <c r="B94" s="9">
        <v>46100.0</v>
      </c>
      <c r="C94" s="2" t="s">
        <v>571</v>
      </c>
      <c r="E94" s="2">
        <v>768.0</v>
      </c>
      <c r="F94" s="2">
        <v>753.0</v>
      </c>
      <c r="G94" s="2" t="s">
        <v>4080</v>
      </c>
    </row>
    <row r="95" ht="15.75" customHeight="1">
      <c r="A95" s="2" t="s">
        <v>1511</v>
      </c>
      <c r="B95" s="9">
        <v>46103.0</v>
      </c>
      <c r="C95" s="2" t="s">
        <v>571</v>
      </c>
      <c r="E95" s="2">
        <v>192.0</v>
      </c>
      <c r="F95" s="2">
        <v>180.0</v>
      </c>
      <c r="G95" s="2" t="s">
        <v>4081</v>
      </c>
    </row>
    <row r="96" ht="15.75" customHeight="1">
      <c r="A96" s="2" t="s">
        <v>1515</v>
      </c>
      <c r="B96" s="9">
        <v>46103.0</v>
      </c>
      <c r="C96" s="2" t="s">
        <v>571</v>
      </c>
      <c r="E96" s="2">
        <v>140.0</v>
      </c>
      <c r="F96" s="2">
        <v>118.0</v>
      </c>
      <c r="G96" s="2" t="s">
        <v>4082</v>
      </c>
    </row>
    <row r="97" ht="15.75" customHeight="1">
      <c r="A97" s="2" t="s">
        <v>1519</v>
      </c>
      <c r="B97" s="9">
        <v>46103.0</v>
      </c>
      <c r="C97" s="2" t="s">
        <v>571</v>
      </c>
      <c r="E97" s="2">
        <v>515.0</v>
      </c>
      <c r="F97" s="2">
        <v>420.0</v>
      </c>
      <c r="G97" s="2" t="s">
        <v>4083</v>
      </c>
    </row>
    <row r="98" ht="15.75" customHeight="1">
      <c r="A98" s="2" t="s">
        <v>1522</v>
      </c>
      <c r="B98" s="9">
        <v>46103.0</v>
      </c>
      <c r="C98" s="2" t="s">
        <v>571</v>
      </c>
      <c r="E98" s="2">
        <v>288.0</v>
      </c>
      <c r="F98" s="2">
        <v>270.0</v>
      </c>
      <c r="G98" s="2" t="s">
        <v>4084</v>
      </c>
    </row>
    <row r="99" ht="15.75" customHeight="1">
      <c r="A99" s="2" t="s">
        <v>1526</v>
      </c>
      <c r="B99" s="9">
        <v>46103.0</v>
      </c>
      <c r="C99" s="2" t="s">
        <v>571</v>
      </c>
      <c r="E99" s="2">
        <v>80.0</v>
      </c>
      <c r="F99" s="2">
        <v>0.0</v>
      </c>
      <c r="G99" s="2" t="s">
        <v>4085</v>
      </c>
    </row>
    <row r="100" ht="15.75" customHeight="1">
      <c r="A100" s="2" t="s">
        <v>1555</v>
      </c>
      <c r="B100" s="9">
        <v>46104.0</v>
      </c>
      <c r="C100" s="2" t="s">
        <v>571</v>
      </c>
      <c r="E100" s="2">
        <v>990.0</v>
      </c>
      <c r="F100" s="2">
        <v>903.0</v>
      </c>
      <c r="G100" s="2" t="s">
        <v>4086</v>
      </c>
    </row>
    <row r="101" ht="15.75" customHeight="1">
      <c r="A101" s="2" t="s">
        <v>1561</v>
      </c>
      <c r="B101" s="9">
        <v>46104.0</v>
      </c>
      <c r="C101" s="2" t="s">
        <v>571</v>
      </c>
      <c r="E101" s="2">
        <v>94.0</v>
      </c>
      <c r="F101" s="2">
        <v>46.0</v>
      </c>
      <c r="G101" s="2" t="s">
        <v>4087</v>
      </c>
    </row>
    <row r="102" ht="15.75" customHeight="1">
      <c r="A102" s="2" t="s">
        <v>1740</v>
      </c>
      <c r="B102" s="9">
        <v>46105.0</v>
      </c>
      <c r="C102" s="2" t="s">
        <v>571</v>
      </c>
      <c r="E102" s="2">
        <v>1566.0</v>
      </c>
      <c r="F102" s="2">
        <v>1044.0</v>
      </c>
      <c r="G102" s="2" t="s">
        <v>4088</v>
      </c>
    </row>
    <row r="103" ht="15.75" customHeight="1">
      <c r="A103" s="2" t="s">
        <v>1745</v>
      </c>
      <c r="B103" s="9">
        <v>46105.0</v>
      </c>
      <c r="C103" s="2" t="s">
        <v>571</v>
      </c>
      <c r="E103" s="2">
        <v>1732.0</v>
      </c>
      <c r="F103" s="2">
        <v>946.0</v>
      </c>
      <c r="G103" s="2" t="s">
        <v>4089</v>
      </c>
    </row>
    <row r="104" ht="15.75" customHeight="1">
      <c r="A104" s="2" t="s">
        <v>1754</v>
      </c>
      <c r="B104" s="9">
        <v>46105.0</v>
      </c>
      <c r="C104" s="2" t="s">
        <v>571</v>
      </c>
      <c r="E104" s="2">
        <v>1281.0</v>
      </c>
      <c r="F104" s="2">
        <v>600.0</v>
      </c>
      <c r="G104" s="2" t="s">
        <v>4090</v>
      </c>
    </row>
    <row r="105" ht="15.75" customHeight="1">
      <c r="A105" s="2" t="s">
        <v>1764</v>
      </c>
      <c r="B105" s="9">
        <v>46105.0</v>
      </c>
      <c r="C105" s="2" t="s">
        <v>571</v>
      </c>
      <c r="E105" s="2">
        <v>441.0</v>
      </c>
      <c r="F105" s="2">
        <v>282.0</v>
      </c>
      <c r="G105" s="2" t="s">
        <v>4091</v>
      </c>
    </row>
    <row r="106" ht="15.75" customHeight="1">
      <c r="A106" s="2" t="s">
        <v>1767</v>
      </c>
      <c r="B106" s="9">
        <v>46106.0</v>
      </c>
      <c r="C106" s="2" t="s">
        <v>571</v>
      </c>
      <c r="E106" s="2">
        <v>594.0</v>
      </c>
      <c r="F106" s="2">
        <v>648.0</v>
      </c>
      <c r="G106" s="2" t="s">
        <v>4092</v>
      </c>
    </row>
    <row r="107" ht="15.75" customHeight="1">
      <c r="A107" s="2" t="s">
        <v>1772</v>
      </c>
      <c r="B107" s="9">
        <v>46106.0</v>
      </c>
      <c r="C107" s="2" t="s">
        <v>571</v>
      </c>
      <c r="E107" s="2">
        <v>195.0</v>
      </c>
      <c r="F107" s="2">
        <v>180.0</v>
      </c>
      <c r="G107" s="2" t="s">
        <v>4093</v>
      </c>
    </row>
    <row r="108" ht="15.75" customHeight="1">
      <c r="A108" s="2" t="s">
        <v>1821</v>
      </c>
      <c r="B108" s="9">
        <v>46107.0</v>
      </c>
      <c r="C108" s="2" t="s">
        <v>571</v>
      </c>
      <c r="E108" s="2">
        <v>613.0</v>
      </c>
      <c r="F108" s="2">
        <v>363.0</v>
      </c>
      <c r="G108" s="2" t="s">
        <v>4094</v>
      </c>
    </row>
    <row r="109" ht="15.75" customHeight="1">
      <c r="A109" s="2" t="s">
        <v>1911</v>
      </c>
      <c r="B109" s="9">
        <v>46109.0</v>
      </c>
      <c r="C109" s="2" t="s">
        <v>571</v>
      </c>
      <c r="E109" s="2">
        <v>618.0</v>
      </c>
      <c r="F109" s="2">
        <v>376.0</v>
      </c>
      <c r="G109" s="2" t="s">
        <v>4095</v>
      </c>
    </row>
    <row r="110" ht="15.75" customHeight="1">
      <c r="A110" s="2" t="s">
        <v>1916</v>
      </c>
      <c r="B110" s="9">
        <v>46109.0</v>
      </c>
      <c r="C110" s="2" t="s">
        <v>571</v>
      </c>
      <c r="E110" s="2">
        <v>1484.0</v>
      </c>
      <c r="F110" s="2">
        <v>1254.0</v>
      </c>
      <c r="G110" s="2" t="s">
        <v>4096</v>
      </c>
    </row>
    <row r="111" ht="15.75" customHeight="1">
      <c r="A111" s="2" t="s">
        <v>1929</v>
      </c>
      <c r="B111" s="9">
        <v>46109.0</v>
      </c>
      <c r="C111" s="2" t="s">
        <v>571</v>
      </c>
      <c r="E111" s="2">
        <v>490.0</v>
      </c>
      <c r="F111" s="2">
        <v>0.0</v>
      </c>
      <c r="G111" s="2" t="s">
        <v>4097</v>
      </c>
    </row>
    <row r="112" ht="15.75" customHeight="1">
      <c r="A112" s="2" t="s">
        <v>1934</v>
      </c>
      <c r="B112" s="9">
        <v>46109.0</v>
      </c>
      <c r="C112" s="2" t="s">
        <v>571</v>
      </c>
      <c r="E112" s="2">
        <v>228.0</v>
      </c>
      <c r="F112" s="2">
        <v>200.0</v>
      </c>
      <c r="G112" s="2" t="s">
        <v>4098</v>
      </c>
    </row>
    <row r="113" ht="15.75" customHeight="1">
      <c r="A113" s="2" t="s">
        <v>2071</v>
      </c>
      <c r="B113" s="9">
        <v>46114.0</v>
      </c>
      <c r="C113" s="2" t="s">
        <v>571</v>
      </c>
      <c r="E113" s="2">
        <v>1876.0</v>
      </c>
      <c r="F113" s="2">
        <v>1376.0</v>
      </c>
      <c r="G113" s="2" t="s">
        <v>4099</v>
      </c>
    </row>
    <row r="114" ht="15.75" customHeight="1">
      <c r="A114" s="2" t="s">
        <v>2082</v>
      </c>
      <c r="B114" s="9">
        <v>46114.0</v>
      </c>
      <c r="C114" s="2" t="s">
        <v>571</v>
      </c>
      <c r="E114" s="2">
        <v>602.0</v>
      </c>
      <c r="F114" s="2">
        <v>93.0</v>
      </c>
      <c r="G114" s="2" t="s">
        <v>4100</v>
      </c>
    </row>
    <row r="115" ht="15.75" customHeight="1">
      <c r="A115" s="2" t="s">
        <v>2088</v>
      </c>
      <c r="B115" s="9">
        <v>46114.0</v>
      </c>
      <c r="C115" s="2" t="s">
        <v>571</v>
      </c>
      <c r="E115" s="2">
        <v>927.0</v>
      </c>
      <c r="F115" s="2">
        <v>875.0</v>
      </c>
      <c r="G115" s="2" t="s">
        <v>4101</v>
      </c>
    </row>
    <row r="116" ht="15.75" customHeight="1">
      <c r="A116" s="2" t="s">
        <v>2095</v>
      </c>
      <c r="B116" s="9">
        <v>46114.0</v>
      </c>
      <c r="C116" s="2" t="s">
        <v>571</v>
      </c>
      <c r="E116" s="2">
        <v>252.0</v>
      </c>
      <c r="F116" s="2">
        <v>216.0</v>
      </c>
      <c r="G116" s="2" t="s">
        <v>4102</v>
      </c>
    </row>
    <row r="117" ht="15.75" customHeight="1">
      <c r="A117" s="2" t="s">
        <v>2169</v>
      </c>
      <c r="B117" s="9">
        <v>46116.0</v>
      </c>
      <c r="C117" s="2" t="s">
        <v>571</v>
      </c>
      <c r="E117" s="2">
        <v>235.0</v>
      </c>
      <c r="F117" s="2">
        <v>144.0</v>
      </c>
      <c r="G117" s="2" t="s">
        <v>4103</v>
      </c>
    </row>
    <row r="118" ht="15.75" customHeight="1">
      <c r="A118" s="2" t="s">
        <v>2172</v>
      </c>
      <c r="B118" s="9">
        <v>46116.0</v>
      </c>
      <c r="C118" s="2" t="s">
        <v>571</v>
      </c>
      <c r="E118" s="2">
        <v>80.0</v>
      </c>
      <c r="F118" s="2">
        <v>0.0</v>
      </c>
      <c r="G118" s="2" t="s">
        <v>4104</v>
      </c>
    </row>
    <row r="119" ht="15.75" customHeight="1">
      <c r="A119" s="2" t="s">
        <v>2174</v>
      </c>
      <c r="B119" s="9">
        <v>46116.0</v>
      </c>
      <c r="C119" s="2" t="s">
        <v>571</v>
      </c>
      <c r="E119" s="2">
        <v>210.0</v>
      </c>
      <c r="F119" s="2">
        <v>177.0</v>
      </c>
      <c r="G119" s="2" t="s">
        <v>4105</v>
      </c>
    </row>
    <row r="120" ht="15.75" customHeight="1">
      <c r="A120" s="2" t="s">
        <v>2176</v>
      </c>
      <c r="B120" s="9">
        <v>46116.0</v>
      </c>
      <c r="C120" s="2" t="s">
        <v>571</v>
      </c>
      <c r="E120" s="2">
        <v>450.0</v>
      </c>
      <c r="F120" s="2">
        <v>407.0</v>
      </c>
      <c r="G120" s="2" t="s">
        <v>4106</v>
      </c>
    </row>
    <row r="121" ht="15.75" customHeight="1">
      <c r="A121" s="2" t="s">
        <v>2179</v>
      </c>
      <c r="B121" s="9">
        <v>46116.0</v>
      </c>
      <c r="C121" s="2" t="s">
        <v>571</v>
      </c>
      <c r="E121" s="2">
        <v>250.0</v>
      </c>
      <c r="F121" s="2">
        <v>164.0</v>
      </c>
      <c r="G121" s="2" t="s">
        <v>4107</v>
      </c>
    </row>
    <row r="122" ht="15.75" customHeight="1">
      <c r="A122" s="2" t="s">
        <v>2256</v>
      </c>
      <c r="B122" s="9">
        <v>46118.0</v>
      </c>
      <c r="C122" s="2" t="s">
        <v>571</v>
      </c>
      <c r="E122" s="2">
        <v>180.0</v>
      </c>
      <c r="F122" s="2">
        <v>116.0</v>
      </c>
      <c r="G122" s="2" t="s">
        <v>4108</v>
      </c>
    </row>
    <row r="123" ht="15.75" customHeight="1">
      <c r="A123" s="2"/>
      <c r="B123" s="9"/>
      <c r="C123" s="2"/>
      <c r="E123" s="2"/>
      <c r="F123" s="2"/>
      <c r="G123" s="2"/>
    </row>
    <row r="124" ht="15.75" customHeight="1">
      <c r="A124" s="2" t="s">
        <v>2282</v>
      </c>
      <c r="B124" s="9">
        <v>46119.0</v>
      </c>
      <c r="C124" s="2" t="s">
        <v>571</v>
      </c>
      <c r="E124" s="2">
        <v>283.0</v>
      </c>
      <c r="F124" s="2">
        <v>0.0</v>
      </c>
      <c r="G124" s="2" t="s">
        <v>4109</v>
      </c>
    </row>
    <row r="125" ht="15.75" customHeight="1">
      <c r="A125" s="2" t="s">
        <v>2320</v>
      </c>
      <c r="B125" s="9">
        <v>46120.0</v>
      </c>
      <c r="C125" s="2" t="s">
        <v>599</v>
      </c>
      <c r="D125" s="11" t="s">
        <v>4110</v>
      </c>
      <c r="E125" s="2">
        <v>88.0</v>
      </c>
      <c r="F125" s="2">
        <v>0.0</v>
      </c>
      <c r="G125" s="2" t="s">
        <v>4111</v>
      </c>
    </row>
    <row r="126" ht="15.75" customHeight="1">
      <c r="A126" s="2" t="s">
        <v>2329</v>
      </c>
      <c r="B126" s="9">
        <v>46120.0</v>
      </c>
      <c r="C126" s="2" t="s">
        <v>571</v>
      </c>
      <c r="E126" s="2">
        <v>458.0</v>
      </c>
      <c r="F126" s="2">
        <v>0.0</v>
      </c>
      <c r="G126" s="2" t="s">
        <v>4112</v>
      </c>
    </row>
    <row r="127" ht="15.75" customHeight="1">
      <c r="A127" s="2" t="s">
        <v>2382</v>
      </c>
      <c r="B127" s="9">
        <v>46121.0</v>
      </c>
      <c r="C127" s="2" t="s">
        <v>571</v>
      </c>
      <c r="E127" s="2">
        <v>182.0</v>
      </c>
      <c r="F127" s="2">
        <v>24.0</v>
      </c>
      <c r="G127" s="2" t="s">
        <v>4113</v>
      </c>
    </row>
    <row r="128" ht="15.75" customHeight="1">
      <c r="A128" s="2" t="s">
        <v>2386</v>
      </c>
      <c r="B128" s="9">
        <v>46121.0</v>
      </c>
      <c r="C128" s="2" t="s">
        <v>571</v>
      </c>
      <c r="E128" s="2">
        <v>615.0</v>
      </c>
      <c r="F128" s="2">
        <v>108.0</v>
      </c>
      <c r="G128" s="2" t="s">
        <v>4114</v>
      </c>
    </row>
    <row r="129" ht="15.75" customHeight="1">
      <c r="A129" s="2" t="s">
        <v>2436</v>
      </c>
      <c r="B129" s="9">
        <v>46121.0</v>
      </c>
      <c r="C129" s="2" t="s">
        <v>571</v>
      </c>
      <c r="E129" s="2">
        <v>558.0</v>
      </c>
      <c r="F129" s="2">
        <v>32.0</v>
      </c>
      <c r="G129" s="2" t="s">
        <v>4115</v>
      </c>
    </row>
    <row r="130" ht="15.75" customHeight="1">
      <c r="A130" s="2" t="s">
        <v>2460</v>
      </c>
      <c r="B130" s="9">
        <v>46123.0</v>
      </c>
      <c r="C130" s="2" t="s">
        <v>571</v>
      </c>
      <c r="E130" s="2">
        <v>348.0</v>
      </c>
      <c r="F130" s="2">
        <v>0.0</v>
      </c>
      <c r="G130" s="2" t="s">
        <v>4116</v>
      </c>
    </row>
    <row r="131" ht="15.75" customHeight="1">
      <c r="A131" s="2" t="s">
        <v>2463</v>
      </c>
      <c r="B131" s="9">
        <v>46123.0</v>
      </c>
      <c r="C131" s="2" t="s">
        <v>571</v>
      </c>
      <c r="E131" s="2">
        <v>1112.0</v>
      </c>
      <c r="F131" s="2">
        <v>287.0</v>
      </c>
      <c r="G131" s="2" t="s">
        <v>4117</v>
      </c>
    </row>
    <row r="132" ht="15.75" customHeight="1">
      <c r="A132" s="2" t="s">
        <v>2475</v>
      </c>
      <c r="B132" s="9">
        <v>46123.0</v>
      </c>
      <c r="C132" s="2" t="s">
        <v>571</v>
      </c>
      <c r="E132" s="2">
        <v>380.0</v>
      </c>
      <c r="F132" s="2">
        <v>0.0</v>
      </c>
      <c r="G132" s="2" t="s">
        <v>4118</v>
      </c>
    </row>
    <row r="133" ht="15.75" customHeight="1">
      <c r="A133" s="2" t="s">
        <v>2479</v>
      </c>
      <c r="B133" s="9">
        <v>46123.0</v>
      </c>
      <c r="C133" s="2" t="s">
        <v>571</v>
      </c>
      <c r="E133" s="2">
        <v>330.0</v>
      </c>
      <c r="F133" s="2">
        <v>0.0</v>
      </c>
      <c r="G133" s="2" t="s">
        <v>4119</v>
      </c>
    </row>
    <row r="134" ht="15.75" customHeight="1">
      <c r="A134" s="2" t="s">
        <v>2500</v>
      </c>
      <c r="B134" s="9">
        <v>46124.0</v>
      </c>
      <c r="C134" s="2" t="s">
        <v>571</v>
      </c>
      <c r="E134" s="2">
        <v>45.0</v>
      </c>
      <c r="F134" s="2">
        <v>0.0</v>
      </c>
      <c r="G134" s="2" t="s">
        <v>4120</v>
      </c>
    </row>
    <row r="135" ht="15.75" customHeight="1">
      <c r="A135" s="2" t="s">
        <v>2588</v>
      </c>
      <c r="B135" s="9">
        <v>46126.0</v>
      </c>
      <c r="C135" s="2" t="s">
        <v>571</v>
      </c>
      <c r="E135" s="2">
        <v>1190.0</v>
      </c>
      <c r="F135" s="2">
        <v>285.0</v>
      </c>
      <c r="G135" s="2" t="s">
        <v>4121</v>
      </c>
    </row>
    <row r="136" ht="15.75" customHeight="1">
      <c r="A136" s="2" t="s">
        <v>2598</v>
      </c>
      <c r="B136" s="9">
        <v>46126.0</v>
      </c>
      <c r="C136" s="2" t="s">
        <v>571</v>
      </c>
      <c r="E136" s="2">
        <v>300.0</v>
      </c>
      <c r="F136" s="2">
        <v>0.0</v>
      </c>
      <c r="G136" s="2" t="s">
        <v>4122</v>
      </c>
    </row>
    <row r="137" ht="15.75" customHeight="1">
      <c r="A137" s="2" t="s">
        <v>2600</v>
      </c>
      <c r="B137" s="9">
        <v>46126.0</v>
      </c>
      <c r="C137" s="2" t="s">
        <v>571</v>
      </c>
      <c r="E137" s="2">
        <v>85.0</v>
      </c>
      <c r="F137" s="2">
        <v>0.0</v>
      </c>
      <c r="G137" s="2" t="s">
        <v>4123</v>
      </c>
    </row>
    <row r="138" ht="15.75" customHeight="1">
      <c r="A138" s="2" t="s">
        <v>2635</v>
      </c>
      <c r="B138" s="9">
        <v>46127.0</v>
      </c>
      <c r="C138" s="2" t="s">
        <v>571</v>
      </c>
      <c r="E138" s="2">
        <v>147.0</v>
      </c>
      <c r="F138" s="2">
        <v>0.0</v>
      </c>
      <c r="G138" s="2" t="s">
        <v>4124</v>
      </c>
    </row>
    <row r="139" ht="15.75" customHeight="1">
      <c r="A139" s="2" t="s">
        <v>2657</v>
      </c>
      <c r="B139" s="9">
        <v>46127.0</v>
      </c>
      <c r="C139" s="2" t="s">
        <v>571</v>
      </c>
      <c r="E139" s="2">
        <v>861.0</v>
      </c>
      <c r="F139" s="2">
        <v>257.0</v>
      </c>
      <c r="G139" s="2" t="s">
        <v>4125</v>
      </c>
    </row>
    <row r="140" ht="15.75" customHeight="1">
      <c r="A140" s="2" t="s">
        <v>2718</v>
      </c>
      <c r="B140" s="9">
        <v>46129.0</v>
      </c>
      <c r="C140" s="2" t="s">
        <v>571</v>
      </c>
      <c r="E140" s="2">
        <v>488.0</v>
      </c>
      <c r="F140" s="2">
        <v>24.0</v>
      </c>
      <c r="G140" s="2" t="s">
        <v>4126</v>
      </c>
    </row>
    <row r="141" ht="15.75" customHeight="1">
      <c r="A141" s="2" t="s">
        <v>2728</v>
      </c>
      <c r="B141" s="9">
        <v>46130.0</v>
      </c>
      <c r="C141" s="2" t="s">
        <v>571</v>
      </c>
      <c r="E141" s="2">
        <v>1218.0</v>
      </c>
      <c r="F141" s="2">
        <v>0.0</v>
      </c>
      <c r="G141" s="2" t="s">
        <v>4127</v>
      </c>
    </row>
    <row r="142" ht="15.75" customHeight="1">
      <c r="A142" s="2" t="s">
        <v>2731</v>
      </c>
      <c r="B142" s="9">
        <v>46130.0</v>
      </c>
      <c r="C142" s="2" t="s">
        <v>571</v>
      </c>
      <c r="E142" s="2">
        <v>855.0</v>
      </c>
      <c r="F142" s="2">
        <v>259.0</v>
      </c>
      <c r="G142" s="2" t="s">
        <v>4128</v>
      </c>
    </row>
    <row r="143" ht="15.75" customHeight="1">
      <c r="A143" s="2" t="s">
        <v>2740</v>
      </c>
      <c r="B143" s="9">
        <v>46130.0</v>
      </c>
      <c r="C143" s="2" t="s">
        <v>571</v>
      </c>
      <c r="E143" s="2">
        <v>147.0</v>
      </c>
      <c r="F143" s="2">
        <v>0.0</v>
      </c>
      <c r="G143" s="2" t="s">
        <v>4129</v>
      </c>
    </row>
    <row r="144" ht="15.75" customHeight="1">
      <c r="A144" s="2" t="s">
        <v>2792</v>
      </c>
      <c r="B144" s="9">
        <v>46131.0</v>
      </c>
      <c r="C144" s="2" t="s">
        <v>571</v>
      </c>
      <c r="E144" s="2">
        <v>400.0</v>
      </c>
      <c r="F144" s="2">
        <v>0.0</v>
      </c>
      <c r="G144" s="2" t="s">
        <v>4130</v>
      </c>
    </row>
    <row r="145" ht="15.75" customHeight="1">
      <c r="A145" s="2" t="s">
        <v>2804</v>
      </c>
      <c r="B145" s="9">
        <v>46131.0</v>
      </c>
      <c r="C145" s="2" t="s">
        <v>571</v>
      </c>
      <c r="E145" s="2">
        <v>23.0</v>
      </c>
      <c r="F145" s="2">
        <v>0.0</v>
      </c>
      <c r="G145" s="2" t="s">
        <v>4131</v>
      </c>
    </row>
    <row r="146" ht="15.75" customHeight="1">
      <c r="A146" s="2" t="s">
        <v>2833</v>
      </c>
      <c r="B146" s="9">
        <v>46131.0</v>
      </c>
      <c r="C146" s="2" t="s">
        <v>571</v>
      </c>
      <c r="E146" s="2">
        <v>230.0</v>
      </c>
      <c r="F146" s="2">
        <v>24.0</v>
      </c>
      <c r="G146" s="2" t="s">
        <v>4132</v>
      </c>
    </row>
    <row r="147" ht="15.75" customHeight="1">
      <c r="A147" s="2" t="s">
        <v>2849</v>
      </c>
      <c r="B147" s="9">
        <v>46132.0</v>
      </c>
      <c r="C147" s="2" t="s">
        <v>571</v>
      </c>
      <c r="E147" s="2">
        <v>1748.0</v>
      </c>
      <c r="F147" s="2">
        <v>542.0</v>
      </c>
      <c r="G147" s="2" t="s">
        <v>4133</v>
      </c>
    </row>
    <row r="148" ht="15.75" customHeight="1">
      <c r="A148" s="2" t="s">
        <v>2856</v>
      </c>
      <c r="B148" s="9">
        <v>46132.0</v>
      </c>
      <c r="C148" s="2" t="s">
        <v>571</v>
      </c>
      <c r="E148" s="2">
        <v>269.0</v>
      </c>
      <c r="F148" s="2">
        <v>32.0</v>
      </c>
      <c r="G148" s="2" t="s">
        <v>4134</v>
      </c>
    </row>
    <row r="149" ht="15.75" customHeight="1">
      <c r="A149" s="2" t="s">
        <v>2859</v>
      </c>
      <c r="B149" s="9">
        <v>46132.0</v>
      </c>
      <c r="C149" s="2" t="s">
        <v>571</v>
      </c>
      <c r="E149" s="2">
        <v>480.0</v>
      </c>
      <c r="F149" s="2">
        <v>0.0</v>
      </c>
      <c r="G149" s="2" t="s">
        <v>4135</v>
      </c>
    </row>
    <row r="150" ht="15.75" customHeight="1">
      <c r="A150" s="2" t="s">
        <v>2898</v>
      </c>
      <c r="B150" s="9">
        <v>46134.0</v>
      </c>
      <c r="C150" s="2" t="s">
        <v>571</v>
      </c>
      <c r="E150" s="2">
        <v>80.0</v>
      </c>
      <c r="F150" s="2">
        <v>0.0</v>
      </c>
      <c r="G150" s="2" t="s">
        <v>4136</v>
      </c>
    </row>
    <row r="151" ht="15.75" customHeight="1">
      <c r="A151" s="2" t="s">
        <v>2900</v>
      </c>
      <c r="B151" s="9">
        <v>46134.0</v>
      </c>
      <c r="C151" s="2" t="s">
        <v>571</v>
      </c>
      <c r="E151" s="2">
        <v>351.0</v>
      </c>
      <c r="F151" s="2">
        <v>0.0</v>
      </c>
      <c r="G151" s="2" t="s">
        <v>4137</v>
      </c>
    </row>
    <row r="152" ht="15.75" customHeight="1">
      <c r="A152" s="2" t="s">
        <v>2903</v>
      </c>
      <c r="B152" s="9">
        <v>46134.0</v>
      </c>
      <c r="C152" s="2" t="s">
        <v>571</v>
      </c>
      <c r="E152" s="2">
        <v>140.0</v>
      </c>
      <c r="F152" s="2">
        <v>0.0</v>
      </c>
      <c r="G152" s="2" t="s">
        <v>4138</v>
      </c>
    </row>
    <row r="153" ht="15.75" customHeight="1">
      <c r="A153" s="2" t="s">
        <v>3014</v>
      </c>
      <c r="B153" s="9">
        <v>46137.0</v>
      </c>
      <c r="C153" s="2" t="s">
        <v>571</v>
      </c>
      <c r="E153" s="2">
        <v>948.0</v>
      </c>
      <c r="F153" s="2">
        <v>0.0</v>
      </c>
      <c r="G153" s="2" t="s">
        <v>4139</v>
      </c>
    </row>
    <row r="154" ht="15.75" customHeight="1">
      <c r="A154" s="2" t="s">
        <v>3024</v>
      </c>
      <c r="B154" s="9">
        <v>46137.0</v>
      </c>
      <c r="C154" s="2" t="s">
        <v>571</v>
      </c>
      <c r="E154" s="2">
        <v>425.0</v>
      </c>
      <c r="F154" s="2">
        <v>0.0</v>
      </c>
      <c r="G154" s="2" t="s">
        <v>4140</v>
      </c>
    </row>
    <row r="155" ht="15.75" customHeight="1">
      <c r="A155" s="2" t="s">
        <v>3032</v>
      </c>
      <c r="B155" s="9">
        <v>46137.0</v>
      </c>
      <c r="C155" s="2" t="s">
        <v>571</v>
      </c>
      <c r="E155" s="2">
        <v>199.0</v>
      </c>
      <c r="F155" s="2">
        <v>98.0</v>
      </c>
      <c r="G155" s="2" t="s">
        <v>4141</v>
      </c>
    </row>
    <row r="156" ht="15.75" customHeight="1">
      <c r="A156" s="2" t="s">
        <v>3035</v>
      </c>
      <c r="B156" s="9">
        <v>46137.0</v>
      </c>
      <c r="C156" s="2" t="s">
        <v>571</v>
      </c>
      <c r="E156" s="2">
        <v>400.0</v>
      </c>
      <c r="F156" s="2">
        <v>0.0</v>
      </c>
      <c r="G156" s="2" t="s">
        <v>4142</v>
      </c>
    </row>
    <row r="157" ht="15.75" customHeight="1">
      <c r="A157" s="2" t="s">
        <v>3099</v>
      </c>
      <c r="B157" s="9">
        <v>46138.0</v>
      </c>
      <c r="C157" s="2" t="s">
        <v>571</v>
      </c>
      <c r="E157" s="2">
        <v>1200.0</v>
      </c>
      <c r="F157" s="2">
        <v>0.0</v>
      </c>
      <c r="G157" s="2" t="s">
        <v>4143</v>
      </c>
    </row>
    <row r="158" ht="15.75" customHeight="1">
      <c r="A158" s="2" t="s">
        <v>3104</v>
      </c>
      <c r="B158" s="9">
        <v>46138.0</v>
      </c>
      <c r="C158" s="2" t="s">
        <v>571</v>
      </c>
      <c r="E158" s="2">
        <v>600.0</v>
      </c>
      <c r="F158" s="2">
        <v>177.0</v>
      </c>
      <c r="G158" s="2" t="s">
        <v>4144</v>
      </c>
    </row>
    <row r="159" ht="15.75" customHeight="1">
      <c r="A159" s="2" t="s">
        <v>3108</v>
      </c>
      <c r="B159" s="9">
        <v>46138.0</v>
      </c>
      <c r="C159" s="2" t="s">
        <v>571</v>
      </c>
      <c r="E159" s="2">
        <v>167.0</v>
      </c>
      <c r="F159" s="2">
        <v>0.0</v>
      </c>
      <c r="G159" s="2" t="s">
        <v>4145</v>
      </c>
    </row>
    <row r="160" ht="15.75" customHeight="1">
      <c r="A160" s="2" t="s">
        <v>3133</v>
      </c>
      <c r="B160" s="9">
        <v>46140.0</v>
      </c>
      <c r="C160" s="2" t="s">
        <v>571</v>
      </c>
      <c r="E160" s="2">
        <v>400.0</v>
      </c>
      <c r="F160" s="2">
        <v>0.0</v>
      </c>
      <c r="G160" s="2" t="s">
        <v>4146</v>
      </c>
    </row>
    <row r="161" ht="15.75" customHeight="1">
      <c r="A161" s="2" t="s">
        <v>3153</v>
      </c>
      <c r="B161" s="9">
        <v>46141.0</v>
      </c>
      <c r="C161" s="2" t="s">
        <v>571</v>
      </c>
      <c r="E161" s="2">
        <v>900.0</v>
      </c>
      <c r="F161" s="2">
        <v>48.0</v>
      </c>
      <c r="G161" s="2" t="s">
        <v>4147</v>
      </c>
    </row>
    <row r="162" ht="15.75" customHeight="1">
      <c r="A162" s="2" t="s">
        <v>3191</v>
      </c>
      <c r="B162" s="9">
        <v>46143.0</v>
      </c>
      <c r="C162" s="2" t="s">
        <v>571</v>
      </c>
      <c r="E162" s="2">
        <v>1212.0</v>
      </c>
      <c r="F162" s="2">
        <v>0.0</v>
      </c>
      <c r="G162" s="2" t="s">
        <v>4148</v>
      </c>
    </row>
    <row r="163" ht="15.75" customHeight="1">
      <c r="A163" s="2" t="s">
        <v>3199</v>
      </c>
      <c r="B163" s="9">
        <v>46143.0</v>
      </c>
      <c r="C163" s="2" t="s">
        <v>571</v>
      </c>
      <c r="E163" s="2">
        <v>276.0</v>
      </c>
      <c r="F163" s="2">
        <v>0.0</v>
      </c>
      <c r="G163" s="2" t="s">
        <v>4149</v>
      </c>
    </row>
    <row r="164" ht="15.75" customHeight="1">
      <c r="A164" s="2" t="s">
        <v>3224</v>
      </c>
      <c r="B164" s="9">
        <v>46144.0</v>
      </c>
      <c r="C164" s="2" t="s">
        <v>571</v>
      </c>
      <c r="E164" s="2">
        <v>758.0</v>
      </c>
      <c r="F164" s="2">
        <v>402.0</v>
      </c>
      <c r="G164" s="2" t="s">
        <v>4150</v>
      </c>
    </row>
    <row r="165" ht="15.75" customHeight="1">
      <c r="A165" s="2" t="s">
        <v>3229</v>
      </c>
      <c r="B165" s="9">
        <v>46144.0</v>
      </c>
      <c r="C165" s="2" t="s">
        <v>571</v>
      </c>
      <c r="E165" s="2">
        <v>283.0</v>
      </c>
      <c r="F165" s="2">
        <v>94.0</v>
      </c>
      <c r="G165" s="2" t="s">
        <v>4151</v>
      </c>
    </row>
    <row r="166" ht="15.75" customHeight="1">
      <c r="A166" s="2" t="s">
        <v>3231</v>
      </c>
      <c r="B166" s="9">
        <v>46144.0</v>
      </c>
      <c r="C166" s="2" t="s">
        <v>571</v>
      </c>
      <c r="E166" s="2">
        <v>160.0</v>
      </c>
      <c r="F166" s="2">
        <v>0.0</v>
      </c>
      <c r="G166" s="2" t="s">
        <v>4152</v>
      </c>
    </row>
    <row r="167" ht="15.75" customHeight="1">
      <c r="A167" s="2" t="s">
        <v>3233</v>
      </c>
      <c r="B167" s="9">
        <v>46145.0</v>
      </c>
      <c r="C167" s="2" t="s">
        <v>571</v>
      </c>
      <c r="E167" s="2">
        <v>322.0</v>
      </c>
      <c r="F167" s="2">
        <v>0.0</v>
      </c>
      <c r="G167" s="2" t="s">
        <v>4153</v>
      </c>
    </row>
    <row r="168" ht="15.75" customHeight="1">
      <c r="A168" s="2" t="s">
        <v>3236</v>
      </c>
      <c r="B168" s="9">
        <v>46145.0</v>
      </c>
      <c r="C168" s="2" t="s">
        <v>571</v>
      </c>
      <c r="E168" s="2">
        <v>505.0</v>
      </c>
      <c r="F168" s="2">
        <v>0.0</v>
      </c>
      <c r="G168" s="2" t="s">
        <v>4154</v>
      </c>
    </row>
    <row r="169" ht="15.75" customHeight="1">
      <c r="A169" s="2" t="s">
        <v>3266</v>
      </c>
      <c r="B169" s="9">
        <v>46146.0</v>
      </c>
      <c r="C169" s="2" t="s">
        <v>571</v>
      </c>
      <c r="E169" s="2">
        <v>181.0</v>
      </c>
      <c r="F169" s="2">
        <v>0.0</v>
      </c>
      <c r="G169" s="2" t="s">
        <v>4155</v>
      </c>
    </row>
    <row r="170" ht="15.75" customHeight="1">
      <c r="A170" s="2" t="s">
        <v>3293</v>
      </c>
      <c r="B170" s="9">
        <v>46148.0</v>
      </c>
      <c r="C170" s="2" t="s">
        <v>571</v>
      </c>
      <c r="E170" s="2">
        <v>1248.0</v>
      </c>
      <c r="F170" s="2">
        <v>0.0</v>
      </c>
      <c r="G170" s="2" t="s">
        <v>4156</v>
      </c>
    </row>
    <row r="171" ht="15.75" customHeight="1">
      <c r="A171" s="2" t="s">
        <v>3297</v>
      </c>
      <c r="B171" s="9">
        <v>46147.0</v>
      </c>
      <c r="C171" s="2" t="s">
        <v>571</v>
      </c>
      <c r="E171" s="2">
        <v>38.0</v>
      </c>
      <c r="F171" s="2">
        <v>0.0</v>
      </c>
      <c r="G171" s="2" t="s">
        <v>4157</v>
      </c>
    </row>
    <row r="172" ht="15.75" customHeight="1">
      <c r="A172" s="2" t="s">
        <v>3299</v>
      </c>
      <c r="B172" s="9">
        <v>46147.0</v>
      </c>
      <c r="C172" s="2" t="s">
        <v>571</v>
      </c>
      <c r="E172" s="2">
        <v>603.0</v>
      </c>
      <c r="F172" s="2">
        <v>0.0</v>
      </c>
      <c r="G172" s="2" t="s">
        <v>4158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4159</v>
      </c>
      <c r="B1" s="1" t="s">
        <v>3967</v>
      </c>
      <c r="C1" s="1" t="s">
        <v>4160</v>
      </c>
      <c r="D1" s="1" t="s">
        <v>4161</v>
      </c>
      <c r="E1" s="1" t="s">
        <v>4162</v>
      </c>
      <c r="F1" s="2" t="s">
        <v>4163</v>
      </c>
      <c r="G1" s="2" t="s">
        <v>4164</v>
      </c>
      <c r="H1" s="2" t="s">
        <v>4165</v>
      </c>
    </row>
    <row r="2">
      <c r="A2" s="3" t="s">
        <v>3631</v>
      </c>
      <c r="B2" s="3" t="s">
        <v>3632</v>
      </c>
      <c r="C2" s="3" t="s">
        <v>214</v>
      </c>
      <c r="D2" s="3">
        <v>24.0</v>
      </c>
      <c r="E2" s="3">
        <v>0.3</v>
      </c>
    </row>
    <row r="3">
      <c r="A3" s="3" t="s">
        <v>3661</v>
      </c>
      <c r="B3" s="3" t="s">
        <v>3662</v>
      </c>
      <c r="C3" s="3" t="s">
        <v>82</v>
      </c>
      <c r="D3" s="3">
        <v>48.0</v>
      </c>
      <c r="E3" s="3">
        <v>2.25</v>
      </c>
    </row>
    <row r="4">
      <c r="A4" s="3" t="s">
        <v>3663</v>
      </c>
      <c r="B4" s="3" t="s">
        <v>3664</v>
      </c>
      <c r="C4" s="3" t="s">
        <v>217</v>
      </c>
      <c r="D4" s="3">
        <v>45.0</v>
      </c>
      <c r="E4" s="3">
        <v>2.8</v>
      </c>
    </row>
    <row r="5">
      <c r="A5" s="3" t="s">
        <v>3665</v>
      </c>
      <c r="B5" s="3" t="s">
        <v>3664</v>
      </c>
      <c r="C5" s="3" t="s">
        <v>202</v>
      </c>
      <c r="D5" s="3">
        <v>12.0</v>
      </c>
      <c r="E5" s="3">
        <v>3.08</v>
      </c>
    </row>
    <row r="6">
      <c r="A6" s="3" t="s">
        <v>3666</v>
      </c>
      <c r="B6" s="3" t="s">
        <v>3664</v>
      </c>
      <c r="C6" s="3" t="s">
        <v>220</v>
      </c>
      <c r="D6" s="3">
        <v>12.0</v>
      </c>
    </row>
    <row r="7">
      <c r="A7" s="3" t="s">
        <v>3667</v>
      </c>
      <c r="B7" s="3" t="s">
        <v>3664</v>
      </c>
      <c r="C7" s="3" t="s">
        <v>223</v>
      </c>
      <c r="D7" s="3">
        <v>12.0</v>
      </c>
    </row>
    <row r="8">
      <c r="A8" s="3" t="s">
        <v>3668</v>
      </c>
      <c r="B8" s="3" t="s">
        <v>3664</v>
      </c>
      <c r="C8" s="3" t="s">
        <v>229</v>
      </c>
      <c r="D8" s="3">
        <v>12.0</v>
      </c>
    </row>
    <row r="9">
      <c r="A9" s="3" t="s">
        <v>3669</v>
      </c>
      <c r="B9" s="3" t="s">
        <v>3664</v>
      </c>
      <c r="C9" s="3" t="s">
        <v>232</v>
      </c>
      <c r="D9" s="3">
        <v>12.0</v>
      </c>
    </row>
    <row r="10">
      <c r="A10" s="3" t="s">
        <v>3670</v>
      </c>
      <c r="B10" s="3" t="s">
        <v>3664</v>
      </c>
      <c r="C10" s="3" t="s">
        <v>189</v>
      </c>
      <c r="D10" s="3">
        <v>63.0</v>
      </c>
      <c r="E10" s="3">
        <v>0.6</v>
      </c>
    </row>
    <row r="11">
      <c r="A11" s="3" t="s">
        <v>3671</v>
      </c>
      <c r="B11" s="3" t="s">
        <v>3664</v>
      </c>
      <c r="C11" s="3" t="s">
        <v>165</v>
      </c>
      <c r="D11" s="3">
        <v>24.0</v>
      </c>
      <c r="E11" s="3">
        <v>2.2</v>
      </c>
    </row>
    <row r="12">
      <c r="A12" s="3" t="s">
        <v>3672</v>
      </c>
      <c r="B12" s="3" t="s">
        <v>3673</v>
      </c>
      <c r="C12" s="3" t="s">
        <v>262</v>
      </c>
      <c r="D12" s="3">
        <v>30.0</v>
      </c>
    </row>
    <row r="13">
      <c r="A13" s="3" t="s">
        <v>3674</v>
      </c>
      <c r="B13" s="3" t="s">
        <v>3673</v>
      </c>
      <c r="C13" s="3" t="s">
        <v>120</v>
      </c>
      <c r="D13" s="3">
        <v>16.0</v>
      </c>
      <c r="E13" s="3">
        <v>5.18</v>
      </c>
    </row>
    <row r="14">
      <c r="A14" s="3" t="s">
        <v>3675</v>
      </c>
      <c r="B14" s="3" t="s">
        <v>3673</v>
      </c>
      <c r="C14" s="3" t="s">
        <v>265</v>
      </c>
      <c r="D14" s="3">
        <v>90.0</v>
      </c>
    </row>
    <row r="15">
      <c r="A15" s="3" t="s">
        <v>3676</v>
      </c>
      <c r="B15" s="3" t="s">
        <v>3673</v>
      </c>
      <c r="C15" s="3" t="s">
        <v>268</v>
      </c>
      <c r="D15" s="3">
        <v>24.0</v>
      </c>
    </row>
    <row r="16">
      <c r="A16" s="3" t="s">
        <v>3677</v>
      </c>
      <c r="B16" s="3" t="s">
        <v>3673</v>
      </c>
      <c r="C16" s="3" t="s">
        <v>96</v>
      </c>
      <c r="D16" s="3">
        <v>48.0</v>
      </c>
      <c r="E16" s="3">
        <v>1.75</v>
      </c>
    </row>
    <row r="17">
      <c r="A17" s="3" t="s">
        <v>3694</v>
      </c>
      <c r="B17" s="3" t="s">
        <v>3695</v>
      </c>
      <c r="C17" s="3" t="s">
        <v>226</v>
      </c>
      <c r="D17" s="3">
        <v>12.0</v>
      </c>
      <c r="E17" s="3">
        <v>3.08</v>
      </c>
    </row>
    <row r="18">
      <c r="A18" s="3" t="s">
        <v>3696</v>
      </c>
      <c r="B18" s="3" t="s">
        <v>3695</v>
      </c>
      <c r="C18" s="3" t="s">
        <v>229</v>
      </c>
      <c r="D18" s="3">
        <v>12.0</v>
      </c>
      <c r="E18" s="3">
        <v>3.08</v>
      </c>
    </row>
    <row r="19">
      <c r="A19" s="3" t="s">
        <v>3697</v>
      </c>
      <c r="B19" s="3" t="s">
        <v>3695</v>
      </c>
      <c r="C19" s="3" t="s">
        <v>85</v>
      </c>
      <c r="D19" s="3">
        <v>24.0</v>
      </c>
      <c r="E19" s="3">
        <v>2.25</v>
      </c>
    </row>
    <row r="20">
      <c r="A20" s="3" t="s">
        <v>4166</v>
      </c>
      <c r="B20" s="3" t="s">
        <v>3695</v>
      </c>
    </row>
    <row r="21" ht="15.75" customHeight="1">
      <c r="A21" s="3" t="s">
        <v>3698</v>
      </c>
      <c r="B21" s="3" t="s">
        <v>3699</v>
      </c>
      <c r="C21" s="3" t="s">
        <v>214</v>
      </c>
      <c r="D21" s="3">
        <v>60.0</v>
      </c>
      <c r="E21" s="3">
        <v>0.3</v>
      </c>
    </row>
    <row r="22" ht="15.75" customHeight="1">
      <c r="A22" s="3" t="s">
        <v>3700</v>
      </c>
      <c r="B22" s="3" t="s">
        <v>3701</v>
      </c>
      <c r="C22" s="3" t="s">
        <v>214</v>
      </c>
      <c r="D22" s="3">
        <v>120.0</v>
      </c>
      <c r="E22" s="3">
        <v>0.3</v>
      </c>
    </row>
    <row r="23" ht="15.75" customHeight="1">
      <c r="A23" s="3" t="s">
        <v>3728</v>
      </c>
      <c r="B23" s="3" t="s">
        <v>3729</v>
      </c>
      <c r="C23" s="3" t="s">
        <v>192</v>
      </c>
      <c r="D23" s="3">
        <v>48.0</v>
      </c>
      <c r="E23" s="3">
        <v>3.5</v>
      </c>
    </row>
    <row r="24" ht="15.75" customHeight="1">
      <c r="A24" s="3" t="s">
        <v>3730</v>
      </c>
      <c r="B24" s="3" t="s">
        <v>3729</v>
      </c>
      <c r="C24" s="3" t="s">
        <v>232</v>
      </c>
      <c r="D24" s="3">
        <v>12.0</v>
      </c>
      <c r="E24" s="3">
        <v>3.08</v>
      </c>
    </row>
    <row r="25" ht="15.75" customHeight="1">
      <c r="A25" s="3" t="s">
        <v>3731</v>
      </c>
      <c r="B25" s="3" t="s">
        <v>3732</v>
      </c>
      <c r="C25" s="3" t="s">
        <v>189</v>
      </c>
      <c r="D25" s="3">
        <v>42.0</v>
      </c>
      <c r="E25" s="3">
        <v>0.6</v>
      </c>
    </row>
    <row r="26" ht="15.75" customHeight="1">
      <c r="A26" s="3" t="s">
        <v>3733</v>
      </c>
      <c r="B26" s="3" t="s">
        <v>3732</v>
      </c>
      <c r="C26" s="3" t="s">
        <v>274</v>
      </c>
      <c r="D26" s="3">
        <v>24.0</v>
      </c>
      <c r="E26" s="3">
        <v>1.58</v>
      </c>
    </row>
    <row r="27" ht="15.75" customHeight="1">
      <c r="A27" s="3" t="s">
        <v>3734</v>
      </c>
      <c r="B27" s="3" t="s">
        <v>3732</v>
      </c>
      <c r="C27" s="3" t="s">
        <v>20</v>
      </c>
      <c r="D27" s="3">
        <v>21.0</v>
      </c>
      <c r="E27" s="3">
        <v>0.95</v>
      </c>
    </row>
    <row r="28" ht="15.75" customHeight="1"/>
    <row r="29" ht="15.75" customHeight="1"/>
    <row r="30" ht="15.75" customHeight="1">
      <c r="A30" s="3" t="s">
        <v>3736</v>
      </c>
      <c r="B30" s="3" t="s">
        <v>3737</v>
      </c>
      <c r="C30" s="3" t="s">
        <v>174</v>
      </c>
      <c r="D30" s="3">
        <v>18.0</v>
      </c>
      <c r="E30" s="3">
        <v>24.0</v>
      </c>
    </row>
    <row r="31" ht="15.75" customHeight="1">
      <c r="A31" s="3" t="s">
        <v>3738</v>
      </c>
      <c r="B31" s="3" t="s">
        <v>3737</v>
      </c>
      <c r="C31" s="3" t="s">
        <v>277</v>
      </c>
      <c r="D31" s="3">
        <v>24.0</v>
      </c>
      <c r="E31" s="3">
        <v>8.0</v>
      </c>
    </row>
    <row r="32" ht="15.75" customHeight="1">
      <c r="A32" s="3" t="s">
        <v>4167</v>
      </c>
      <c r="B32" s="3" t="s">
        <v>3737</v>
      </c>
      <c r="C32" s="3" t="s">
        <v>154</v>
      </c>
      <c r="D32" s="3">
        <v>25.0</v>
      </c>
      <c r="E32" s="3">
        <v>4.64</v>
      </c>
    </row>
    <row r="33" ht="15.75" customHeight="1">
      <c r="A33" s="3" t="s">
        <v>4168</v>
      </c>
      <c r="B33" s="3" t="s">
        <v>3737</v>
      </c>
      <c r="C33" s="3" t="s">
        <v>96</v>
      </c>
      <c r="D33" s="3">
        <v>120.0</v>
      </c>
      <c r="E33" s="3">
        <v>1.93</v>
      </c>
    </row>
    <row r="34" ht="15.75" customHeight="1">
      <c r="A34" s="3" t="s">
        <v>4169</v>
      </c>
      <c r="B34" s="3" t="s">
        <v>3737</v>
      </c>
      <c r="C34" s="3" t="s">
        <v>11</v>
      </c>
      <c r="D34" s="3">
        <v>24.0</v>
      </c>
      <c r="E34" s="3">
        <v>1.87</v>
      </c>
    </row>
    <row r="35" ht="15.75" customHeight="1">
      <c r="A35" s="3" t="s">
        <v>4170</v>
      </c>
      <c r="B35" s="3" t="s">
        <v>3737</v>
      </c>
      <c r="C35" s="3" t="s">
        <v>186</v>
      </c>
      <c r="E35" s="3">
        <v>5.9</v>
      </c>
    </row>
    <row r="36" ht="15.75" customHeight="1">
      <c r="A36" s="3" t="s">
        <v>4171</v>
      </c>
      <c r="B36" s="3" t="s">
        <v>3737</v>
      </c>
      <c r="C36" s="3" t="s">
        <v>211</v>
      </c>
      <c r="D36" s="3">
        <v>25.0</v>
      </c>
      <c r="E36" s="3">
        <v>4.88</v>
      </c>
    </row>
    <row r="37" ht="15.75" customHeight="1">
      <c r="A37" s="3" t="s">
        <v>4172</v>
      </c>
      <c r="B37" s="3" t="s">
        <v>3737</v>
      </c>
      <c r="C37" s="3" t="s">
        <v>189</v>
      </c>
      <c r="D37" s="3">
        <v>126.0</v>
      </c>
      <c r="E37" s="3">
        <v>0.6</v>
      </c>
    </row>
    <row r="38" ht="15.75" customHeight="1">
      <c r="A38" s="3" t="s">
        <v>3739</v>
      </c>
      <c r="B38" s="3" t="s">
        <v>3740</v>
      </c>
      <c r="C38" s="3" t="s">
        <v>59</v>
      </c>
      <c r="D38" s="3">
        <v>54.0</v>
      </c>
      <c r="E38" s="3">
        <v>2.08</v>
      </c>
    </row>
    <row r="39" ht="15.75" customHeight="1">
      <c r="A39" s="3" t="s">
        <v>3741</v>
      </c>
      <c r="B39" s="3" t="s">
        <v>3740</v>
      </c>
      <c r="C39" s="3" t="s">
        <v>134</v>
      </c>
      <c r="D39" s="3">
        <v>54.0</v>
      </c>
      <c r="E39" s="3">
        <v>2.0</v>
      </c>
    </row>
    <row r="40" ht="15.75" customHeight="1">
      <c r="A40" s="3" t="s">
        <v>3742</v>
      </c>
      <c r="B40" s="3" t="s">
        <v>3740</v>
      </c>
      <c r="C40" s="3" t="s">
        <v>105</v>
      </c>
      <c r="D40" s="3">
        <v>24.0</v>
      </c>
      <c r="E40" s="3">
        <v>4.13</v>
      </c>
    </row>
    <row r="41" ht="15.75" customHeight="1">
      <c r="A41" s="3" t="s">
        <v>3743</v>
      </c>
      <c r="B41" s="3" t="s">
        <v>3740</v>
      </c>
      <c r="C41" s="3" t="s">
        <v>206</v>
      </c>
      <c r="D41" s="3">
        <v>24.0</v>
      </c>
      <c r="E41" s="3">
        <v>2.0</v>
      </c>
    </row>
    <row r="42" ht="15.75" customHeight="1">
      <c r="A42" s="3" t="s">
        <v>3744</v>
      </c>
      <c r="B42" s="3" t="s">
        <v>3740</v>
      </c>
      <c r="C42" s="3" t="s">
        <v>139</v>
      </c>
      <c r="D42" s="3">
        <v>24.0</v>
      </c>
      <c r="E42" s="3">
        <v>4.45</v>
      </c>
    </row>
    <row r="43" ht="15.75" customHeight="1">
      <c r="A43" s="3" t="s">
        <v>3745</v>
      </c>
      <c r="B43" s="3" t="s">
        <v>3740</v>
      </c>
      <c r="C43" s="3" t="s">
        <v>145</v>
      </c>
      <c r="D43" s="3">
        <v>24.0</v>
      </c>
      <c r="E43" s="3">
        <v>4.45</v>
      </c>
    </row>
    <row r="44" ht="15.75" customHeight="1">
      <c r="A44" s="3" t="s">
        <v>3746</v>
      </c>
      <c r="B44" s="3" t="s">
        <v>3747</v>
      </c>
      <c r="C44" s="3" t="s">
        <v>202</v>
      </c>
      <c r="D44" s="3">
        <v>12.0</v>
      </c>
      <c r="E44" s="3">
        <v>3.08</v>
      </c>
    </row>
    <row r="45" ht="15.75" customHeight="1">
      <c r="A45" s="3" t="s">
        <v>3748</v>
      </c>
      <c r="B45" s="3" t="s">
        <v>3747</v>
      </c>
      <c r="C45" s="3" t="s">
        <v>229</v>
      </c>
      <c r="D45" s="3">
        <v>24.0</v>
      </c>
      <c r="E45" s="3">
        <v>3.08</v>
      </c>
    </row>
    <row r="46" ht="15.75" customHeight="1">
      <c r="A46" s="3" t="s">
        <v>3749</v>
      </c>
      <c r="B46" s="3" t="s">
        <v>3747</v>
      </c>
      <c r="C46" s="3" t="s">
        <v>226</v>
      </c>
      <c r="D46" s="3">
        <v>24.0</v>
      </c>
      <c r="E46" s="3">
        <v>3.08</v>
      </c>
    </row>
    <row r="47" ht="15.75" customHeight="1">
      <c r="A47" s="3" t="s">
        <v>3750</v>
      </c>
      <c r="B47" s="3" t="s">
        <v>3747</v>
      </c>
      <c r="C47" s="3" t="s">
        <v>220</v>
      </c>
      <c r="D47" s="3">
        <v>24.0</v>
      </c>
      <c r="E47" s="3">
        <v>3.08</v>
      </c>
    </row>
    <row r="48" ht="15.75" customHeight="1">
      <c r="A48" s="3" t="s">
        <v>3751</v>
      </c>
      <c r="B48" s="3" t="s">
        <v>3747</v>
      </c>
      <c r="C48" s="3" t="s">
        <v>271</v>
      </c>
      <c r="D48" s="3">
        <v>15.0</v>
      </c>
      <c r="E48" s="3">
        <v>2.8</v>
      </c>
    </row>
    <row r="49" ht="15.75" customHeight="1">
      <c r="A49" s="3" t="s">
        <v>3752</v>
      </c>
      <c r="B49" s="3" t="s">
        <v>3747</v>
      </c>
      <c r="C49" s="3" t="s">
        <v>280</v>
      </c>
      <c r="D49" s="3">
        <v>90.0</v>
      </c>
      <c r="E49" s="3">
        <v>2.6</v>
      </c>
    </row>
    <row r="50" ht="15.75" customHeight="1">
      <c r="A50" s="3" t="s">
        <v>3753</v>
      </c>
      <c r="B50" s="3" t="s">
        <v>3747</v>
      </c>
      <c r="C50" s="3" t="s">
        <v>217</v>
      </c>
      <c r="D50" s="3">
        <v>15.0</v>
      </c>
      <c r="E50" s="3">
        <v>2.8</v>
      </c>
    </row>
    <row r="51" ht="15.75" customHeight="1">
      <c r="A51" s="3" t="s">
        <v>3754</v>
      </c>
      <c r="B51" s="3" t="s">
        <v>3747</v>
      </c>
      <c r="C51" s="3" t="s">
        <v>165</v>
      </c>
      <c r="D51" s="3">
        <v>48.0</v>
      </c>
      <c r="E51" s="3">
        <v>2.25</v>
      </c>
    </row>
    <row r="52" ht="15.75" customHeight="1">
      <c r="A52" s="3" t="s">
        <v>4173</v>
      </c>
      <c r="B52" s="3" t="s">
        <v>3993</v>
      </c>
      <c r="C52" s="3" t="s">
        <v>214</v>
      </c>
      <c r="D52" s="3">
        <v>360.0</v>
      </c>
      <c r="E52" s="3">
        <v>0.3</v>
      </c>
    </row>
    <row r="53" ht="15.75" customHeight="1">
      <c r="A53" s="3" t="s">
        <v>4174</v>
      </c>
      <c r="B53" s="3" t="s">
        <v>3740</v>
      </c>
      <c r="C53" s="3" t="s">
        <v>283</v>
      </c>
      <c r="D53" s="3">
        <v>24.0</v>
      </c>
      <c r="E53" s="3">
        <v>3.17</v>
      </c>
    </row>
    <row r="54" ht="15.75" customHeight="1">
      <c r="A54" s="3" t="s">
        <v>4175</v>
      </c>
      <c r="B54" s="3" t="s">
        <v>3737</v>
      </c>
      <c r="C54" s="3" t="s">
        <v>211</v>
      </c>
      <c r="D54" s="3">
        <v>25.0</v>
      </c>
      <c r="E54" s="3">
        <v>4.88</v>
      </c>
    </row>
    <row r="55" ht="15.75" customHeight="1">
      <c r="A55" s="3" t="s">
        <v>4176</v>
      </c>
      <c r="B55" s="3" t="s">
        <v>4177</v>
      </c>
      <c r="C55" s="3" t="s">
        <v>259</v>
      </c>
      <c r="D55" s="3">
        <v>20.0</v>
      </c>
      <c r="E55" s="3">
        <v>1.0</v>
      </c>
    </row>
    <row r="56" ht="15.75" customHeight="1">
      <c r="A56" s="3" t="s">
        <v>4178</v>
      </c>
      <c r="B56" s="3" t="s">
        <v>4179</v>
      </c>
      <c r="C56" s="3" t="s">
        <v>259</v>
      </c>
      <c r="D56" s="3">
        <v>10.0</v>
      </c>
      <c r="E56" s="3">
        <v>1.0</v>
      </c>
    </row>
    <row r="57" ht="15.75" customHeight="1">
      <c r="A57" s="3" t="s">
        <v>4180</v>
      </c>
      <c r="B57" s="3" t="s">
        <v>4181</v>
      </c>
      <c r="C57" s="3" t="s">
        <v>256</v>
      </c>
      <c r="D57" s="3">
        <v>10.0</v>
      </c>
      <c r="E57" s="3">
        <v>2.0</v>
      </c>
    </row>
    <row r="58" ht="15.75" customHeight="1">
      <c r="A58" s="3" t="s">
        <v>4182</v>
      </c>
      <c r="B58" s="3" t="s">
        <v>4183</v>
      </c>
      <c r="C58" s="3" t="s">
        <v>259</v>
      </c>
      <c r="D58" s="3">
        <v>1.0</v>
      </c>
      <c r="E58" s="3">
        <v>1.0</v>
      </c>
    </row>
    <row r="59" ht="15.75" customHeight="1">
      <c r="A59" s="3" t="s">
        <v>4184</v>
      </c>
      <c r="B59" s="3" t="s">
        <v>3791</v>
      </c>
      <c r="C59" s="3" t="s">
        <v>259</v>
      </c>
      <c r="D59" s="3">
        <v>2.0</v>
      </c>
      <c r="E59" s="3">
        <v>1.0</v>
      </c>
    </row>
    <row r="60" ht="15.75" customHeight="1">
      <c r="A60" s="3" t="s">
        <v>4185</v>
      </c>
      <c r="B60" s="3" t="s">
        <v>3794</v>
      </c>
      <c r="C60" s="3" t="s">
        <v>259</v>
      </c>
      <c r="D60" s="3">
        <v>5.0</v>
      </c>
      <c r="E60" s="3">
        <v>1.0</v>
      </c>
    </row>
    <row r="61" ht="15.75" customHeight="1">
      <c r="A61" s="3" t="s">
        <v>4186</v>
      </c>
      <c r="B61" s="3" t="s">
        <v>3794</v>
      </c>
      <c r="C61" s="3" t="s">
        <v>256</v>
      </c>
      <c r="D61" s="3">
        <v>3.0</v>
      </c>
      <c r="E61" s="3">
        <v>2.0</v>
      </c>
    </row>
    <row r="62" ht="15.75" customHeight="1">
      <c r="A62" s="3" t="s">
        <v>4187</v>
      </c>
      <c r="B62" s="3" t="s">
        <v>3798</v>
      </c>
      <c r="C62" s="3" t="s">
        <v>259</v>
      </c>
      <c r="D62" s="3">
        <v>3.0</v>
      </c>
      <c r="E62" s="3">
        <v>1.0</v>
      </c>
    </row>
    <row r="63" ht="15.75" customHeight="1">
      <c r="A63" s="3" t="s">
        <v>4188</v>
      </c>
      <c r="B63" s="3" t="s">
        <v>3798</v>
      </c>
      <c r="C63" s="3" t="s">
        <v>256</v>
      </c>
      <c r="D63" s="3">
        <v>3.0</v>
      </c>
      <c r="E63" s="3">
        <v>2.0</v>
      </c>
    </row>
    <row r="64" ht="15.75" customHeight="1">
      <c r="A64" s="3" t="s">
        <v>4189</v>
      </c>
      <c r="B64" s="3" t="s">
        <v>3802</v>
      </c>
      <c r="C64" s="3" t="s">
        <v>259</v>
      </c>
      <c r="D64" s="3">
        <v>4.0</v>
      </c>
      <c r="E64" s="3">
        <v>1.0</v>
      </c>
    </row>
    <row r="65" ht="15.75" customHeight="1">
      <c r="A65" s="3" t="s">
        <v>4190</v>
      </c>
      <c r="B65" s="3" t="s">
        <v>3802</v>
      </c>
      <c r="C65" s="3" t="s">
        <v>256</v>
      </c>
      <c r="D65" s="3">
        <v>2.0</v>
      </c>
      <c r="E65" s="3">
        <v>2.0</v>
      </c>
    </row>
    <row r="66" ht="15.75" customHeight="1"/>
    <row r="67" ht="15.75" customHeight="1">
      <c r="A67" s="3" t="s">
        <v>4191</v>
      </c>
      <c r="B67" s="3" t="s">
        <v>3805</v>
      </c>
      <c r="C67" s="3" t="s">
        <v>280</v>
      </c>
      <c r="D67" s="3">
        <v>75.0</v>
      </c>
      <c r="E67" s="3">
        <v>2.6</v>
      </c>
    </row>
    <row r="68" ht="15.75" customHeight="1">
      <c r="A68" s="3" t="s">
        <v>4192</v>
      </c>
      <c r="C68" s="3" t="s">
        <v>217</v>
      </c>
      <c r="D68" s="3">
        <v>-15.0</v>
      </c>
      <c r="E68" s="3">
        <v>2.8</v>
      </c>
    </row>
    <row r="69" ht="15.75" customHeight="1">
      <c r="A69" s="3" t="s">
        <v>4193</v>
      </c>
      <c r="B69" s="3" t="s">
        <v>3805</v>
      </c>
      <c r="C69" s="3" t="s">
        <v>286</v>
      </c>
      <c r="D69" s="3">
        <v>45.0</v>
      </c>
      <c r="E69" s="3">
        <v>2.66</v>
      </c>
    </row>
    <row r="70" ht="15.75" customHeight="1">
      <c r="A70" s="3" t="s">
        <v>4194</v>
      </c>
      <c r="B70" s="3" t="s">
        <v>4195</v>
      </c>
      <c r="C70" s="3" t="s">
        <v>259</v>
      </c>
      <c r="D70" s="3">
        <v>10.0</v>
      </c>
      <c r="E70" s="3">
        <v>1.0</v>
      </c>
    </row>
    <row r="71" ht="15.75" customHeight="1">
      <c r="A71" s="3" t="s">
        <v>4196</v>
      </c>
      <c r="B71" s="3" t="s">
        <v>4195</v>
      </c>
      <c r="C71" s="3" t="s">
        <v>256</v>
      </c>
      <c r="D71" s="3">
        <v>10.0</v>
      </c>
      <c r="E71" s="3">
        <v>2.0</v>
      </c>
    </row>
    <row r="72" ht="15.75" customHeight="1">
      <c r="A72" s="3" t="s">
        <v>4197</v>
      </c>
      <c r="B72" s="3" t="s">
        <v>4198</v>
      </c>
      <c r="C72" s="3" t="s">
        <v>259</v>
      </c>
      <c r="D72" s="3">
        <v>3.0</v>
      </c>
      <c r="E72" s="3">
        <v>1.0</v>
      </c>
    </row>
    <row r="73" ht="15.75" customHeight="1">
      <c r="A73" s="3" t="s">
        <v>4199</v>
      </c>
      <c r="B73" s="3" t="s">
        <v>4198</v>
      </c>
      <c r="C73" s="3" t="s">
        <v>256</v>
      </c>
      <c r="D73" s="3">
        <v>1.0</v>
      </c>
      <c r="E73" s="3">
        <v>2.0</v>
      </c>
    </row>
    <row r="74" ht="15.75" customHeight="1">
      <c r="A74" s="3" t="s">
        <v>4200</v>
      </c>
      <c r="B74" s="3" t="s">
        <v>4201</v>
      </c>
      <c r="C74" s="3" t="s">
        <v>259</v>
      </c>
      <c r="D74" s="3">
        <v>4.0</v>
      </c>
      <c r="E74" s="3">
        <v>1.0</v>
      </c>
    </row>
    <row r="75" ht="15.75" customHeight="1">
      <c r="A75" s="3" t="s">
        <v>4202</v>
      </c>
      <c r="B75" s="3" t="s">
        <v>4201</v>
      </c>
      <c r="C75" s="3" t="s">
        <v>256</v>
      </c>
      <c r="D75" s="3">
        <v>1.0</v>
      </c>
      <c r="E75" s="3">
        <v>2.0</v>
      </c>
    </row>
    <row r="76" ht="15.75" customHeight="1">
      <c r="A76" s="3" t="s">
        <v>4203</v>
      </c>
      <c r="B76" s="3" t="s">
        <v>3811</v>
      </c>
      <c r="C76" s="3" t="s">
        <v>259</v>
      </c>
      <c r="D76" s="3">
        <v>1.0</v>
      </c>
      <c r="E76" s="3">
        <v>1.0</v>
      </c>
    </row>
    <row r="77" ht="15.75" customHeight="1">
      <c r="A77" s="3" t="s">
        <v>4204</v>
      </c>
      <c r="B77" s="3" t="s">
        <v>3811</v>
      </c>
      <c r="C77" s="3" t="s">
        <v>256</v>
      </c>
      <c r="D77" s="3">
        <v>1.0</v>
      </c>
      <c r="E77" s="3">
        <v>2.0</v>
      </c>
    </row>
    <row r="78" ht="15.75" customHeight="1">
      <c r="A78" s="3" t="s">
        <v>4205</v>
      </c>
      <c r="B78" s="3" t="s">
        <v>3819</v>
      </c>
      <c r="C78" s="3" t="s">
        <v>195</v>
      </c>
      <c r="D78" s="3">
        <v>36.0</v>
      </c>
      <c r="E78" s="3">
        <v>5.83</v>
      </c>
    </row>
    <row r="79" ht="15.75" customHeight="1">
      <c r="A79" s="3" t="s">
        <v>4206</v>
      </c>
      <c r="B79" s="3" t="s">
        <v>3819</v>
      </c>
      <c r="C79" s="3" t="s">
        <v>262</v>
      </c>
      <c r="D79" s="3">
        <v>30.0</v>
      </c>
      <c r="E79" s="3">
        <v>1.3</v>
      </c>
    </row>
    <row r="80" ht="15.75" customHeight="1">
      <c r="A80" s="3" t="s">
        <v>4207</v>
      </c>
      <c r="B80" s="3" t="s">
        <v>3819</v>
      </c>
      <c r="C80" s="3" t="s">
        <v>268</v>
      </c>
      <c r="D80" s="3">
        <v>48.0</v>
      </c>
    </row>
    <row r="81" ht="15.75" customHeight="1">
      <c r="A81" s="3" t="s">
        <v>4208</v>
      </c>
      <c r="B81" s="3" t="s">
        <v>3819</v>
      </c>
      <c r="C81" s="3" t="s">
        <v>238</v>
      </c>
      <c r="D81" s="3">
        <v>18.0</v>
      </c>
    </row>
    <row r="82" ht="15.75" customHeight="1">
      <c r="A82" s="3" t="s">
        <v>4209</v>
      </c>
      <c r="B82" s="3" t="s">
        <v>3819</v>
      </c>
      <c r="C82" s="3" t="s">
        <v>241</v>
      </c>
      <c r="D82" s="3">
        <v>48.0</v>
      </c>
      <c r="E82" s="3">
        <v>1.75</v>
      </c>
    </row>
    <row r="83" ht="15.75" customHeight="1">
      <c r="A83" s="3" t="s">
        <v>4210</v>
      </c>
      <c r="B83" s="3" t="s">
        <v>3836</v>
      </c>
      <c r="C83" s="3" t="s">
        <v>139</v>
      </c>
      <c r="D83" s="3">
        <v>24.0</v>
      </c>
      <c r="E83" s="3">
        <v>4.45</v>
      </c>
    </row>
    <row r="84" ht="15.75" customHeight="1">
      <c r="A84" s="3" t="s">
        <v>4211</v>
      </c>
      <c r="B84" s="3" t="s">
        <v>3836</v>
      </c>
      <c r="C84" s="3" t="s">
        <v>145</v>
      </c>
      <c r="D84" s="3">
        <v>24.0</v>
      </c>
      <c r="E84" s="3">
        <v>4.45</v>
      </c>
    </row>
    <row r="85" ht="15.75" customHeight="1">
      <c r="A85" s="3" t="s">
        <v>4212</v>
      </c>
      <c r="B85" s="3" t="s">
        <v>3836</v>
      </c>
      <c r="C85" s="3" t="s">
        <v>186</v>
      </c>
      <c r="D85" s="3">
        <v>30.0</v>
      </c>
      <c r="E85" s="3">
        <v>5.9</v>
      </c>
    </row>
    <row r="86" ht="15.75" customHeight="1">
      <c r="A86" s="3" t="s">
        <v>4213</v>
      </c>
      <c r="B86" s="3" t="s">
        <v>3836</v>
      </c>
      <c r="C86" s="3" t="s">
        <v>165</v>
      </c>
      <c r="D86" s="3">
        <v>24.0</v>
      </c>
      <c r="E86" s="3">
        <v>2.25</v>
      </c>
    </row>
    <row r="87" ht="15.75" customHeight="1">
      <c r="A87" s="3" t="s">
        <v>4214</v>
      </c>
      <c r="B87" s="3" t="s">
        <v>3836</v>
      </c>
      <c r="C87" s="3" t="s">
        <v>289</v>
      </c>
      <c r="D87" s="3">
        <v>18.0</v>
      </c>
      <c r="E87" s="3">
        <v>2.78</v>
      </c>
    </row>
    <row r="88" ht="15.75" customHeight="1">
      <c r="A88" s="3" t="s">
        <v>4215</v>
      </c>
      <c r="B88" s="3" t="s">
        <v>3842</v>
      </c>
      <c r="C88" s="3" t="s">
        <v>142</v>
      </c>
      <c r="D88" s="3">
        <v>72.0</v>
      </c>
      <c r="E88" s="3">
        <v>2.25</v>
      </c>
    </row>
    <row r="89" ht="15.75" customHeight="1">
      <c r="A89" s="3" t="s">
        <v>4216</v>
      </c>
      <c r="B89" s="3" t="s">
        <v>3844</v>
      </c>
      <c r="C89" s="3" t="s">
        <v>214</v>
      </c>
      <c r="D89" s="3">
        <v>36.0</v>
      </c>
      <c r="E89" s="3">
        <v>0.3</v>
      </c>
    </row>
    <row r="90" ht="15.75" customHeight="1">
      <c r="A90" s="3" t="s">
        <v>4217</v>
      </c>
      <c r="B90" s="3" t="s">
        <v>3847</v>
      </c>
      <c r="C90" s="3" t="s">
        <v>238</v>
      </c>
      <c r="D90" s="3">
        <v>36.0</v>
      </c>
    </row>
    <row r="91" ht="15.75" customHeight="1">
      <c r="A91" s="3" t="s">
        <v>4218</v>
      </c>
      <c r="B91" s="3" t="s">
        <v>3847</v>
      </c>
      <c r="C91" s="3" t="s">
        <v>189</v>
      </c>
      <c r="D91" s="3">
        <v>105.0</v>
      </c>
      <c r="E91" s="3">
        <v>0.6</v>
      </c>
    </row>
    <row r="92" ht="15.75" customHeight="1">
      <c r="A92" s="3" t="s">
        <v>4219</v>
      </c>
      <c r="B92" s="3" t="s">
        <v>3847</v>
      </c>
      <c r="C92" s="3" t="s">
        <v>654</v>
      </c>
      <c r="D92" s="3">
        <v>60.0</v>
      </c>
      <c r="E92" s="3">
        <v>0.43</v>
      </c>
    </row>
    <row r="93" ht="15.75" customHeight="1">
      <c r="A93" s="3" t="s">
        <v>4220</v>
      </c>
      <c r="B93" s="3" t="s">
        <v>3847</v>
      </c>
      <c r="C93" s="3" t="s">
        <v>3851</v>
      </c>
      <c r="D93" s="3">
        <v>24.0</v>
      </c>
      <c r="E93" s="3">
        <v>0.87</v>
      </c>
    </row>
    <row r="94" ht="15.75" customHeight="1">
      <c r="A94" s="3" t="s">
        <v>4221</v>
      </c>
      <c r="B94" s="3" t="s">
        <v>3847</v>
      </c>
      <c r="C94" s="3" t="s">
        <v>292</v>
      </c>
      <c r="D94" s="3">
        <v>24.0</v>
      </c>
      <c r="E94" s="3">
        <v>1.58</v>
      </c>
    </row>
    <row r="95" ht="15.75" customHeight="1">
      <c r="A95" s="3" t="s">
        <v>4222</v>
      </c>
      <c r="B95" s="3" t="s">
        <v>3854</v>
      </c>
      <c r="C95" s="3" t="s">
        <v>214</v>
      </c>
      <c r="D95" s="3">
        <v>360.0</v>
      </c>
      <c r="E95" s="3">
        <v>0.3</v>
      </c>
    </row>
    <row r="96" ht="15.75" customHeight="1">
      <c r="A96" s="3" t="s">
        <v>4223</v>
      </c>
      <c r="B96" s="3" t="s">
        <v>3887</v>
      </c>
      <c r="C96" s="3" t="s">
        <v>238</v>
      </c>
      <c r="D96" s="3">
        <v>36.0</v>
      </c>
    </row>
    <row r="97" ht="15.75" customHeight="1">
      <c r="A97" s="3" t="s">
        <v>4224</v>
      </c>
      <c r="B97" s="3" t="s">
        <v>3889</v>
      </c>
      <c r="C97" s="3" t="s">
        <v>280</v>
      </c>
      <c r="D97" s="3">
        <v>30.0</v>
      </c>
      <c r="E97" s="3">
        <v>2.6</v>
      </c>
    </row>
    <row r="98" ht="15.75" customHeight="1">
      <c r="A98" s="3" t="s">
        <v>4225</v>
      </c>
      <c r="B98" s="3" t="s">
        <v>3889</v>
      </c>
      <c r="C98" s="3" t="s">
        <v>286</v>
      </c>
      <c r="D98" s="3">
        <v>30.0</v>
      </c>
      <c r="E98" s="3">
        <v>2.66</v>
      </c>
    </row>
    <row r="99" ht="15.75" customHeight="1">
      <c r="A99" s="3" t="s">
        <v>4226</v>
      </c>
      <c r="B99" s="3" t="s">
        <v>3889</v>
      </c>
      <c r="C99" s="3" t="s">
        <v>217</v>
      </c>
      <c r="D99" s="3">
        <v>45.0</v>
      </c>
      <c r="E99" s="3">
        <v>2.8</v>
      </c>
    </row>
    <row r="100" ht="15.75" customHeight="1">
      <c r="A100" s="3" t="s">
        <v>4227</v>
      </c>
      <c r="B100" s="3" t="s">
        <v>3889</v>
      </c>
      <c r="C100" s="3" t="s">
        <v>202</v>
      </c>
      <c r="D100" s="3">
        <v>36.0</v>
      </c>
      <c r="E100" s="3">
        <v>3.08</v>
      </c>
    </row>
    <row r="101" ht="15.75" customHeight="1">
      <c r="A101" s="3" t="s">
        <v>4228</v>
      </c>
      <c r="B101" s="3" t="s">
        <v>3889</v>
      </c>
      <c r="C101" s="3" t="s">
        <v>223</v>
      </c>
      <c r="D101" s="3">
        <v>36.0</v>
      </c>
      <c r="E101" s="3">
        <v>3.5</v>
      </c>
    </row>
    <row r="102" ht="15.75" customHeight="1">
      <c r="A102" s="3" t="s">
        <v>4229</v>
      </c>
      <c r="B102" s="3" t="s">
        <v>3889</v>
      </c>
      <c r="C102" s="3" t="s">
        <v>171</v>
      </c>
      <c r="D102" s="3">
        <v>144.0</v>
      </c>
      <c r="E102" s="3">
        <v>1.33</v>
      </c>
    </row>
    <row r="103" ht="15.75" customHeight="1">
      <c r="A103" s="3" t="s">
        <v>4230</v>
      </c>
      <c r="B103" s="3" t="s">
        <v>3889</v>
      </c>
      <c r="C103" s="3" t="s">
        <v>295</v>
      </c>
      <c r="D103" s="3">
        <v>96.0</v>
      </c>
      <c r="E103" s="3">
        <v>0.45</v>
      </c>
    </row>
    <row r="104" ht="15.75" customHeight="1">
      <c r="A104" s="3" t="s">
        <v>4231</v>
      </c>
      <c r="B104" s="3" t="s">
        <v>3889</v>
      </c>
      <c r="C104" s="3" t="s">
        <v>289</v>
      </c>
      <c r="D104" s="3">
        <v>72.0</v>
      </c>
      <c r="E104" s="3">
        <v>2.78</v>
      </c>
    </row>
    <row r="105" ht="15.75" customHeight="1">
      <c r="A105" s="3" t="s">
        <v>4232</v>
      </c>
      <c r="B105" s="3" t="s">
        <v>3898</v>
      </c>
      <c r="C105" s="3" t="s">
        <v>165</v>
      </c>
      <c r="D105" s="3">
        <v>72.0</v>
      </c>
      <c r="E105" s="3">
        <v>2.25</v>
      </c>
    </row>
    <row r="106" ht="15.75" customHeight="1">
      <c r="A106" s="3" t="s">
        <v>4233</v>
      </c>
      <c r="B106" s="3" t="s">
        <v>3900</v>
      </c>
      <c r="C106" s="3" t="s">
        <v>59</v>
      </c>
      <c r="D106" s="3">
        <v>24.0</v>
      </c>
      <c r="E106" s="3">
        <v>2.08</v>
      </c>
    </row>
    <row r="107" ht="15.75" customHeight="1">
      <c r="A107" s="3" t="s">
        <v>4234</v>
      </c>
      <c r="B107" s="3" t="s">
        <v>3912</v>
      </c>
      <c r="C107" s="3" t="s">
        <v>165</v>
      </c>
      <c r="D107" s="3">
        <v>24.0</v>
      </c>
      <c r="E107" s="3">
        <v>2.25</v>
      </c>
    </row>
    <row r="108" ht="15.75" customHeight="1">
      <c r="A108" s="3" t="s">
        <v>4235</v>
      </c>
      <c r="B108" s="3" t="s">
        <v>3912</v>
      </c>
      <c r="C108" s="3" t="s">
        <v>298</v>
      </c>
      <c r="D108" s="3">
        <v>24.0</v>
      </c>
      <c r="E108" s="3">
        <v>1.9</v>
      </c>
    </row>
    <row r="109" ht="15.75" customHeight="1">
      <c r="A109" s="3" t="s">
        <v>4236</v>
      </c>
      <c r="B109" s="3" t="s">
        <v>3915</v>
      </c>
      <c r="C109" s="3" t="s">
        <v>192</v>
      </c>
      <c r="D109" s="3">
        <v>72.0</v>
      </c>
      <c r="E109" s="3">
        <v>3.5</v>
      </c>
    </row>
    <row r="110" ht="15.75" customHeight="1">
      <c r="A110" s="3" t="s">
        <v>4237</v>
      </c>
      <c r="B110" s="3" t="s">
        <v>3917</v>
      </c>
      <c r="C110" s="3" t="s">
        <v>195</v>
      </c>
      <c r="D110" s="3">
        <v>36.0</v>
      </c>
      <c r="E110" s="3">
        <v>5.83</v>
      </c>
    </row>
    <row r="111" ht="15.75" customHeight="1">
      <c r="A111" s="3" t="s">
        <v>4238</v>
      </c>
      <c r="B111" s="3" t="s">
        <v>3919</v>
      </c>
      <c r="C111" s="3" t="s">
        <v>241</v>
      </c>
      <c r="D111" s="3">
        <v>24.0</v>
      </c>
      <c r="E111" s="3">
        <v>1.75</v>
      </c>
    </row>
    <row r="112" ht="15.75" customHeight="1">
      <c r="A112" s="3" t="s">
        <v>4239</v>
      </c>
      <c r="B112" s="3" t="s">
        <v>3921</v>
      </c>
      <c r="C112" s="3" t="s">
        <v>14</v>
      </c>
      <c r="D112" s="3">
        <v>20.0</v>
      </c>
      <c r="E112" s="3">
        <v>4.7</v>
      </c>
    </row>
    <row r="113" ht="15.75" customHeight="1">
      <c r="A113" s="3" t="s">
        <v>4240</v>
      </c>
      <c r="B113" s="3" t="s">
        <v>3923</v>
      </c>
      <c r="C113" s="3" t="s">
        <v>14</v>
      </c>
      <c r="D113" s="3">
        <v>60.0</v>
      </c>
      <c r="E113" s="3">
        <v>4.7</v>
      </c>
    </row>
    <row r="114" ht="15.75" customHeight="1">
      <c r="A114" s="3" t="s">
        <v>4241</v>
      </c>
      <c r="B114" s="3" t="s">
        <v>3925</v>
      </c>
      <c r="C114" s="3" t="s">
        <v>142</v>
      </c>
      <c r="D114" s="3">
        <v>24.0</v>
      </c>
      <c r="E114" s="3">
        <v>2.25</v>
      </c>
    </row>
    <row r="115" ht="15.75" customHeight="1">
      <c r="A115" s="3" t="s">
        <v>4242</v>
      </c>
      <c r="B115" s="3" t="s">
        <v>3928</v>
      </c>
      <c r="C115" s="3" t="s">
        <v>3927</v>
      </c>
      <c r="D115" s="3">
        <v>20.0</v>
      </c>
    </row>
    <row r="116" ht="15.75" customHeight="1">
      <c r="A116" s="3" t="s">
        <v>4243</v>
      </c>
      <c r="B116" s="3" t="s">
        <v>3930</v>
      </c>
      <c r="C116" s="3" t="s">
        <v>283</v>
      </c>
      <c r="D116" s="3">
        <v>24.0</v>
      </c>
      <c r="E116" s="3">
        <v>3.17</v>
      </c>
    </row>
    <row r="117" ht="15.75" customHeight="1">
      <c r="A117" s="3" t="s">
        <v>4244</v>
      </c>
      <c r="B117" s="3" t="s">
        <v>3932</v>
      </c>
      <c r="C117" s="3" t="s">
        <v>211</v>
      </c>
      <c r="D117" s="3">
        <v>25.0</v>
      </c>
      <c r="E117" s="3">
        <v>4.88</v>
      </c>
    </row>
    <row r="118" ht="15.75" customHeight="1">
      <c r="A118" s="3" t="s">
        <v>4245</v>
      </c>
      <c r="B118" s="3" t="s">
        <v>3934</v>
      </c>
      <c r="C118" s="3" t="s">
        <v>214</v>
      </c>
      <c r="D118" s="3">
        <v>300.0</v>
      </c>
      <c r="E118" s="3">
        <v>0.3</v>
      </c>
    </row>
    <row r="119" ht="15.75" customHeight="1">
      <c r="A119" s="2" t="s">
        <v>4246</v>
      </c>
      <c r="B119" s="2" t="s">
        <v>579</v>
      </c>
      <c r="C119" s="5" t="s">
        <v>165</v>
      </c>
      <c r="D119" s="2">
        <v>24.0</v>
      </c>
      <c r="E119" s="2">
        <v>2.25</v>
      </c>
    </row>
    <row r="120" ht="15.75" customHeight="1">
      <c r="A120" s="2" t="s">
        <v>4247</v>
      </c>
      <c r="B120" s="2" t="s">
        <v>581</v>
      </c>
      <c r="C120" s="2" t="s">
        <v>289</v>
      </c>
      <c r="D120" s="2">
        <v>36.0</v>
      </c>
      <c r="E120" s="2">
        <v>2.78</v>
      </c>
    </row>
    <row r="121" ht="15.75" customHeight="1">
      <c r="A121" s="2" t="s">
        <v>4248</v>
      </c>
      <c r="B121" s="2" t="s">
        <v>583</v>
      </c>
      <c r="C121" s="5" t="s">
        <v>165</v>
      </c>
      <c r="D121" s="2">
        <v>72.0</v>
      </c>
      <c r="E121" s="2">
        <v>2.25</v>
      </c>
    </row>
    <row r="122" ht="15.75" customHeight="1">
      <c r="A122" s="2" t="s">
        <v>4249</v>
      </c>
      <c r="B122" s="2" t="s">
        <v>4022</v>
      </c>
      <c r="C122" s="2" t="s">
        <v>259</v>
      </c>
      <c r="E122" s="2">
        <v>1.0</v>
      </c>
    </row>
    <row r="123" ht="15.75" customHeight="1">
      <c r="A123" s="2" t="s">
        <v>4250</v>
      </c>
      <c r="B123" s="2" t="s">
        <v>4024</v>
      </c>
      <c r="C123" s="2" t="s">
        <v>259</v>
      </c>
      <c r="E123" s="2">
        <v>1.0</v>
      </c>
    </row>
    <row r="124" ht="15.75" customHeight="1">
      <c r="A124" s="2" t="s">
        <v>4251</v>
      </c>
      <c r="B124" s="2" t="s">
        <v>585</v>
      </c>
      <c r="C124" s="2" t="s">
        <v>259</v>
      </c>
      <c r="D124" s="2">
        <v>150.0</v>
      </c>
      <c r="E124" s="2">
        <v>1.0</v>
      </c>
    </row>
    <row r="125" ht="15.75" customHeight="1">
      <c r="A125" s="2" t="s">
        <v>4252</v>
      </c>
      <c r="B125" s="2" t="s">
        <v>4027</v>
      </c>
      <c r="C125" s="2" t="s">
        <v>259</v>
      </c>
      <c r="E125" s="2">
        <v>1.0</v>
      </c>
    </row>
    <row r="126" ht="15.75" customHeight="1">
      <c r="A126" s="2" t="s">
        <v>4253</v>
      </c>
      <c r="B126" s="2" t="s">
        <v>4029</v>
      </c>
      <c r="C126" s="2" t="s">
        <v>259</v>
      </c>
      <c r="E126" s="2">
        <v>1.0</v>
      </c>
    </row>
    <row r="127" ht="15.75" customHeight="1">
      <c r="A127" s="2" t="s">
        <v>4254</v>
      </c>
      <c r="B127" s="2" t="s">
        <v>587</v>
      </c>
      <c r="C127" s="2" t="s">
        <v>259</v>
      </c>
      <c r="D127" s="2">
        <v>1.0</v>
      </c>
      <c r="E127" s="2">
        <v>1.0</v>
      </c>
    </row>
    <row r="128" ht="15.75" customHeight="1">
      <c r="A128" s="2" t="s">
        <v>4255</v>
      </c>
      <c r="B128" s="2" t="s">
        <v>589</v>
      </c>
      <c r="C128" s="5" t="s">
        <v>14</v>
      </c>
      <c r="D128" s="2">
        <v>100.0</v>
      </c>
      <c r="E128" s="2">
        <v>4.7</v>
      </c>
    </row>
    <row r="129" ht="15.75" customHeight="1">
      <c r="A129" s="2" t="s">
        <v>4256</v>
      </c>
      <c r="B129" s="2" t="s">
        <v>591</v>
      </c>
      <c r="C129" s="2" t="s">
        <v>259</v>
      </c>
      <c r="D129" s="2">
        <v>1.0</v>
      </c>
      <c r="E129" s="2">
        <v>1.0</v>
      </c>
    </row>
    <row r="130" ht="15.75" customHeight="1">
      <c r="A130" s="2" t="s">
        <v>4257</v>
      </c>
      <c r="B130" s="2" t="s">
        <v>593</v>
      </c>
      <c r="C130" s="5" t="s">
        <v>14</v>
      </c>
      <c r="D130" s="2">
        <v>70.0</v>
      </c>
      <c r="E130" s="2">
        <v>4.7</v>
      </c>
    </row>
    <row r="131" ht="15.75" customHeight="1">
      <c r="A131" s="2" t="s">
        <v>4258</v>
      </c>
      <c r="B131" s="2" t="s">
        <v>595</v>
      </c>
      <c r="C131" s="2" t="s">
        <v>259</v>
      </c>
      <c r="D131" s="2">
        <v>1.0</v>
      </c>
      <c r="E131" s="2">
        <v>1.0</v>
      </c>
    </row>
    <row r="132" ht="15.75" customHeight="1">
      <c r="A132" s="2" t="s">
        <v>4259</v>
      </c>
      <c r="B132" s="2" t="s">
        <v>597</v>
      </c>
      <c r="C132" s="2" t="s">
        <v>259</v>
      </c>
      <c r="D132" s="2">
        <v>0.0</v>
      </c>
      <c r="E132" s="2">
        <v>1.0</v>
      </c>
    </row>
    <row r="133" ht="15.75" customHeight="1">
      <c r="A133" s="2" t="s">
        <v>4260</v>
      </c>
      <c r="B133" s="2" t="s">
        <v>676</v>
      </c>
      <c r="C133" s="5" t="s">
        <v>214</v>
      </c>
      <c r="D133" s="2">
        <v>600.0</v>
      </c>
      <c r="E133" s="2">
        <v>0.3</v>
      </c>
    </row>
    <row r="134" ht="15.75" customHeight="1">
      <c r="A134" s="2" t="s">
        <v>4261</v>
      </c>
      <c r="B134" s="2" t="s">
        <v>718</v>
      </c>
      <c r="C134" s="2" t="s">
        <v>327</v>
      </c>
      <c r="D134" s="2">
        <v>80.0</v>
      </c>
    </row>
    <row r="135" ht="15.75" customHeight="1">
      <c r="A135" s="2" t="s">
        <v>4262</v>
      </c>
      <c r="B135" s="2" t="s">
        <v>720</v>
      </c>
      <c r="C135" s="2" t="s">
        <v>363</v>
      </c>
      <c r="D135" s="2">
        <v>12.0</v>
      </c>
      <c r="E135" s="2">
        <v>4.5</v>
      </c>
    </row>
    <row r="136" ht="15.75" customHeight="1">
      <c r="A136" s="2" t="s">
        <v>4263</v>
      </c>
      <c r="B136" s="2" t="s">
        <v>720</v>
      </c>
      <c r="C136" s="2" t="s">
        <v>342</v>
      </c>
      <c r="D136" s="2">
        <v>16.0</v>
      </c>
    </row>
    <row r="137" ht="15.75" customHeight="1">
      <c r="A137" s="2" t="s">
        <v>4264</v>
      </c>
      <c r="B137" s="2" t="s">
        <v>720</v>
      </c>
      <c r="C137" s="2" t="s">
        <v>366</v>
      </c>
      <c r="D137" s="2">
        <v>12.0</v>
      </c>
    </row>
    <row r="138" ht="15.75" customHeight="1">
      <c r="A138" s="2" t="s">
        <v>4265</v>
      </c>
      <c r="B138" s="2" t="s">
        <v>861</v>
      </c>
      <c r="C138" s="2" t="s">
        <v>271</v>
      </c>
      <c r="D138" s="2">
        <v>30.0</v>
      </c>
      <c r="E138" s="2">
        <v>2.8</v>
      </c>
    </row>
    <row r="139" ht="15.75" customHeight="1">
      <c r="A139" s="2" t="s">
        <v>4266</v>
      </c>
      <c r="B139" s="2" t="s">
        <v>861</v>
      </c>
      <c r="C139" s="5" t="s">
        <v>217</v>
      </c>
      <c r="D139" s="2">
        <v>75.0</v>
      </c>
      <c r="E139" s="2">
        <v>2.8</v>
      </c>
    </row>
    <row r="140" ht="15.75" customHeight="1">
      <c r="A140" s="2" t="s">
        <v>4267</v>
      </c>
      <c r="B140" s="2" t="s">
        <v>861</v>
      </c>
      <c r="C140" s="2" t="s">
        <v>286</v>
      </c>
      <c r="D140" s="2">
        <v>195.0</v>
      </c>
      <c r="E140" s="2">
        <v>2.66</v>
      </c>
    </row>
    <row r="141" ht="15.75" customHeight="1">
      <c r="A141" s="2" t="s">
        <v>4268</v>
      </c>
      <c r="B141" s="2" t="s">
        <v>875</v>
      </c>
      <c r="C141" s="5" t="s">
        <v>154</v>
      </c>
      <c r="D141" s="2">
        <v>10.0</v>
      </c>
      <c r="E141" s="2">
        <v>4.64</v>
      </c>
    </row>
    <row r="142" ht="15.75" customHeight="1">
      <c r="A142" s="2" t="s">
        <v>4269</v>
      </c>
      <c r="B142" s="2" t="s">
        <v>875</v>
      </c>
      <c r="C142" s="5" t="s">
        <v>186</v>
      </c>
      <c r="D142" s="2">
        <v>20.0</v>
      </c>
      <c r="E142" s="2">
        <v>5.9</v>
      </c>
    </row>
    <row r="143" ht="15.75" customHeight="1">
      <c r="A143" s="2" t="s">
        <v>4270</v>
      </c>
      <c r="B143" s="2" t="s">
        <v>875</v>
      </c>
      <c r="C143" s="2" t="s">
        <v>342</v>
      </c>
      <c r="D143" s="2">
        <v>80.0</v>
      </c>
    </row>
    <row r="144" ht="15.75" customHeight="1">
      <c r="A144" s="2" t="s">
        <v>4271</v>
      </c>
      <c r="B144" s="2" t="s">
        <v>879</v>
      </c>
      <c r="C144" s="2" t="s">
        <v>271</v>
      </c>
      <c r="D144" s="2">
        <v>15.0</v>
      </c>
      <c r="E144" s="2">
        <v>2.8</v>
      </c>
    </row>
    <row r="145" ht="15.75" customHeight="1">
      <c r="A145" s="2" t="s">
        <v>4272</v>
      </c>
      <c r="B145" s="2" t="s">
        <v>879</v>
      </c>
      <c r="C145" s="5" t="s">
        <v>217</v>
      </c>
      <c r="D145" s="2">
        <v>165.0</v>
      </c>
      <c r="E145" s="2">
        <v>2.8</v>
      </c>
    </row>
    <row r="146" ht="15.75" customHeight="1">
      <c r="A146" s="2" t="s">
        <v>4273</v>
      </c>
      <c r="B146" s="2" t="s">
        <v>879</v>
      </c>
      <c r="C146" s="2" t="s">
        <v>286</v>
      </c>
      <c r="D146" s="2">
        <v>120.0</v>
      </c>
      <c r="E146" s="2">
        <v>2.66</v>
      </c>
    </row>
    <row r="147" ht="15.75" customHeight="1">
      <c r="A147" s="2" t="s">
        <v>4274</v>
      </c>
      <c r="B147" s="2" t="s">
        <v>883</v>
      </c>
      <c r="C147" s="5" t="s">
        <v>134</v>
      </c>
      <c r="D147" s="2">
        <v>81.0</v>
      </c>
      <c r="E147" s="2">
        <v>2.0</v>
      </c>
    </row>
    <row r="148" ht="15.75" customHeight="1">
      <c r="A148" s="2" t="s">
        <v>4275</v>
      </c>
      <c r="B148" s="2" t="s">
        <v>883</v>
      </c>
      <c r="C148" s="5" t="s">
        <v>120</v>
      </c>
      <c r="D148" s="2">
        <v>18.0</v>
      </c>
      <c r="E148" s="2">
        <v>6.12</v>
      </c>
    </row>
    <row r="149" ht="15.75" customHeight="1">
      <c r="A149" s="2" t="s">
        <v>4276</v>
      </c>
      <c r="B149" s="2" t="s">
        <v>883</v>
      </c>
      <c r="C149" s="5" t="s">
        <v>142</v>
      </c>
      <c r="D149" s="2">
        <v>72.0</v>
      </c>
      <c r="E149" s="2">
        <v>2.25</v>
      </c>
    </row>
    <row r="150" ht="15.75" customHeight="1">
      <c r="A150" s="2" t="s">
        <v>4277</v>
      </c>
      <c r="B150" s="2" t="s">
        <v>887</v>
      </c>
      <c r="C150" s="5" t="s">
        <v>96</v>
      </c>
      <c r="D150" s="2">
        <v>48.0</v>
      </c>
      <c r="E150" s="2">
        <v>1.93</v>
      </c>
    </row>
    <row r="151" ht="15.75" customHeight="1">
      <c r="A151" s="2" t="s">
        <v>4278</v>
      </c>
      <c r="B151" s="2" t="s">
        <v>887</v>
      </c>
      <c r="C151" s="5" t="s">
        <v>154</v>
      </c>
      <c r="D151" s="2">
        <v>10.0</v>
      </c>
      <c r="E151" s="2">
        <v>4.64</v>
      </c>
    </row>
    <row r="152" ht="15.75" customHeight="1">
      <c r="A152" s="2" t="s">
        <v>4279</v>
      </c>
      <c r="B152" s="2" t="s">
        <v>887</v>
      </c>
      <c r="C152" s="5" t="s">
        <v>186</v>
      </c>
      <c r="D152" s="2">
        <v>10.0</v>
      </c>
      <c r="E152" s="2">
        <v>5.9</v>
      </c>
    </row>
    <row r="153" ht="15.75" customHeight="1">
      <c r="A153" s="2" t="s">
        <v>4280</v>
      </c>
      <c r="B153" s="2" t="s">
        <v>891</v>
      </c>
      <c r="C153" s="5" t="s">
        <v>192</v>
      </c>
      <c r="D153" s="2">
        <v>96.0</v>
      </c>
      <c r="E153" s="2">
        <v>3.5</v>
      </c>
    </row>
    <row r="154" ht="15.75" customHeight="1">
      <c r="A154" s="2" t="s">
        <v>4281</v>
      </c>
      <c r="B154" s="2" t="s">
        <v>891</v>
      </c>
      <c r="C154" s="2" t="s">
        <v>295</v>
      </c>
      <c r="D154" s="2">
        <v>96.0</v>
      </c>
      <c r="E154" s="2">
        <v>0.45</v>
      </c>
    </row>
    <row r="155" ht="15.75" customHeight="1">
      <c r="A155" s="2" t="s">
        <v>4282</v>
      </c>
      <c r="B155" s="2" t="s">
        <v>894</v>
      </c>
      <c r="C155" s="5" t="s">
        <v>211</v>
      </c>
      <c r="D155" s="2">
        <v>24.0</v>
      </c>
      <c r="E155" s="2">
        <v>4.88</v>
      </c>
    </row>
    <row r="156" ht="15.75" customHeight="1">
      <c r="A156" s="2" t="s">
        <v>4283</v>
      </c>
      <c r="B156" s="2" t="s">
        <v>894</v>
      </c>
      <c r="C156" s="5" t="s">
        <v>171</v>
      </c>
      <c r="D156" s="2">
        <v>120.0</v>
      </c>
      <c r="E156" s="2">
        <v>1.33</v>
      </c>
    </row>
    <row r="157" ht="15.75" customHeight="1">
      <c r="A157" s="2" t="s">
        <v>4284</v>
      </c>
      <c r="B157" s="2" t="s">
        <v>894</v>
      </c>
      <c r="C157" s="5" t="s">
        <v>82</v>
      </c>
      <c r="D157" s="2">
        <v>48.0</v>
      </c>
      <c r="E157" s="2">
        <v>2.25</v>
      </c>
    </row>
    <row r="158" ht="15.75" customHeight="1">
      <c r="A158" s="2" t="s">
        <v>4285</v>
      </c>
      <c r="B158" s="2" t="s">
        <v>894</v>
      </c>
      <c r="C158" s="2" t="s">
        <v>295</v>
      </c>
      <c r="D158" s="2">
        <v>72.0</v>
      </c>
      <c r="E158" s="2">
        <v>0.45</v>
      </c>
    </row>
    <row r="159" ht="15.75" customHeight="1">
      <c r="A159" s="2" t="s">
        <v>4286</v>
      </c>
      <c r="B159" s="2" t="s">
        <v>899</v>
      </c>
      <c r="C159" s="2" t="s">
        <v>363</v>
      </c>
      <c r="D159" s="2">
        <v>12.0</v>
      </c>
      <c r="E159" s="2">
        <v>4.5</v>
      </c>
    </row>
    <row r="160" ht="15.75" customHeight="1">
      <c r="A160" s="2" t="s">
        <v>4287</v>
      </c>
      <c r="B160" s="2" t="s">
        <v>899</v>
      </c>
      <c r="C160" s="5" t="s">
        <v>186</v>
      </c>
      <c r="D160" s="2">
        <v>10.0</v>
      </c>
      <c r="E160" s="2">
        <v>5.9</v>
      </c>
    </row>
    <row r="161" ht="15.75" customHeight="1">
      <c r="A161" s="2" t="s">
        <v>4288</v>
      </c>
      <c r="B161" s="2" t="s">
        <v>899</v>
      </c>
      <c r="C161" s="5" t="s">
        <v>148</v>
      </c>
      <c r="D161" s="2">
        <v>50.0</v>
      </c>
      <c r="E161" s="2">
        <v>3.28</v>
      </c>
    </row>
    <row r="162" ht="15.75" customHeight="1">
      <c r="A162" s="2" t="s">
        <v>4289</v>
      </c>
      <c r="B162" s="2" t="s">
        <v>899</v>
      </c>
      <c r="C162" s="5" t="s">
        <v>154</v>
      </c>
      <c r="D162" s="2">
        <v>20.0</v>
      </c>
      <c r="E162" s="2">
        <v>4.64</v>
      </c>
    </row>
    <row r="163" ht="15.75" customHeight="1">
      <c r="A163" s="2" t="s">
        <v>4290</v>
      </c>
      <c r="B163" s="2" t="s">
        <v>899</v>
      </c>
      <c r="C163" s="5" t="s">
        <v>96</v>
      </c>
      <c r="D163" s="2">
        <v>24.0</v>
      </c>
      <c r="E163" s="2">
        <v>1.93</v>
      </c>
    </row>
    <row r="164" ht="15.75" customHeight="1">
      <c r="A164" s="2" t="s">
        <v>4291</v>
      </c>
      <c r="B164" s="2" t="s">
        <v>899</v>
      </c>
      <c r="C164" s="5" t="s">
        <v>139</v>
      </c>
      <c r="D164" s="2">
        <v>10.0</v>
      </c>
      <c r="E164" s="2">
        <v>4.45</v>
      </c>
    </row>
    <row r="165" ht="15.75" customHeight="1">
      <c r="A165" s="2" t="s">
        <v>4292</v>
      </c>
      <c r="B165" s="2" t="s">
        <v>899</v>
      </c>
      <c r="C165" s="5" t="s">
        <v>14</v>
      </c>
      <c r="D165" s="2">
        <v>10.0</v>
      </c>
      <c r="E165" s="2">
        <v>4.7</v>
      </c>
    </row>
    <row r="166" ht="15.75" customHeight="1">
      <c r="A166" s="2" t="s">
        <v>4293</v>
      </c>
      <c r="B166" s="2" t="s">
        <v>907</v>
      </c>
      <c r="C166" s="5" t="s">
        <v>217</v>
      </c>
      <c r="D166" s="2">
        <v>105.0</v>
      </c>
      <c r="E166" s="2">
        <v>2.8</v>
      </c>
    </row>
    <row r="167" ht="15.75" customHeight="1">
      <c r="A167" s="2" t="s">
        <v>4294</v>
      </c>
      <c r="B167" s="2" t="s">
        <v>907</v>
      </c>
      <c r="C167" s="2" t="s">
        <v>286</v>
      </c>
      <c r="D167" s="2">
        <v>105.0</v>
      </c>
      <c r="E167" s="2">
        <v>2.66</v>
      </c>
    </row>
    <row r="168" ht="15.75" customHeight="1">
      <c r="A168" s="2" t="s">
        <v>4295</v>
      </c>
      <c r="B168" s="2" t="s">
        <v>907</v>
      </c>
      <c r="C168" s="2" t="s">
        <v>327</v>
      </c>
      <c r="D168" s="2">
        <v>40.0</v>
      </c>
    </row>
    <row r="169" ht="15.75" customHeight="1">
      <c r="A169" s="2" t="s">
        <v>4296</v>
      </c>
      <c r="B169" s="2" t="s">
        <v>911</v>
      </c>
      <c r="C169" s="5" t="s">
        <v>148</v>
      </c>
      <c r="D169" s="2">
        <v>25.0</v>
      </c>
      <c r="E169" s="2">
        <v>3.28</v>
      </c>
    </row>
    <row r="170" ht="15.75" customHeight="1">
      <c r="A170" s="2" t="s">
        <v>4297</v>
      </c>
      <c r="B170" s="2" t="s">
        <v>911</v>
      </c>
      <c r="C170" s="5" t="s">
        <v>186</v>
      </c>
      <c r="D170" s="2">
        <v>10.0</v>
      </c>
      <c r="E170" s="2">
        <v>5.9</v>
      </c>
    </row>
    <row r="171" ht="15.75" customHeight="1">
      <c r="A171" s="2" t="s">
        <v>4298</v>
      </c>
      <c r="B171" s="2" t="s">
        <v>911</v>
      </c>
      <c r="C171" s="2" t="s">
        <v>330</v>
      </c>
      <c r="D171" s="2">
        <v>48.0</v>
      </c>
    </row>
    <row r="172" ht="15.75" customHeight="1">
      <c r="A172" s="2" t="s">
        <v>4299</v>
      </c>
      <c r="B172" s="2" t="s">
        <v>915</v>
      </c>
      <c r="C172" s="2" t="s">
        <v>289</v>
      </c>
      <c r="D172" s="2">
        <v>126.0</v>
      </c>
      <c r="E172" s="2">
        <v>2.78</v>
      </c>
    </row>
    <row r="173" ht="15.75" customHeight="1">
      <c r="A173" s="2" t="s">
        <v>4300</v>
      </c>
      <c r="B173" s="2" t="s">
        <v>915</v>
      </c>
      <c r="C173" s="5" t="s">
        <v>165</v>
      </c>
      <c r="D173" s="2">
        <v>72.0</v>
      </c>
      <c r="E173" s="2">
        <v>2.25</v>
      </c>
    </row>
    <row r="174" ht="15.75" customHeight="1">
      <c r="A174" s="2" t="s">
        <v>4301</v>
      </c>
      <c r="B174" s="2" t="s">
        <v>915</v>
      </c>
      <c r="C174" s="5" t="s">
        <v>59</v>
      </c>
      <c r="D174" s="2">
        <v>27.0</v>
      </c>
      <c r="E174" s="2">
        <v>2.08</v>
      </c>
    </row>
    <row r="175" ht="15.75" customHeight="1">
      <c r="A175" s="2" t="s">
        <v>4302</v>
      </c>
      <c r="B175" s="2" t="s">
        <v>915</v>
      </c>
      <c r="C175" s="5" t="s">
        <v>171</v>
      </c>
      <c r="D175" s="2">
        <v>96.0</v>
      </c>
      <c r="E175" s="2">
        <v>1.33</v>
      </c>
    </row>
    <row r="176" ht="15.75" customHeight="1">
      <c r="A176" s="2" t="s">
        <v>4303</v>
      </c>
      <c r="B176" s="2" t="s">
        <v>920</v>
      </c>
      <c r="C176" s="5" t="s">
        <v>214</v>
      </c>
      <c r="D176" s="2">
        <v>600.0</v>
      </c>
      <c r="E176" s="2">
        <v>0.3</v>
      </c>
    </row>
    <row r="177" ht="15.75" customHeight="1">
      <c r="A177" s="2" t="s">
        <v>4304</v>
      </c>
      <c r="B177" s="2" t="s">
        <v>922</v>
      </c>
      <c r="C177" s="5" t="s">
        <v>217</v>
      </c>
      <c r="D177" s="2">
        <v>21.0</v>
      </c>
      <c r="E177" s="2">
        <v>2.8</v>
      </c>
    </row>
    <row r="178" ht="15.75" customHeight="1">
      <c r="A178" s="2" t="s">
        <v>4305</v>
      </c>
      <c r="B178" s="2" t="s">
        <v>924</v>
      </c>
      <c r="C178" s="5" t="s">
        <v>192</v>
      </c>
      <c r="D178" s="2">
        <v>120.0</v>
      </c>
      <c r="E178" s="2">
        <v>3.5</v>
      </c>
    </row>
    <row r="179" ht="15.75" customHeight="1">
      <c r="A179" s="2" t="s">
        <v>4306</v>
      </c>
      <c r="B179" s="2" t="s">
        <v>926</v>
      </c>
      <c r="C179" s="5" t="s">
        <v>142</v>
      </c>
      <c r="D179" s="2">
        <v>72.0</v>
      </c>
      <c r="E179" s="2">
        <v>2.25</v>
      </c>
    </row>
    <row r="180" ht="15.75" customHeight="1">
      <c r="A180" s="2" t="s">
        <v>4307</v>
      </c>
      <c r="B180" s="2" t="s">
        <v>926</v>
      </c>
      <c r="C180" s="2" t="s">
        <v>295</v>
      </c>
      <c r="D180" s="2">
        <v>120.0</v>
      </c>
      <c r="E180" s="2">
        <v>0.45</v>
      </c>
    </row>
    <row r="181" ht="15.75" customHeight="1">
      <c r="A181" s="2" t="s">
        <v>4308</v>
      </c>
      <c r="B181" s="2" t="s">
        <v>926</v>
      </c>
      <c r="C181" s="2" t="s">
        <v>360</v>
      </c>
      <c r="D181" s="2">
        <v>120.0</v>
      </c>
    </row>
    <row r="182" ht="15.75" customHeight="1">
      <c r="A182" s="2" t="s">
        <v>4309</v>
      </c>
      <c r="B182" s="2" t="s">
        <v>930</v>
      </c>
      <c r="C182" s="5" t="s">
        <v>139</v>
      </c>
      <c r="D182" s="2">
        <v>10.0</v>
      </c>
      <c r="E182" s="2">
        <v>4.45</v>
      </c>
    </row>
    <row r="183" ht="15.75" customHeight="1">
      <c r="A183" s="2" t="s">
        <v>4310</v>
      </c>
      <c r="B183" s="2" t="s">
        <v>932</v>
      </c>
      <c r="C183" s="5" t="s">
        <v>217</v>
      </c>
      <c r="D183" s="2">
        <v>705.0</v>
      </c>
      <c r="E183" s="2">
        <v>2.8</v>
      </c>
    </row>
    <row r="184" ht="15.75" customHeight="1">
      <c r="A184" s="2" t="s">
        <v>4311</v>
      </c>
      <c r="B184" s="2" t="s">
        <v>932</v>
      </c>
      <c r="C184" s="2" t="s">
        <v>289</v>
      </c>
      <c r="D184" s="2">
        <v>90.0</v>
      </c>
      <c r="E184" s="2">
        <v>2.78</v>
      </c>
    </row>
    <row r="185" ht="15.75" customHeight="1">
      <c r="A185" s="2" t="s">
        <v>4312</v>
      </c>
      <c r="B185" s="2" t="s">
        <v>932</v>
      </c>
      <c r="C185" s="5" t="s">
        <v>192</v>
      </c>
      <c r="D185" s="2">
        <v>120.0</v>
      </c>
      <c r="E185" s="2">
        <v>3.5</v>
      </c>
    </row>
    <row r="186" ht="15.75" customHeight="1">
      <c r="A186" s="2" t="s">
        <v>4313</v>
      </c>
      <c r="B186" s="2" t="s">
        <v>936</v>
      </c>
      <c r="C186" s="5" t="s">
        <v>134</v>
      </c>
      <c r="D186" s="2">
        <v>108.0</v>
      </c>
      <c r="E186" s="2">
        <v>2.0</v>
      </c>
    </row>
    <row r="187" ht="15.75" customHeight="1">
      <c r="A187" s="2" t="s">
        <v>4314</v>
      </c>
      <c r="B187" s="2" t="s">
        <v>938</v>
      </c>
      <c r="C187" s="5" t="s">
        <v>165</v>
      </c>
      <c r="D187" s="2">
        <v>72.0</v>
      </c>
      <c r="E187" s="2">
        <v>2.25</v>
      </c>
    </row>
    <row r="188" ht="15.75" customHeight="1">
      <c r="A188" s="2" t="s">
        <v>4315</v>
      </c>
      <c r="B188" s="2" t="s">
        <v>938</v>
      </c>
      <c r="C188" s="5" t="s">
        <v>142</v>
      </c>
      <c r="D188" s="2">
        <v>168.0</v>
      </c>
      <c r="E188" s="2">
        <v>2.25</v>
      </c>
    </row>
    <row r="189" ht="15.75" customHeight="1">
      <c r="A189" s="2" t="s">
        <v>4316</v>
      </c>
      <c r="B189" s="2" t="s">
        <v>938</v>
      </c>
      <c r="C189" s="2" t="s">
        <v>295</v>
      </c>
      <c r="D189" s="2">
        <v>144.0</v>
      </c>
      <c r="E189" s="2">
        <v>0.45</v>
      </c>
    </row>
    <row r="190" ht="15.75" customHeight="1">
      <c r="A190" s="2" t="s">
        <v>4317</v>
      </c>
      <c r="B190" s="2" t="s">
        <v>942</v>
      </c>
      <c r="C190" s="5" t="s">
        <v>192</v>
      </c>
      <c r="D190" s="2">
        <v>120.0</v>
      </c>
      <c r="E190" s="2">
        <v>3.5</v>
      </c>
    </row>
    <row r="191" ht="15.75" customHeight="1">
      <c r="A191" s="5" t="s">
        <v>4318</v>
      </c>
      <c r="B191" s="2" t="s">
        <v>942</v>
      </c>
      <c r="C191" s="5" t="s">
        <v>134</v>
      </c>
      <c r="D191" s="2">
        <v>162.0</v>
      </c>
      <c r="E191" s="2">
        <v>2.0</v>
      </c>
    </row>
    <row r="192" ht="15.75" customHeight="1">
      <c r="A192" s="2" t="s">
        <v>4319</v>
      </c>
      <c r="B192" s="2" t="s">
        <v>945</v>
      </c>
      <c r="C192" s="5" t="s">
        <v>214</v>
      </c>
      <c r="D192" s="2">
        <v>480.0</v>
      </c>
      <c r="E192" s="2">
        <v>0.3</v>
      </c>
    </row>
    <row r="193" ht="15.75" customHeight="1">
      <c r="A193" s="2" t="s">
        <v>4320</v>
      </c>
      <c r="B193" s="2" t="s">
        <v>947</v>
      </c>
      <c r="C193" s="5" t="s">
        <v>165</v>
      </c>
      <c r="D193" s="2">
        <v>96.0</v>
      </c>
      <c r="E193" s="2">
        <v>2.25</v>
      </c>
    </row>
    <row r="194" ht="15.75" customHeight="1">
      <c r="A194" s="2" t="s">
        <v>4321</v>
      </c>
      <c r="B194" s="2" t="s">
        <v>947</v>
      </c>
      <c r="C194" s="5" t="s">
        <v>180</v>
      </c>
      <c r="D194" s="2">
        <v>24.0</v>
      </c>
      <c r="E194" s="2">
        <v>0.92</v>
      </c>
    </row>
    <row r="195" ht="15.75" customHeight="1">
      <c r="A195" s="2" t="s">
        <v>4322</v>
      </c>
      <c r="B195" s="2" t="s">
        <v>950</v>
      </c>
      <c r="C195" s="5" t="s">
        <v>96</v>
      </c>
      <c r="D195" s="2">
        <v>60.0</v>
      </c>
      <c r="E195" s="2">
        <v>1.93</v>
      </c>
    </row>
    <row r="196" ht="15.75" customHeight="1">
      <c r="A196" s="2" t="s">
        <v>4323</v>
      </c>
      <c r="B196" s="2" t="s">
        <v>952</v>
      </c>
      <c r="C196" s="2" t="s">
        <v>271</v>
      </c>
      <c r="D196" s="2">
        <v>105.0</v>
      </c>
      <c r="E196" s="2">
        <v>2.8</v>
      </c>
    </row>
    <row r="197" ht="15.75" customHeight="1">
      <c r="A197" s="2" t="s">
        <v>4324</v>
      </c>
      <c r="B197" s="2" t="s">
        <v>952</v>
      </c>
      <c r="C197" s="2" t="s">
        <v>333</v>
      </c>
      <c r="D197" s="2">
        <v>100.0</v>
      </c>
    </row>
    <row r="198" ht="15.75" customHeight="1">
      <c r="A198" s="2" t="s">
        <v>4325</v>
      </c>
      <c r="B198" s="2" t="s">
        <v>955</v>
      </c>
      <c r="C198" s="5" t="s">
        <v>96</v>
      </c>
      <c r="D198" s="2">
        <v>42.0</v>
      </c>
      <c r="E198" s="2">
        <v>1.93</v>
      </c>
    </row>
    <row r="199" ht="15.75" customHeight="1">
      <c r="A199" s="2" t="s">
        <v>4326</v>
      </c>
      <c r="B199" s="2" t="s">
        <v>955</v>
      </c>
      <c r="C199" s="2" t="s">
        <v>342</v>
      </c>
      <c r="D199" s="2">
        <v>48.0</v>
      </c>
    </row>
    <row r="200" ht="15.75" customHeight="1">
      <c r="A200" s="2" t="s">
        <v>4327</v>
      </c>
      <c r="B200" s="2" t="s">
        <v>955</v>
      </c>
      <c r="C200" s="5" t="s">
        <v>14</v>
      </c>
      <c r="D200" s="2">
        <v>50.0</v>
      </c>
      <c r="E200" s="2">
        <v>4.7</v>
      </c>
    </row>
    <row r="201" ht="15.75" customHeight="1">
      <c r="A201" s="2" t="s">
        <v>4328</v>
      </c>
      <c r="B201" s="2" t="s">
        <v>959</v>
      </c>
    </row>
    <row r="202" ht="15.75" customHeight="1">
      <c r="A202" s="2" t="s">
        <v>4329</v>
      </c>
      <c r="B202" s="2" t="s">
        <v>959</v>
      </c>
      <c r="C202" s="2" t="s">
        <v>372</v>
      </c>
      <c r="D202" s="2">
        <v>24.0</v>
      </c>
    </row>
    <row r="203" ht="15.75" customHeight="1">
      <c r="A203" s="2" t="s">
        <v>4330</v>
      </c>
      <c r="B203" s="2" t="s">
        <v>959</v>
      </c>
      <c r="C203" s="2" t="s">
        <v>375</v>
      </c>
      <c r="D203" s="2">
        <v>24.0</v>
      </c>
    </row>
    <row r="204" ht="15.75" customHeight="1">
      <c r="A204" s="2" t="s">
        <v>4331</v>
      </c>
      <c r="B204" s="2" t="s">
        <v>959</v>
      </c>
      <c r="C204" s="2" t="s">
        <v>378</v>
      </c>
      <c r="D204" s="2">
        <v>24.0</v>
      </c>
    </row>
    <row r="205" ht="15.75" customHeight="1">
      <c r="A205" s="2" t="s">
        <v>4332</v>
      </c>
      <c r="B205" s="2" t="s">
        <v>963</v>
      </c>
      <c r="C205" s="5" t="s">
        <v>217</v>
      </c>
      <c r="D205" s="2">
        <v>60.0</v>
      </c>
      <c r="E205" s="2">
        <v>2.8</v>
      </c>
    </row>
    <row r="206" ht="15.75" customHeight="1">
      <c r="A206" s="2"/>
      <c r="B206" s="2"/>
    </row>
    <row r="207" ht="15.75" customHeight="1">
      <c r="A207" s="2" t="s">
        <v>4333</v>
      </c>
      <c r="B207" s="2" t="s">
        <v>963</v>
      </c>
      <c r="C207" s="2" t="s">
        <v>289</v>
      </c>
      <c r="D207" s="2">
        <v>72.0</v>
      </c>
      <c r="E207" s="2">
        <v>2.78</v>
      </c>
    </row>
    <row r="208" ht="15.75" customHeight="1">
      <c r="A208" s="2" t="s">
        <v>4334</v>
      </c>
      <c r="B208" s="2" t="s">
        <v>963</v>
      </c>
      <c r="C208" s="2" t="s">
        <v>327</v>
      </c>
      <c r="D208" s="2">
        <v>40.0</v>
      </c>
    </row>
    <row r="209" ht="15.75" customHeight="1">
      <c r="A209" s="2" t="s">
        <v>4335</v>
      </c>
      <c r="B209" s="2" t="s">
        <v>963</v>
      </c>
      <c r="C209" s="2" t="s">
        <v>295</v>
      </c>
      <c r="D209" s="2">
        <v>240.0</v>
      </c>
      <c r="E209" s="2">
        <v>0.45</v>
      </c>
    </row>
    <row r="210" ht="15.75" customHeight="1">
      <c r="A210" s="2" t="s">
        <v>4336</v>
      </c>
      <c r="B210" s="2" t="s">
        <v>968</v>
      </c>
      <c r="C210" s="5" t="s">
        <v>142</v>
      </c>
      <c r="D210" s="2">
        <v>96.0</v>
      </c>
      <c r="E210" s="2">
        <v>2.25</v>
      </c>
    </row>
    <row r="211" ht="15.75" customHeight="1">
      <c r="A211" s="2" t="s">
        <v>4337</v>
      </c>
      <c r="B211" s="2" t="s">
        <v>968</v>
      </c>
      <c r="C211" s="5" t="s">
        <v>82</v>
      </c>
      <c r="D211" s="2">
        <v>42.0</v>
      </c>
      <c r="E211" s="2">
        <v>2.25</v>
      </c>
    </row>
    <row r="212" ht="15.75" customHeight="1">
      <c r="A212" s="2" t="s">
        <v>4338</v>
      </c>
      <c r="B212" s="2" t="s">
        <v>968</v>
      </c>
      <c r="C212" s="2" t="s">
        <v>301</v>
      </c>
      <c r="D212" s="2">
        <v>24.0</v>
      </c>
      <c r="E212" s="2">
        <v>2.25</v>
      </c>
    </row>
    <row r="213" ht="15.75" customHeight="1">
      <c r="A213" s="2" t="s">
        <v>4339</v>
      </c>
      <c r="B213" s="2" t="s">
        <v>968</v>
      </c>
      <c r="C213" s="2" t="s">
        <v>972</v>
      </c>
      <c r="D213" s="2">
        <v>24.0</v>
      </c>
    </row>
    <row r="214" ht="15.75" customHeight="1">
      <c r="A214" s="2" t="s">
        <v>4340</v>
      </c>
      <c r="B214" s="2" t="s">
        <v>974</v>
      </c>
      <c r="C214" s="2" t="s">
        <v>280</v>
      </c>
      <c r="D214" s="2">
        <v>30.0</v>
      </c>
      <c r="E214" s="2">
        <v>2.6</v>
      </c>
    </row>
    <row r="215" ht="15.75" customHeight="1">
      <c r="A215" s="2" t="s">
        <v>4341</v>
      </c>
      <c r="B215" s="2" t="s">
        <v>976</v>
      </c>
      <c r="C215" s="2" t="s">
        <v>369</v>
      </c>
      <c r="D215" s="2">
        <v>60.0</v>
      </c>
    </row>
    <row r="216" ht="15.75" customHeight="1">
      <c r="A216" s="2" t="s">
        <v>4342</v>
      </c>
      <c r="B216" s="2" t="s">
        <v>976</v>
      </c>
      <c r="C216" s="2" t="s">
        <v>372</v>
      </c>
      <c r="D216" s="2">
        <v>42.0</v>
      </c>
    </row>
    <row r="217" ht="15.75" customHeight="1">
      <c r="A217" s="2" t="s">
        <v>4343</v>
      </c>
      <c r="B217" s="2" t="s">
        <v>976</v>
      </c>
      <c r="C217" s="2" t="s">
        <v>378</v>
      </c>
      <c r="D217" s="2">
        <v>24.0</v>
      </c>
    </row>
    <row r="218" ht="15.75" customHeight="1">
      <c r="A218" s="2" t="s">
        <v>4344</v>
      </c>
      <c r="B218" s="2" t="s">
        <v>976</v>
      </c>
      <c r="C218" s="2" t="s">
        <v>375</v>
      </c>
      <c r="D218" s="2">
        <v>24.0</v>
      </c>
    </row>
    <row r="219" ht="15.75" customHeight="1">
      <c r="A219" s="2" t="s">
        <v>4345</v>
      </c>
      <c r="B219" s="2" t="s">
        <v>976</v>
      </c>
      <c r="C219" s="2" t="s">
        <v>384</v>
      </c>
      <c r="D219" s="2">
        <v>24.0</v>
      </c>
    </row>
    <row r="220" ht="15.75" customHeight="1">
      <c r="A220" s="2" t="s">
        <v>4346</v>
      </c>
      <c r="B220" s="2" t="s">
        <v>976</v>
      </c>
      <c r="C220" s="5" t="s">
        <v>165</v>
      </c>
      <c r="D220" s="2">
        <v>42.0</v>
      </c>
      <c r="E220" s="2">
        <v>2.25</v>
      </c>
    </row>
    <row r="221" ht="15.75" customHeight="1">
      <c r="A221" s="2" t="s">
        <v>4347</v>
      </c>
      <c r="B221" s="2" t="s">
        <v>976</v>
      </c>
      <c r="C221" s="2" t="s">
        <v>381</v>
      </c>
      <c r="D221" s="2">
        <v>42.0</v>
      </c>
    </row>
    <row r="222" ht="15.75" customHeight="1">
      <c r="A222" s="2" t="s">
        <v>4348</v>
      </c>
      <c r="B222" s="2" t="s">
        <v>976</v>
      </c>
      <c r="C222" s="5" t="s">
        <v>217</v>
      </c>
      <c r="D222" s="2">
        <v>135.0</v>
      </c>
      <c r="E222" s="2">
        <v>2.8</v>
      </c>
    </row>
    <row r="223" ht="15.75" customHeight="1">
      <c r="A223" s="2" t="s">
        <v>4349</v>
      </c>
      <c r="B223" s="2" t="s">
        <v>976</v>
      </c>
      <c r="C223" s="2" t="s">
        <v>286</v>
      </c>
      <c r="D223" s="2">
        <v>45.0</v>
      </c>
      <c r="E223" s="2">
        <v>2.66</v>
      </c>
    </row>
    <row r="224" ht="15.75" customHeight="1">
      <c r="A224" s="2" t="s">
        <v>4350</v>
      </c>
      <c r="B224" s="2" t="s">
        <v>976</v>
      </c>
      <c r="C224" s="2" t="s">
        <v>271</v>
      </c>
      <c r="D224" s="2">
        <v>30.0</v>
      </c>
      <c r="E224" s="2">
        <v>2.8</v>
      </c>
    </row>
    <row r="225" ht="15.75" customHeight="1">
      <c r="A225" s="2" t="s">
        <v>4351</v>
      </c>
      <c r="B225" s="2" t="s">
        <v>976</v>
      </c>
      <c r="C225" s="2" t="s">
        <v>280</v>
      </c>
      <c r="D225" s="2">
        <v>90.0</v>
      </c>
      <c r="E225" s="2">
        <v>2.6</v>
      </c>
    </row>
    <row r="226" ht="15.75" customHeight="1">
      <c r="A226" s="2" t="s">
        <v>4352</v>
      </c>
      <c r="B226" s="2" t="s">
        <v>988</v>
      </c>
      <c r="C226" s="2" t="s">
        <v>342</v>
      </c>
      <c r="D226" s="2">
        <v>96.0</v>
      </c>
    </row>
    <row r="227" ht="15.75" customHeight="1">
      <c r="A227" s="2" t="s">
        <v>4353</v>
      </c>
      <c r="B227" s="2" t="s">
        <v>990</v>
      </c>
      <c r="C227" s="2" t="s">
        <v>289</v>
      </c>
      <c r="D227" s="2">
        <v>126.0</v>
      </c>
      <c r="E227" s="2">
        <v>2.78</v>
      </c>
    </row>
    <row r="228" ht="15.75" customHeight="1">
      <c r="A228" s="2" t="s">
        <v>4354</v>
      </c>
      <c r="B228" s="2" t="s">
        <v>990</v>
      </c>
      <c r="C228" s="2" t="s">
        <v>327</v>
      </c>
      <c r="D228" s="2">
        <v>60.0</v>
      </c>
    </row>
    <row r="229" ht="15.75" customHeight="1">
      <c r="A229" s="2" t="s">
        <v>4355</v>
      </c>
      <c r="B229" s="2" t="s">
        <v>993</v>
      </c>
      <c r="C229" s="5" t="s">
        <v>192</v>
      </c>
      <c r="D229" s="2">
        <v>120.0</v>
      </c>
      <c r="E229" s="2">
        <v>3.5</v>
      </c>
    </row>
    <row r="230" ht="15.75" customHeight="1">
      <c r="A230" s="2" t="s">
        <v>4356</v>
      </c>
      <c r="B230" s="2" t="s">
        <v>1202</v>
      </c>
      <c r="C230" s="5" t="s">
        <v>171</v>
      </c>
      <c r="D230" s="2">
        <v>96.0</v>
      </c>
      <c r="E230" s="2">
        <v>1.33</v>
      </c>
    </row>
    <row r="231" ht="15.75" customHeight="1">
      <c r="A231" s="2" t="s">
        <v>4357</v>
      </c>
      <c r="B231" s="2" t="s">
        <v>1202</v>
      </c>
      <c r="C231" s="5" t="s">
        <v>142</v>
      </c>
      <c r="D231" s="2">
        <v>72.0</v>
      </c>
      <c r="E231" s="2">
        <v>2.25</v>
      </c>
    </row>
    <row r="232" ht="15.75" customHeight="1">
      <c r="A232" s="2" t="s">
        <v>4358</v>
      </c>
      <c r="B232" s="2" t="s">
        <v>1202</v>
      </c>
      <c r="C232" s="2" t="s">
        <v>301</v>
      </c>
      <c r="D232" s="2">
        <v>24.0</v>
      </c>
      <c r="E232" s="2">
        <v>2.25</v>
      </c>
    </row>
    <row r="233" ht="15.75" customHeight="1">
      <c r="A233" s="2" t="s">
        <v>4359</v>
      </c>
      <c r="B233" s="2" t="s">
        <v>1202</v>
      </c>
      <c r="C233" s="5" t="s">
        <v>82</v>
      </c>
      <c r="D233" s="2">
        <v>24.0</v>
      </c>
      <c r="E233" s="2">
        <v>2.25</v>
      </c>
    </row>
    <row r="234" ht="15.75" customHeight="1">
      <c r="A234" s="2" t="s">
        <v>4360</v>
      </c>
      <c r="B234" s="2" t="s">
        <v>1202</v>
      </c>
      <c r="C234" s="2" t="s">
        <v>286</v>
      </c>
      <c r="D234" s="2">
        <v>60.0</v>
      </c>
      <c r="E234" s="2">
        <v>2.66</v>
      </c>
    </row>
    <row r="235" ht="15.75" customHeight="1">
      <c r="A235" s="2" t="s">
        <v>4361</v>
      </c>
      <c r="B235" s="2" t="s">
        <v>1202</v>
      </c>
      <c r="C235" s="2" t="s">
        <v>271</v>
      </c>
      <c r="D235" s="2">
        <v>90.0</v>
      </c>
      <c r="E235" s="2">
        <v>3.0</v>
      </c>
    </row>
    <row r="236" ht="15.75" customHeight="1">
      <c r="A236" s="2" t="s">
        <v>4362</v>
      </c>
      <c r="B236" s="2" t="s">
        <v>1202</v>
      </c>
      <c r="C236" s="5" t="s">
        <v>217</v>
      </c>
      <c r="D236" s="2">
        <v>75.0</v>
      </c>
      <c r="E236" s="2">
        <v>2.8</v>
      </c>
    </row>
    <row r="237" ht="15.75" customHeight="1">
      <c r="A237" s="2" t="s">
        <v>4363</v>
      </c>
      <c r="B237" s="2" t="s">
        <v>1202</v>
      </c>
      <c r="C237" s="5" t="s">
        <v>192</v>
      </c>
      <c r="D237" s="2">
        <v>48.0</v>
      </c>
      <c r="E237" s="2">
        <v>3.5</v>
      </c>
    </row>
    <row r="238" ht="15.75" customHeight="1">
      <c r="A238" s="5" t="s">
        <v>4364</v>
      </c>
      <c r="B238" s="2" t="s">
        <v>1222</v>
      </c>
      <c r="C238" s="5" t="s">
        <v>14</v>
      </c>
      <c r="D238" s="2">
        <v>50.0</v>
      </c>
      <c r="E238" s="2">
        <v>4.7</v>
      </c>
    </row>
    <row r="239" ht="15.75" customHeight="1">
      <c r="A239" s="2" t="s">
        <v>4365</v>
      </c>
      <c r="B239" s="2" t="s">
        <v>1222</v>
      </c>
      <c r="C239" s="5" t="s">
        <v>148</v>
      </c>
      <c r="D239" s="2">
        <v>30.0</v>
      </c>
      <c r="E239" s="2">
        <v>3.28</v>
      </c>
    </row>
    <row r="240" ht="15.75" customHeight="1">
      <c r="A240" s="2" t="s">
        <v>4366</v>
      </c>
      <c r="B240" s="2" t="s">
        <v>1222</v>
      </c>
      <c r="C240" s="5" t="s">
        <v>186</v>
      </c>
      <c r="D240" s="2">
        <v>20.0</v>
      </c>
      <c r="E240" s="2">
        <v>5.9</v>
      </c>
    </row>
    <row r="241" ht="15.75" customHeight="1">
      <c r="A241" s="2" t="s">
        <v>4367</v>
      </c>
      <c r="B241" s="2" t="s">
        <v>1229</v>
      </c>
      <c r="C241" s="2" t="s">
        <v>378</v>
      </c>
      <c r="D241" s="2">
        <v>24.0</v>
      </c>
    </row>
    <row r="242" ht="15.75" customHeight="1">
      <c r="A242" s="2" t="s">
        <v>4368</v>
      </c>
      <c r="B242" s="2" t="s">
        <v>1229</v>
      </c>
      <c r="C242" s="2" t="s">
        <v>384</v>
      </c>
      <c r="D242" s="2">
        <v>48.0</v>
      </c>
    </row>
    <row r="243" ht="15.75" customHeight="1">
      <c r="A243" s="2" t="s">
        <v>4369</v>
      </c>
      <c r="B243" s="2" t="s">
        <v>1229</v>
      </c>
      <c r="C243" s="2" t="s">
        <v>372</v>
      </c>
      <c r="D243" s="2">
        <v>72.0</v>
      </c>
    </row>
    <row r="244" ht="15.75" customHeight="1">
      <c r="A244" s="2" t="s">
        <v>4370</v>
      </c>
      <c r="B244" s="2" t="s">
        <v>1229</v>
      </c>
      <c r="C244" s="2" t="s">
        <v>354</v>
      </c>
      <c r="D244" s="2">
        <v>48.0</v>
      </c>
    </row>
    <row r="245" ht="15.75" customHeight="1">
      <c r="A245" s="2" t="s">
        <v>4371</v>
      </c>
      <c r="B245" s="2" t="s">
        <v>1229</v>
      </c>
      <c r="C245" s="5" t="s">
        <v>59</v>
      </c>
      <c r="D245" s="2">
        <v>54.0</v>
      </c>
      <c r="E245" s="2">
        <v>2.08</v>
      </c>
    </row>
    <row r="246" ht="15.75" customHeight="1">
      <c r="A246" s="2" t="s">
        <v>4372</v>
      </c>
      <c r="B246" s="2" t="s">
        <v>1229</v>
      </c>
      <c r="C246" s="5" t="s">
        <v>134</v>
      </c>
      <c r="D246" s="2">
        <v>54.0</v>
      </c>
      <c r="E246" s="2">
        <v>2.0</v>
      </c>
    </row>
    <row r="247" ht="15.75" customHeight="1">
      <c r="A247" s="2" t="s">
        <v>4373</v>
      </c>
      <c r="B247" s="2" t="s">
        <v>1229</v>
      </c>
      <c r="C247" s="2" t="s">
        <v>369</v>
      </c>
      <c r="D247" s="2">
        <v>72.0</v>
      </c>
    </row>
    <row r="248" ht="15.75" customHeight="1">
      <c r="A248" s="2" t="s">
        <v>4374</v>
      </c>
      <c r="B248" s="2" t="s">
        <v>1229</v>
      </c>
      <c r="C248" s="5" t="s">
        <v>96</v>
      </c>
      <c r="D248" s="2">
        <v>48.0</v>
      </c>
      <c r="E248" s="2">
        <v>1.93</v>
      </c>
    </row>
    <row r="249" ht="15.75" customHeight="1">
      <c r="A249" s="2" t="s">
        <v>4375</v>
      </c>
      <c r="B249" s="2" t="s">
        <v>1229</v>
      </c>
      <c r="C249" s="5" t="s">
        <v>165</v>
      </c>
      <c r="D249" s="2">
        <v>24.0</v>
      </c>
      <c r="E249" s="2">
        <v>2.25</v>
      </c>
    </row>
    <row r="250" ht="15.75" customHeight="1">
      <c r="A250" s="2" t="s">
        <v>4376</v>
      </c>
      <c r="B250" s="2" t="s">
        <v>1240</v>
      </c>
      <c r="C250" s="5" t="s">
        <v>214</v>
      </c>
      <c r="D250" s="2">
        <v>600.0</v>
      </c>
      <c r="E250" s="2">
        <v>0.3</v>
      </c>
    </row>
    <row r="251" ht="15.75" customHeight="1">
      <c r="A251" s="5" t="s">
        <v>4377</v>
      </c>
      <c r="B251" s="2" t="s">
        <v>1202</v>
      </c>
      <c r="C251" s="2" t="s">
        <v>289</v>
      </c>
      <c r="D251" s="2">
        <v>36.0</v>
      </c>
      <c r="E251" s="2">
        <v>2.78</v>
      </c>
    </row>
    <row r="252" ht="15.75" customHeight="1">
      <c r="A252" s="2" t="s">
        <v>4378</v>
      </c>
      <c r="B252" s="2" t="s">
        <v>1386</v>
      </c>
      <c r="C252" s="5" t="s">
        <v>195</v>
      </c>
      <c r="D252" s="2">
        <v>14.0</v>
      </c>
      <c r="E252" s="2">
        <v>5.83</v>
      </c>
    </row>
    <row r="253" ht="15.75" customHeight="1">
      <c r="A253" s="2" t="s">
        <v>4379</v>
      </c>
      <c r="B253" s="2" t="s">
        <v>1386</v>
      </c>
      <c r="C253" s="5" t="s">
        <v>14</v>
      </c>
      <c r="D253" s="2">
        <v>80.0</v>
      </c>
      <c r="E253" s="2">
        <v>4.7</v>
      </c>
    </row>
    <row r="254" ht="15.75" customHeight="1">
      <c r="A254" s="2" t="s">
        <v>4380</v>
      </c>
      <c r="B254" s="2" t="s">
        <v>1389</v>
      </c>
      <c r="C254" s="2" t="s">
        <v>289</v>
      </c>
      <c r="D254" s="2">
        <v>108.0</v>
      </c>
      <c r="E254" s="2">
        <v>2.78</v>
      </c>
    </row>
    <row r="255" ht="15.75" customHeight="1">
      <c r="A255" s="2" t="s">
        <v>4381</v>
      </c>
      <c r="B255" s="2" t="s">
        <v>1389</v>
      </c>
      <c r="C255" s="2" t="s">
        <v>384</v>
      </c>
      <c r="D255" s="2">
        <v>72.0</v>
      </c>
    </row>
    <row r="256" ht="15.75" customHeight="1">
      <c r="A256" s="2" t="s">
        <v>4382</v>
      </c>
      <c r="B256" s="2" t="s">
        <v>1389</v>
      </c>
      <c r="C256" s="2" t="s">
        <v>378</v>
      </c>
      <c r="D256" s="2">
        <v>48.0</v>
      </c>
    </row>
    <row r="257" ht="15.75" customHeight="1">
      <c r="A257" s="2" t="s">
        <v>4383</v>
      </c>
      <c r="B257" s="2" t="s">
        <v>1389</v>
      </c>
      <c r="C257" s="2" t="s">
        <v>375</v>
      </c>
      <c r="D257" s="2">
        <v>48.0</v>
      </c>
    </row>
    <row r="258" ht="15.75" customHeight="1">
      <c r="A258" s="2" t="s">
        <v>4384</v>
      </c>
      <c r="B258" s="2" t="s">
        <v>1389</v>
      </c>
      <c r="C258" s="5" t="s">
        <v>165</v>
      </c>
      <c r="D258" s="2">
        <v>24.0</v>
      </c>
      <c r="E258" s="2">
        <v>2.25</v>
      </c>
    </row>
    <row r="259" ht="15.75" customHeight="1">
      <c r="A259" s="2" t="s">
        <v>4385</v>
      </c>
      <c r="B259" s="2" t="s">
        <v>1389</v>
      </c>
      <c r="C259" s="5" t="s">
        <v>192</v>
      </c>
      <c r="D259" s="2">
        <v>48.0</v>
      </c>
      <c r="E259" s="2">
        <v>3.5</v>
      </c>
    </row>
    <row r="260" ht="15.75" customHeight="1">
      <c r="A260" s="2" t="s">
        <v>4386</v>
      </c>
      <c r="B260" s="2" t="s">
        <v>1396</v>
      </c>
      <c r="C260" s="2" t="s">
        <v>271</v>
      </c>
      <c r="D260" s="2">
        <v>75.0</v>
      </c>
      <c r="E260" s="2">
        <v>3.0</v>
      </c>
    </row>
    <row r="261" ht="15.75" customHeight="1">
      <c r="A261" s="2" t="s">
        <v>4387</v>
      </c>
      <c r="B261" s="2" t="s">
        <v>1396</v>
      </c>
      <c r="C261" s="5" t="s">
        <v>217</v>
      </c>
      <c r="D261" s="2">
        <v>150.0</v>
      </c>
      <c r="E261" s="2">
        <v>2.8</v>
      </c>
    </row>
    <row r="262" ht="15.75" customHeight="1">
      <c r="A262" s="2" t="s">
        <v>4388</v>
      </c>
      <c r="B262" s="2" t="s">
        <v>1396</v>
      </c>
      <c r="C262" s="5" t="s">
        <v>82</v>
      </c>
      <c r="D262" s="2">
        <v>48.0</v>
      </c>
      <c r="E262" s="2">
        <v>2.25</v>
      </c>
    </row>
    <row r="263" ht="15.75" customHeight="1">
      <c r="A263" s="2" t="s">
        <v>4389</v>
      </c>
      <c r="B263" s="2" t="s">
        <v>1511</v>
      </c>
      <c r="C263" s="5" t="s">
        <v>214</v>
      </c>
      <c r="D263" s="2">
        <v>600.0</v>
      </c>
      <c r="E263" s="2">
        <v>0.3</v>
      </c>
    </row>
    <row r="264" ht="15.75" customHeight="1">
      <c r="A264" s="2" t="s">
        <v>4390</v>
      </c>
      <c r="B264" s="2" t="s">
        <v>1515</v>
      </c>
      <c r="C264" s="5" t="s">
        <v>186</v>
      </c>
      <c r="D264" s="2">
        <v>20.0</v>
      </c>
      <c r="E264" s="2">
        <v>5.9</v>
      </c>
    </row>
    <row r="265" ht="15.75" customHeight="1">
      <c r="A265" s="2" t="s">
        <v>4391</v>
      </c>
      <c r="B265" s="2" t="s">
        <v>1519</v>
      </c>
      <c r="C265" s="5" t="s">
        <v>192</v>
      </c>
      <c r="D265" s="2">
        <v>120.0</v>
      </c>
      <c r="E265" s="2">
        <v>3.5</v>
      </c>
    </row>
    <row r="266" ht="15.75" customHeight="1">
      <c r="A266" s="2" t="s">
        <v>4392</v>
      </c>
      <c r="B266" s="2" t="s">
        <v>1522</v>
      </c>
      <c r="C266" s="5" t="s">
        <v>142</v>
      </c>
      <c r="D266" s="2">
        <v>72.0</v>
      </c>
      <c r="E266" s="2">
        <v>2.25</v>
      </c>
    </row>
    <row r="267" ht="15.75" customHeight="1">
      <c r="A267" s="2" t="s">
        <v>4393</v>
      </c>
      <c r="B267" s="2" t="s">
        <v>1522</v>
      </c>
      <c r="C267" s="5" t="s">
        <v>134</v>
      </c>
      <c r="D267" s="2">
        <v>54.0</v>
      </c>
      <c r="E267" s="2">
        <v>2.0</v>
      </c>
    </row>
    <row r="268" ht="15.75" customHeight="1">
      <c r="A268" s="2" t="s">
        <v>4394</v>
      </c>
      <c r="B268" s="2" t="s">
        <v>1526</v>
      </c>
      <c r="C268" s="2" t="s">
        <v>372</v>
      </c>
      <c r="D268" s="2">
        <v>24.0</v>
      </c>
    </row>
    <row r="269" ht="15.75" customHeight="1">
      <c r="A269" s="2" t="s">
        <v>4395</v>
      </c>
      <c r="B269" s="2" t="s">
        <v>1526</v>
      </c>
      <c r="C269" s="2" t="s">
        <v>375</v>
      </c>
      <c r="D269" s="2">
        <v>24.0</v>
      </c>
    </row>
    <row r="270" ht="15.75" customHeight="1">
      <c r="A270" s="2" t="s">
        <v>4396</v>
      </c>
      <c r="B270" s="2" t="s">
        <v>1526</v>
      </c>
      <c r="C270" s="2" t="s">
        <v>378</v>
      </c>
      <c r="D270" s="2">
        <v>24.0</v>
      </c>
    </row>
    <row r="271" ht="15.75" customHeight="1">
      <c r="A271" s="2" t="s">
        <v>4397</v>
      </c>
      <c r="B271" s="2" t="s">
        <v>1555</v>
      </c>
      <c r="C271" s="5" t="s">
        <v>192</v>
      </c>
      <c r="D271" s="2">
        <v>72.0</v>
      </c>
      <c r="E271" s="2">
        <v>3.5</v>
      </c>
    </row>
    <row r="272" ht="15.75" customHeight="1">
      <c r="A272" s="2" t="s">
        <v>4398</v>
      </c>
      <c r="B272" s="2" t="s">
        <v>1555</v>
      </c>
      <c r="C272" s="5" t="s">
        <v>217</v>
      </c>
      <c r="D272" s="2">
        <v>75.0</v>
      </c>
      <c r="E272" s="2">
        <v>2.8</v>
      </c>
    </row>
    <row r="273" ht="15.75" customHeight="1">
      <c r="A273" s="2" t="s">
        <v>4399</v>
      </c>
      <c r="B273" s="2" t="s">
        <v>1555</v>
      </c>
      <c r="C273" s="2" t="s">
        <v>271</v>
      </c>
      <c r="D273" s="2">
        <v>75.0</v>
      </c>
      <c r="E273" s="2">
        <v>3.0</v>
      </c>
    </row>
    <row r="274" ht="15.75" customHeight="1">
      <c r="A274" s="2" t="s">
        <v>4400</v>
      </c>
      <c r="B274" s="2" t="s">
        <v>1555</v>
      </c>
      <c r="C274" s="5" t="s">
        <v>142</v>
      </c>
      <c r="D274" s="2">
        <v>48.0</v>
      </c>
      <c r="E274" s="2">
        <v>2.25</v>
      </c>
    </row>
    <row r="275" ht="15.75" customHeight="1">
      <c r="A275" s="2" t="s">
        <v>4401</v>
      </c>
      <c r="B275" s="2" t="s">
        <v>1555</v>
      </c>
      <c r="C275" s="5" t="s">
        <v>165</v>
      </c>
      <c r="D275" s="2">
        <v>48.0</v>
      </c>
      <c r="E275" s="2">
        <v>2.25</v>
      </c>
    </row>
    <row r="276" ht="15.75" customHeight="1">
      <c r="A276" s="2" t="s">
        <v>4402</v>
      </c>
      <c r="B276" s="2" t="s">
        <v>1561</v>
      </c>
      <c r="C276" s="5" t="s">
        <v>96</v>
      </c>
      <c r="D276" s="2">
        <v>24.0</v>
      </c>
      <c r="E276" s="2">
        <v>1.93</v>
      </c>
    </row>
    <row r="277" ht="15.75" customHeight="1">
      <c r="A277" s="2" t="s">
        <v>4403</v>
      </c>
      <c r="B277" s="2" t="s">
        <v>1561</v>
      </c>
      <c r="C277" s="2" t="s">
        <v>369</v>
      </c>
      <c r="D277" s="2">
        <v>12.0</v>
      </c>
    </row>
    <row r="278" ht="15.75" customHeight="1">
      <c r="A278" s="2" t="s">
        <v>4404</v>
      </c>
      <c r="B278" s="2" t="s">
        <v>1740</v>
      </c>
      <c r="C278" s="5" t="s">
        <v>192</v>
      </c>
      <c r="D278" s="2">
        <v>240.0</v>
      </c>
      <c r="E278" s="2">
        <v>3.5</v>
      </c>
    </row>
    <row r="279" ht="15.75" customHeight="1">
      <c r="A279" s="2" t="s">
        <v>4405</v>
      </c>
      <c r="B279" s="2" t="s">
        <v>1740</v>
      </c>
      <c r="C279" s="2" t="s">
        <v>327</v>
      </c>
      <c r="D279" s="2">
        <v>140.0</v>
      </c>
    </row>
    <row r="280" ht="15.75" customHeight="1">
      <c r="A280" s="2" t="s">
        <v>4406</v>
      </c>
      <c r="B280" s="2" t="s">
        <v>1740</v>
      </c>
      <c r="C280" s="2" t="s">
        <v>295</v>
      </c>
      <c r="D280" s="2">
        <v>240.0</v>
      </c>
      <c r="E280" s="2">
        <v>0.45</v>
      </c>
    </row>
    <row r="281" ht="15.75" customHeight="1">
      <c r="A281" s="2" t="s">
        <v>4407</v>
      </c>
      <c r="B281" s="2" t="s">
        <v>1740</v>
      </c>
      <c r="C281" s="5" t="s">
        <v>171</v>
      </c>
      <c r="D281" s="2">
        <v>72.0</v>
      </c>
      <c r="E281" s="2">
        <v>1.33</v>
      </c>
    </row>
    <row r="282" ht="15.75" customHeight="1">
      <c r="A282" s="2" t="s">
        <v>4408</v>
      </c>
      <c r="B282" s="2" t="s">
        <v>1745</v>
      </c>
      <c r="C282" s="5" t="s">
        <v>165</v>
      </c>
      <c r="D282" s="2">
        <v>120.0</v>
      </c>
      <c r="E282" s="2">
        <v>2.25</v>
      </c>
    </row>
    <row r="283" ht="15.75" customHeight="1">
      <c r="A283" s="2" t="s">
        <v>4409</v>
      </c>
      <c r="B283" s="2" t="s">
        <v>1745</v>
      </c>
      <c r="C283" s="5" t="s">
        <v>131</v>
      </c>
      <c r="D283" s="2">
        <v>24.0</v>
      </c>
      <c r="E283" s="2">
        <v>1.33</v>
      </c>
    </row>
    <row r="284" ht="15.75" customHeight="1">
      <c r="A284" s="5" t="s">
        <v>4410</v>
      </c>
      <c r="B284" s="2" t="s">
        <v>1745</v>
      </c>
      <c r="C284" s="5" t="s">
        <v>120</v>
      </c>
      <c r="D284" s="2">
        <v>16.0</v>
      </c>
      <c r="E284" s="2">
        <v>6.12</v>
      </c>
    </row>
    <row r="285" ht="15.75" customHeight="1">
      <c r="A285" s="2" t="s">
        <v>4411</v>
      </c>
      <c r="B285" s="2" t="s">
        <v>1745</v>
      </c>
      <c r="C285" s="5" t="s">
        <v>217</v>
      </c>
      <c r="D285" s="2">
        <v>195.0</v>
      </c>
      <c r="E285" s="2">
        <v>2.8</v>
      </c>
    </row>
    <row r="286" ht="15.75" customHeight="1">
      <c r="A286" s="2" t="s">
        <v>4412</v>
      </c>
      <c r="B286" s="2" t="s">
        <v>1745</v>
      </c>
      <c r="C286" s="2" t="s">
        <v>271</v>
      </c>
      <c r="D286" s="2">
        <v>105.0</v>
      </c>
      <c r="E286" s="2">
        <v>3.0</v>
      </c>
    </row>
    <row r="287" ht="15.75" customHeight="1">
      <c r="A287" s="2" t="s">
        <v>4413</v>
      </c>
      <c r="B287" s="2" t="s">
        <v>1745</v>
      </c>
      <c r="C287" s="5" t="s">
        <v>82</v>
      </c>
      <c r="D287" s="2">
        <v>48.0</v>
      </c>
      <c r="E287" s="2">
        <v>2.25</v>
      </c>
    </row>
    <row r="288" ht="15.75" customHeight="1">
      <c r="A288" s="2" t="s">
        <v>4414</v>
      </c>
      <c r="B288" s="2" t="s">
        <v>1745</v>
      </c>
      <c r="C288" s="2" t="s">
        <v>301</v>
      </c>
      <c r="D288" s="2">
        <v>48.0</v>
      </c>
      <c r="E288" s="2">
        <v>2.25</v>
      </c>
    </row>
    <row r="289" ht="15.75" customHeight="1">
      <c r="A289" s="2" t="s">
        <v>4415</v>
      </c>
      <c r="B289" s="2" t="s">
        <v>1745</v>
      </c>
      <c r="C289" s="2" t="s">
        <v>381</v>
      </c>
      <c r="D289" s="2">
        <v>24.0</v>
      </c>
    </row>
    <row r="290" ht="15.75" customHeight="1">
      <c r="A290" s="2" t="s">
        <v>4416</v>
      </c>
      <c r="B290" s="2" t="s">
        <v>1754</v>
      </c>
      <c r="C290" s="2" t="s">
        <v>289</v>
      </c>
      <c r="D290" s="2">
        <v>144.0</v>
      </c>
      <c r="E290" s="2">
        <v>2.78</v>
      </c>
    </row>
    <row r="291" ht="15.75" customHeight="1">
      <c r="A291" s="2" t="s">
        <v>4417</v>
      </c>
      <c r="B291" s="2" t="s">
        <v>1754</v>
      </c>
      <c r="C291" s="2" t="s">
        <v>384</v>
      </c>
      <c r="D291" s="2">
        <v>72.0</v>
      </c>
    </row>
    <row r="292" ht="15.75" customHeight="1">
      <c r="A292" s="2" t="s">
        <v>4418</v>
      </c>
      <c r="B292" s="2" t="s">
        <v>1754</v>
      </c>
      <c r="C292" s="5" t="s">
        <v>206</v>
      </c>
      <c r="D292" s="2">
        <v>24.0</v>
      </c>
      <c r="E292" s="2">
        <v>2.0</v>
      </c>
    </row>
    <row r="293" ht="15.75" customHeight="1">
      <c r="A293" s="2" t="s">
        <v>4419</v>
      </c>
      <c r="B293" s="2" t="s">
        <v>1754</v>
      </c>
      <c r="C293" s="2" t="s">
        <v>372</v>
      </c>
      <c r="D293" s="2">
        <v>72.0</v>
      </c>
    </row>
    <row r="294" ht="15.75" customHeight="1">
      <c r="A294" s="2" t="s">
        <v>4420</v>
      </c>
      <c r="B294" s="2" t="s">
        <v>1754</v>
      </c>
      <c r="C294" s="2" t="s">
        <v>378</v>
      </c>
      <c r="D294" s="2">
        <v>48.0</v>
      </c>
    </row>
    <row r="295" ht="15.75" customHeight="1">
      <c r="A295" s="2" t="s">
        <v>4421</v>
      </c>
      <c r="B295" s="2" t="s">
        <v>1754</v>
      </c>
      <c r="C295" s="2" t="s">
        <v>375</v>
      </c>
      <c r="D295" s="2">
        <v>48.0</v>
      </c>
    </row>
    <row r="296" ht="15.75" customHeight="1">
      <c r="A296" s="2" t="s">
        <v>4422</v>
      </c>
      <c r="B296" s="2" t="s">
        <v>1754</v>
      </c>
      <c r="C296" s="5" t="s">
        <v>186</v>
      </c>
      <c r="D296" s="2">
        <v>10.0</v>
      </c>
      <c r="E296" s="2">
        <v>5.9</v>
      </c>
    </row>
    <row r="297" ht="15.75" customHeight="1">
      <c r="A297" s="2" t="s">
        <v>4423</v>
      </c>
      <c r="B297" s="2" t="s">
        <v>1754</v>
      </c>
      <c r="C297" s="2" t="s">
        <v>369</v>
      </c>
      <c r="D297" s="2">
        <v>84.0</v>
      </c>
    </row>
    <row r="298" ht="15.75" customHeight="1">
      <c r="A298" s="2" t="s">
        <v>4424</v>
      </c>
      <c r="B298" s="2" t="s">
        <v>1754</v>
      </c>
      <c r="C298" s="5" t="s">
        <v>96</v>
      </c>
      <c r="D298" s="2">
        <v>48.0</v>
      </c>
      <c r="E298" s="2">
        <v>1.93</v>
      </c>
    </row>
    <row r="299" ht="15.75" customHeight="1">
      <c r="A299" s="2" t="s">
        <v>4425</v>
      </c>
      <c r="B299" s="2" t="s">
        <v>1764</v>
      </c>
      <c r="C299" s="5" t="s">
        <v>14</v>
      </c>
      <c r="D299" s="2">
        <v>60.0</v>
      </c>
      <c r="E299" s="2">
        <v>4.7</v>
      </c>
    </row>
    <row r="300" ht="15.75" customHeight="1">
      <c r="A300" s="2" t="s">
        <v>4426</v>
      </c>
      <c r="B300" s="2" t="s">
        <v>1764</v>
      </c>
      <c r="C300" s="2" t="s">
        <v>342</v>
      </c>
      <c r="D300" s="2">
        <v>22.0</v>
      </c>
    </row>
    <row r="301" ht="15.75" customHeight="1">
      <c r="A301" s="2" t="s">
        <v>4427</v>
      </c>
      <c r="B301" s="2" t="s">
        <v>1767</v>
      </c>
      <c r="C301" s="5" t="s">
        <v>142</v>
      </c>
      <c r="D301" s="2">
        <v>120.0</v>
      </c>
      <c r="E301" s="2">
        <v>2.25</v>
      </c>
    </row>
    <row r="302" ht="15.75" customHeight="1">
      <c r="A302" s="2" t="s">
        <v>4428</v>
      </c>
      <c r="B302" s="2" t="s">
        <v>1767</v>
      </c>
      <c r="C302" s="5" t="s">
        <v>82</v>
      </c>
      <c r="D302" s="2">
        <v>72.0</v>
      </c>
      <c r="E302" s="2">
        <v>2.25</v>
      </c>
    </row>
    <row r="303" ht="15.75" customHeight="1">
      <c r="A303" s="2" t="s">
        <v>4429</v>
      </c>
      <c r="B303" s="2" t="s">
        <v>1767</v>
      </c>
      <c r="C303" s="2" t="s">
        <v>301</v>
      </c>
      <c r="D303" s="2">
        <v>72.0</v>
      </c>
      <c r="E303" s="2">
        <v>2.25</v>
      </c>
    </row>
    <row r="304" ht="15.75" customHeight="1">
      <c r="A304" s="2" t="s">
        <v>4430</v>
      </c>
      <c r="B304" s="2" t="s">
        <v>1767</v>
      </c>
      <c r="C304" s="5" t="s">
        <v>85</v>
      </c>
      <c r="D304" s="2">
        <v>24.0</v>
      </c>
      <c r="E304" s="2">
        <v>2.25</v>
      </c>
    </row>
    <row r="305" ht="15.75" customHeight="1">
      <c r="A305" s="2" t="s">
        <v>4431</v>
      </c>
      <c r="B305" s="2" t="s">
        <v>1772</v>
      </c>
      <c r="C305" s="5" t="s">
        <v>214</v>
      </c>
      <c r="D305" s="2">
        <v>600.0</v>
      </c>
      <c r="E305" s="2">
        <v>0.3</v>
      </c>
    </row>
    <row r="306" ht="15.75" customHeight="1">
      <c r="A306" s="2" t="s">
        <v>4432</v>
      </c>
      <c r="B306" s="2" t="s">
        <v>1821</v>
      </c>
      <c r="C306" s="5" t="s">
        <v>148</v>
      </c>
      <c r="D306" s="2">
        <v>25.0</v>
      </c>
      <c r="E306" s="2">
        <v>3.28</v>
      </c>
    </row>
    <row r="307" ht="15.75" customHeight="1">
      <c r="A307" s="2" t="s">
        <v>4433</v>
      </c>
      <c r="B307" s="2" t="s">
        <v>1821</v>
      </c>
      <c r="C307" s="2" t="s">
        <v>342</v>
      </c>
      <c r="D307" s="2">
        <v>40.0</v>
      </c>
    </row>
    <row r="308" ht="15.75" customHeight="1">
      <c r="A308" s="2" t="s">
        <v>4434</v>
      </c>
      <c r="B308" s="2" t="s">
        <v>1821</v>
      </c>
      <c r="C308" s="5" t="s">
        <v>96</v>
      </c>
      <c r="D308" s="2">
        <v>48.0</v>
      </c>
      <c r="E308" s="2">
        <v>1.93</v>
      </c>
    </row>
    <row r="309" ht="15.75" customHeight="1">
      <c r="A309" s="2" t="s">
        <v>4435</v>
      </c>
      <c r="B309" s="2" t="s">
        <v>1821</v>
      </c>
      <c r="C309" s="5" t="s">
        <v>14</v>
      </c>
      <c r="D309" s="2">
        <v>40.0</v>
      </c>
      <c r="E309" s="2">
        <v>4.7</v>
      </c>
    </row>
    <row r="310" ht="15.75" customHeight="1">
      <c r="A310" s="2" t="s">
        <v>4436</v>
      </c>
      <c r="B310" s="2" t="s">
        <v>1911</v>
      </c>
      <c r="C310" s="5" t="s">
        <v>192</v>
      </c>
      <c r="D310" s="2">
        <v>48.0</v>
      </c>
      <c r="E310" s="2">
        <v>3.5</v>
      </c>
    </row>
    <row r="311" ht="15.75" customHeight="1">
      <c r="A311" s="2" t="s">
        <v>4437</v>
      </c>
      <c r="B311" s="2" t="s">
        <v>1911</v>
      </c>
      <c r="C311" s="2" t="s">
        <v>289</v>
      </c>
      <c r="D311" s="2">
        <v>36.0</v>
      </c>
      <c r="E311" s="2">
        <v>2.78</v>
      </c>
    </row>
    <row r="312" ht="15.75" customHeight="1">
      <c r="A312" s="2" t="s">
        <v>4438</v>
      </c>
      <c r="B312" s="2" t="s">
        <v>1911</v>
      </c>
      <c r="C312" s="2" t="s">
        <v>327</v>
      </c>
      <c r="D312" s="2">
        <v>80.0</v>
      </c>
    </row>
    <row r="313" ht="15.75" customHeight="1">
      <c r="A313" s="5" t="s">
        <v>4439</v>
      </c>
      <c r="B313" s="2" t="s">
        <v>1911</v>
      </c>
      <c r="C313" s="2" t="s">
        <v>295</v>
      </c>
      <c r="D313" s="2">
        <v>240.0</v>
      </c>
      <c r="E313" s="2">
        <v>0.45</v>
      </c>
    </row>
    <row r="314" ht="15.75" customHeight="1">
      <c r="A314" s="2" t="s">
        <v>4440</v>
      </c>
      <c r="B314" s="2" t="s">
        <v>1916</v>
      </c>
      <c r="C314" s="5" t="s">
        <v>217</v>
      </c>
      <c r="D314" s="2">
        <v>75.0</v>
      </c>
      <c r="E314" s="2">
        <v>2.8</v>
      </c>
    </row>
    <row r="315" ht="15.75" customHeight="1">
      <c r="A315" s="2" t="s">
        <v>4441</v>
      </c>
      <c r="B315" s="2" t="s">
        <v>1916</v>
      </c>
      <c r="C315" s="2" t="s">
        <v>271</v>
      </c>
      <c r="D315" s="2">
        <v>30.0</v>
      </c>
      <c r="E315" s="2">
        <v>3.0</v>
      </c>
    </row>
    <row r="316" ht="15.75" customHeight="1">
      <c r="A316" s="2" t="s">
        <v>4442</v>
      </c>
      <c r="B316" s="2" t="s">
        <v>1916</v>
      </c>
      <c r="C316" s="2" t="s">
        <v>286</v>
      </c>
      <c r="D316" s="2">
        <v>45.0</v>
      </c>
      <c r="E316" s="2">
        <v>2.66</v>
      </c>
    </row>
    <row r="317" ht="15.75" customHeight="1">
      <c r="A317" s="2" t="s">
        <v>4443</v>
      </c>
      <c r="B317" s="2" t="s">
        <v>1916</v>
      </c>
      <c r="C317" s="5" t="s">
        <v>171</v>
      </c>
      <c r="D317" s="2">
        <v>72.0</v>
      </c>
      <c r="E317" s="2">
        <v>1.33</v>
      </c>
    </row>
    <row r="318" ht="15.75" customHeight="1">
      <c r="A318" s="2" t="s">
        <v>4444</v>
      </c>
      <c r="B318" s="2" t="s">
        <v>1916</v>
      </c>
      <c r="C318" s="5" t="s">
        <v>165</v>
      </c>
      <c r="D318" s="2">
        <v>48.0</v>
      </c>
      <c r="E318" s="2">
        <v>2.25</v>
      </c>
    </row>
    <row r="319" ht="15.75" customHeight="1">
      <c r="A319" s="2" t="s">
        <v>4445</v>
      </c>
      <c r="B319" s="2" t="s">
        <v>1916</v>
      </c>
      <c r="C319" s="5" t="s">
        <v>142</v>
      </c>
      <c r="D319" s="2">
        <v>24.0</v>
      </c>
      <c r="E319" s="2">
        <v>2.25</v>
      </c>
    </row>
    <row r="320" ht="15.75" customHeight="1">
      <c r="A320" s="2" t="s">
        <v>4446</v>
      </c>
      <c r="B320" s="2" t="s">
        <v>1916</v>
      </c>
      <c r="C320" s="5" t="s">
        <v>206</v>
      </c>
      <c r="D320" s="2">
        <v>24.0</v>
      </c>
      <c r="E320" s="2">
        <v>2.0</v>
      </c>
    </row>
    <row r="321" ht="15.75" customHeight="1">
      <c r="A321" s="2" t="s">
        <v>4447</v>
      </c>
      <c r="B321" s="2" t="s">
        <v>1916</v>
      </c>
      <c r="C321" s="5" t="s">
        <v>59</v>
      </c>
      <c r="D321" s="2">
        <v>81.0</v>
      </c>
      <c r="E321" s="2">
        <v>2.08</v>
      </c>
    </row>
    <row r="322" ht="15.75" customHeight="1">
      <c r="A322" s="2" t="s">
        <v>4448</v>
      </c>
      <c r="B322" s="2" t="s">
        <v>1916</v>
      </c>
      <c r="C322" s="5" t="s">
        <v>134</v>
      </c>
      <c r="D322" s="2">
        <v>81.0</v>
      </c>
      <c r="E322" s="2">
        <v>2.0</v>
      </c>
    </row>
    <row r="323" ht="15.75" customHeight="1">
      <c r="A323" s="2" t="s">
        <v>4449</v>
      </c>
      <c r="B323" s="2" t="s">
        <v>1916</v>
      </c>
      <c r="C323" s="2" t="s">
        <v>360</v>
      </c>
      <c r="D323" s="2">
        <v>120.0</v>
      </c>
    </row>
    <row r="324" ht="15.75" customHeight="1">
      <c r="A324" s="2" t="s">
        <v>4450</v>
      </c>
      <c r="B324" s="2" t="s">
        <v>1916</v>
      </c>
      <c r="C324" s="5" t="s">
        <v>120</v>
      </c>
      <c r="D324" s="2">
        <v>16.0</v>
      </c>
      <c r="E324" s="2">
        <v>6.12</v>
      </c>
    </row>
    <row r="325" ht="15.75" customHeight="1">
      <c r="A325" s="2" t="s">
        <v>4451</v>
      </c>
      <c r="B325" s="2" t="s">
        <v>1916</v>
      </c>
      <c r="C325" s="2" t="s">
        <v>289</v>
      </c>
      <c r="D325" s="2">
        <v>36.0</v>
      </c>
      <c r="E325" s="2">
        <v>2.78</v>
      </c>
    </row>
    <row r="326" ht="15.75" customHeight="1">
      <c r="A326" s="2" t="s">
        <v>4452</v>
      </c>
      <c r="B326" s="2" t="s">
        <v>1929</v>
      </c>
      <c r="C326" s="2" t="s">
        <v>369</v>
      </c>
      <c r="D326" s="2">
        <v>60.0</v>
      </c>
    </row>
    <row r="327" ht="15.75" customHeight="1">
      <c r="A327" s="2" t="s">
        <v>4453</v>
      </c>
      <c r="B327" s="2" t="s">
        <v>1929</v>
      </c>
      <c r="C327" s="2" t="s">
        <v>384</v>
      </c>
      <c r="D327" s="2">
        <v>48.0</v>
      </c>
    </row>
    <row r="328" ht="15.75" customHeight="1">
      <c r="A328" s="2" t="s">
        <v>4454</v>
      </c>
      <c r="B328" s="2" t="s">
        <v>1929</v>
      </c>
      <c r="C328" s="2" t="s">
        <v>378</v>
      </c>
      <c r="D328" s="2">
        <v>72.0</v>
      </c>
    </row>
    <row r="329" ht="15.75" customHeight="1">
      <c r="A329" s="2" t="s">
        <v>4455</v>
      </c>
      <c r="B329" s="2" t="s">
        <v>1929</v>
      </c>
      <c r="C329" s="2" t="s">
        <v>372</v>
      </c>
      <c r="D329" s="2">
        <v>120.0</v>
      </c>
    </row>
    <row r="330" ht="15.75" customHeight="1">
      <c r="A330" s="2" t="s">
        <v>4456</v>
      </c>
      <c r="B330" s="2" t="s">
        <v>1934</v>
      </c>
      <c r="C330" s="5" t="s">
        <v>186</v>
      </c>
      <c r="D330" s="2">
        <v>10.0</v>
      </c>
      <c r="E330" s="2">
        <v>5.9</v>
      </c>
    </row>
    <row r="331" ht="15.75" customHeight="1">
      <c r="A331" s="2" t="s">
        <v>4457</v>
      </c>
      <c r="B331" s="2" t="s">
        <v>1934</v>
      </c>
      <c r="C331" s="5" t="s">
        <v>14</v>
      </c>
      <c r="D331" s="2">
        <v>30.0</v>
      </c>
      <c r="E331" s="2">
        <v>4.7</v>
      </c>
    </row>
    <row r="332" ht="15.75" customHeight="1">
      <c r="A332" s="2" t="s">
        <v>4458</v>
      </c>
      <c r="B332" s="2" t="s">
        <v>2071</v>
      </c>
      <c r="C332" s="5" t="s">
        <v>192</v>
      </c>
      <c r="D332" s="2">
        <v>72.0</v>
      </c>
      <c r="E332" s="2">
        <v>3.5</v>
      </c>
    </row>
    <row r="333" ht="15.75" customHeight="1">
      <c r="A333" s="2" t="s">
        <v>4459</v>
      </c>
      <c r="B333" s="2" t="s">
        <v>2071</v>
      </c>
      <c r="C333" s="5" t="s">
        <v>165</v>
      </c>
      <c r="D333" s="2">
        <v>120.0</v>
      </c>
      <c r="E333" s="2">
        <v>2.25</v>
      </c>
    </row>
    <row r="334" ht="15.75" customHeight="1">
      <c r="A334" s="2" t="s">
        <v>4460</v>
      </c>
      <c r="B334" s="2" t="s">
        <v>2071</v>
      </c>
      <c r="C334" s="2" t="s">
        <v>289</v>
      </c>
      <c r="D334" s="2">
        <v>36.0</v>
      </c>
      <c r="E334" s="2">
        <v>2.78</v>
      </c>
    </row>
    <row r="335" ht="15.75" customHeight="1">
      <c r="A335" s="2" t="s">
        <v>4461</v>
      </c>
      <c r="B335" s="2" t="s">
        <v>2071</v>
      </c>
      <c r="C335" s="5" t="s">
        <v>142</v>
      </c>
      <c r="D335" s="2">
        <v>96.0</v>
      </c>
      <c r="E335" s="2">
        <v>2.25</v>
      </c>
    </row>
    <row r="336" ht="15.75" customHeight="1">
      <c r="A336" s="2" t="s">
        <v>4462</v>
      </c>
      <c r="B336" s="2" t="s">
        <v>2071</v>
      </c>
      <c r="C336" s="5" t="s">
        <v>82</v>
      </c>
      <c r="D336" s="2">
        <v>24.0</v>
      </c>
      <c r="E336" s="2">
        <v>2.25</v>
      </c>
    </row>
    <row r="337" ht="15.75" customHeight="1">
      <c r="A337" s="2" t="s">
        <v>4463</v>
      </c>
      <c r="B337" s="2" t="s">
        <v>2071</v>
      </c>
      <c r="C337" s="2" t="s">
        <v>313</v>
      </c>
      <c r="D337" s="2">
        <v>48.0</v>
      </c>
    </row>
    <row r="338" ht="15.75" customHeight="1">
      <c r="A338" s="2" t="s">
        <v>4464</v>
      </c>
      <c r="B338" s="2" t="s">
        <v>2071</v>
      </c>
      <c r="C338" s="5" t="s">
        <v>217</v>
      </c>
      <c r="D338" s="2">
        <v>150.0</v>
      </c>
      <c r="E338" s="2">
        <v>2.8</v>
      </c>
    </row>
    <row r="339" ht="15.75" customHeight="1">
      <c r="A339" s="2" t="s">
        <v>4465</v>
      </c>
      <c r="B339" s="2" t="s">
        <v>2071</v>
      </c>
      <c r="C339" s="5" t="s">
        <v>171</v>
      </c>
      <c r="D339" s="2">
        <v>48.0</v>
      </c>
      <c r="E339" s="2">
        <v>1.33</v>
      </c>
    </row>
    <row r="340" ht="15.75" customHeight="1">
      <c r="A340" s="2" t="s">
        <v>4466</v>
      </c>
      <c r="B340" s="2" t="s">
        <v>2071</v>
      </c>
      <c r="C340" s="2" t="s">
        <v>402</v>
      </c>
      <c r="D340" s="2">
        <v>20.0</v>
      </c>
    </row>
    <row r="341" ht="15.75" customHeight="1">
      <c r="A341" s="2" t="s">
        <v>4467</v>
      </c>
      <c r="B341" s="2" t="s">
        <v>2071</v>
      </c>
      <c r="C341" s="2" t="s">
        <v>399</v>
      </c>
      <c r="D341" s="2">
        <v>12.0</v>
      </c>
    </row>
    <row r="342" ht="15.75" customHeight="1">
      <c r="A342" s="2" t="s">
        <v>4468</v>
      </c>
      <c r="B342" s="2" t="s">
        <v>2082</v>
      </c>
      <c r="C342" s="2" t="s">
        <v>369</v>
      </c>
      <c r="D342" s="2">
        <v>60.0</v>
      </c>
    </row>
    <row r="343" ht="15.75" customHeight="1">
      <c r="A343" s="2" t="s">
        <v>4469</v>
      </c>
      <c r="B343" s="2" t="s">
        <v>2082</v>
      </c>
      <c r="C343" s="5" t="s">
        <v>96</v>
      </c>
      <c r="D343" s="2">
        <v>48.0</v>
      </c>
      <c r="E343" s="2">
        <v>1.93</v>
      </c>
    </row>
    <row r="344" ht="15.75" customHeight="1">
      <c r="A344" s="2" t="s">
        <v>4470</v>
      </c>
      <c r="B344" s="2" t="s">
        <v>2082</v>
      </c>
      <c r="C344" s="2" t="s">
        <v>375</v>
      </c>
      <c r="D344" s="2">
        <v>72.0</v>
      </c>
    </row>
    <row r="345" ht="15.75" customHeight="1">
      <c r="A345" s="2" t="s">
        <v>4471</v>
      </c>
      <c r="B345" s="2" t="s">
        <v>2082</v>
      </c>
      <c r="C345" s="2" t="s">
        <v>372</v>
      </c>
      <c r="D345" s="2">
        <v>72.0</v>
      </c>
    </row>
    <row r="346" ht="15.75" customHeight="1">
      <c r="A346" s="2" t="s">
        <v>4472</v>
      </c>
      <c r="B346" s="2" t="s">
        <v>2082</v>
      </c>
      <c r="C346" s="2" t="s">
        <v>384</v>
      </c>
      <c r="D346" s="2">
        <v>96.0</v>
      </c>
    </row>
    <row r="347" ht="15.75" customHeight="1">
      <c r="A347" s="2" t="s">
        <v>4473</v>
      </c>
      <c r="B347" s="2" t="s">
        <v>2088</v>
      </c>
      <c r="C347" s="5" t="s">
        <v>14</v>
      </c>
      <c r="D347" s="2">
        <v>20.0</v>
      </c>
      <c r="E347" s="2">
        <v>4.7</v>
      </c>
    </row>
    <row r="348" ht="15.75" customHeight="1">
      <c r="A348" s="2" t="s">
        <v>4474</v>
      </c>
      <c r="B348" s="2" t="s">
        <v>2088</v>
      </c>
      <c r="C348" s="2" t="s">
        <v>363</v>
      </c>
      <c r="D348" s="2">
        <v>12.0</v>
      </c>
      <c r="E348" s="2">
        <v>4.5</v>
      </c>
    </row>
    <row r="349" ht="15.75" customHeight="1">
      <c r="A349" s="2" t="s">
        <v>4475</v>
      </c>
      <c r="B349" s="2" t="s">
        <v>2088</v>
      </c>
      <c r="C349" s="5" t="s">
        <v>186</v>
      </c>
      <c r="D349" s="2">
        <v>10.0</v>
      </c>
      <c r="E349" s="2">
        <v>5.9</v>
      </c>
    </row>
    <row r="350" ht="15.75" customHeight="1">
      <c r="A350" s="2" t="s">
        <v>4476</v>
      </c>
      <c r="B350" s="2" t="s">
        <v>2088</v>
      </c>
      <c r="C350" s="5" t="s">
        <v>174</v>
      </c>
      <c r="D350" s="2">
        <v>7.0</v>
      </c>
      <c r="E350" s="2">
        <v>24.0</v>
      </c>
    </row>
    <row r="351" ht="15.75" customHeight="1">
      <c r="A351" s="2" t="s">
        <v>4477</v>
      </c>
      <c r="B351" s="2" t="s">
        <v>2088</v>
      </c>
      <c r="C351" s="2" t="s">
        <v>289</v>
      </c>
      <c r="D351" s="2">
        <v>180.0</v>
      </c>
      <c r="E351" s="2">
        <v>2.78</v>
      </c>
    </row>
    <row r="352" ht="15.75" customHeight="1">
      <c r="A352" s="2" t="s">
        <v>4478</v>
      </c>
      <c r="B352" s="2" t="s">
        <v>2088</v>
      </c>
      <c r="C352" s="2" t="s">
        <v>342</v>
      </c>
      <c r="D352" s="2">
        <v>10.0</v>
      </c>
    </row>
    <row r="353" ht="15.75" customHeight="1">
      <c r="A353" s="2" t="s">
        <v>4479</v>
      </c>
      <c r="B353" s="2" t="s">
        <v>2095</v>
      </c>
      <c r="C353" s="5" t="s">
        <v>214</v>
      </c>
      <c r="D353" s="2">
        <v>720.0</v>
      </c>
      <c r="E353" s="2">
        <v>0.3</v>
      </c>
    </row>
    <row r="354" ht="15.75" customHeight="1">
      <c r="A354" s="2" t="s">
        <v>4480</v>
      </c>
      <c r="B354" s="2" t="s">
        <v>2169</v>
      </c>
      <c r="C354" s="5" t="s">
        <v>174</v>
      </c>
      <c r="D354" s="2">
        <v>5.0</v>
      </c>
      <c r="E354" s="2">
        <v>24.0</v>
      </c>
    </row>
    <row r="355" ht="15.75" customHeight="1">
      <c r="A355" s="2" t="s">
        <v>4481</v>
      </c>
      <c r="B355" s="2" t="s">
        <v>2169</v>
      </c>
      <c r="C355" s="5" t="s">
        <v>157</v>
      </c>
      <c r="D355" s="2">
        <v>10.0</v>
      </c>
      <c r="E355" s="2">
        <v>2.4</v>
      </c>
    </row>
    <row r="356" ht="15.75" customHeight="1">
      <c r="A356" s="2" t="s">
        <v>4482</v>
      </c>
      <c r="B356" s="2" t="s">
        <v>2172</v>
      </c>
      <c r="C356" s="2" t="s">
        <v>354</v>
      </c>
      <c r="D356" s="2">
        <v>48.0</v>
      </c>
    </row>
    <row r="357" ht="15.75" customHeight="1">
      <c r="A357" s="2" t="s">
        <v>4483</v>
      </c>
      <c r="B357" s="2" t="s">
        <v>2174</v>
      </c>
      <c r="C357" s="5" t="s">
        <v>186</v>
      </c>
      <c r="D357" s="2">
        <v>30.0</v>
      </c>
      <c r="E357" s="2">
        <v>5.9</v>
      </c>
    </row>
    <row r="358" ht="15.75" customHeight="1">
      <c r="A358" s="2" t="s">
        <v>4484</v>
      </c>
      <c r="B358" s="2" t="s">
        <v>2176</v>
      </c>
      <c r="C358" s="2" t="s">
        <v>286</v>
      </c>
      <c r="D358" s="2">
        <v>90.0</v>
      </c>
      <c r="E358" s="2">
        <v>2.66</v>
      </c>
    </row>
    <row r="359" ht="15.75" customHeight="1">
      <c r="A359" s="2" t="s">
        <v>4485</v>
      </c>
      <c r="B359" s="2" t="s">
        <v>2176</v>
      </c>
      <c r="C359" s="5" t="s">
        <v>217</v>
      </c>
      <c r="D359" s="2">
        <v>60.0</v>
      </c>
      <c r="E359" s="2">
        <v>2.8</v>
      </c>
    </row>
    <row r="360" ht="15.75" customHeight="1">
      <c r="A360" s="2" t="s">
        <v>4486</v>
      </c>
      <c r="B360" s="2" t="s">
        <v>2179</v>
      </c>
      <c r="C360" s="5" t="s">
        <v>148</v>
      </c>
      <c r="D360" s="2">
        <v>50.0</v>
      </c>
      <c r="E360" s="2">
        <v>3.28</v>
      </c>
    </row>
    <row r="361" ht="15.75" customHeight="1">
      <c r="A361" s="2" t="s">
        <v>4487</v>
      </c>
      <c r="B361" s="2" t="s">
        <v>2088</v>
      </c>
      <c r="C361" s="5" t="s">
        <v>62</v>
      </c>
      <c r="D361" s="2">
        <v>20.0</v>
      </c>
      <c r="E361" s="2">
        <v>5.0</v>
      </c>
    </row>
    <row r="362" ht="15.75" customHeight="1">
      <c r="A362" s="2" t="s">
        <v>4488</v>
      </c>
      <c r="B362" s="2" t="s">
        <v>2256</v>
      </c>
      <c r="C362" s="2" t="s">
        <v>304</v>
      </c>
      <c r="D362" s="2">
        <v>24.0</v>
      </c>
      <c r="E362" s="2">
        <v>3.5</v>
      </c>
    </row>
    <row r="363" ht="15.75" customHeight="1">
      <c r="A363" s="2" t="s">
        <v>4489</v>
      </c>
      <c r="B363" s="2" t="s">
        <v>2256</v>
      </c>
      <c r="C363" s="5" t="s">
        <v>131</v>
      </c>
      <c r="D363" s="2">
        <v>24.0</v>
      </c>
      <c r="E363" s="2">
        <v>1.33</v>
      </c>
    </row>
    <row r="364" ht="15.75" customHeight="1">
      <c r="A364" s="2" t="s">
        <v>4490</v>
      </c>
      <c r="B364" s="2" t="s">
        <v>2169</v>
      </c>
      <c r="C364" s="5" t="s">
        <v>14</v>
      </c>
      <c r="D364" s="2">
        <v>40.0</v>
      </c>
      <c r="E364" s="2">
        <v>4.7</v>
      </c>
    </row>
    <row r="365" ht="15.75" customHeight="1">
      <c r="A365" s="2" t="s">
        <v>4491</v>
      </c>
      <c r="B365" s="2" t="s">
        <v>4492</v>
      </c>
      <c r="C365" s="5" t="s">
        <v>256</v>
      </c>
      <c r="E365" s="2">
        <v>2.0</v>
      </c>
      <c r="F365" s="2">
        <v>10.0</v>
      </c>
      <c r="H365" s="2">
        <v>100.0</v>
      </c>
    </row>
    <row r="366" ht="15.75" customHeight="1">
      <c r="A366" s="2"/>
      <c r="B366" s="2"/>
      <c r="C366" s="2"/>
      <c r="E366" s="2"/>
      <c r="F366" s="2"/>
      <c r="G366" s="2"/>
      <c r="H366" s="2"/>
    </row>
    <row r="367" ht="15.75" customHeight="1">
      <c r="A367" s="2" t="s">
        <v>4493</v>
      </c>
      <c r="B367" s="2" t="s">
        <v>2282</v>
      </c>
      <c r="C367" s="5" t="s">
        <v>14</v>
      </c>
      <c r="E367" s="2">
        <v>4.7</v>
      </c>
      <c r="F367" s="2">
        <v>4.0</v>
      </c>
      <c r="G367" s="2">
        <v>40.0</v>
      </c>
      <c r="H367" s="2">
        <v>10.0</v>
      </c>
    </row>
    <row r="368" ht="15.75" customHeight="1">
      <c r="A368" s="2" t="s">
        <v>4494</v>
      </c>
      <c r="B368" s="2" t="s">
        <v>2282</v>
      </c>
      <c r="C368" s="2" t="s">
        <v>363</v>
      </c>
      <c r="E368" s="2">
        <v>4.5</v>
      </c>
      <c r="F368" s="2">
        <v>1.0</v>
      </c>
      <c r="G368" s="2">
        <v>12.0</v>
      </c>
      <c r="H368" s="2">
        <v>12.0</v>
      </c>
    </row>
    <row r="369" ht="15.75" customHeight="1">
      <c r="A369" s="2" t="s">
        <v>4495</v>
      </c>
      <c r="B369" s="2" t="s">
        <v>2282</v>
      </c>
      <c r="C369" s="5" t="s">
        <v>120</v>
      </c>
      <c r="E369" s="2">
        <v>6.12</v>
      </c>
      <c r="F369" s="2">
        <v>1.0</v>
      </c>
      <c r="G369" s="2">
        <v>16.0</v>
      </c>
      <c r="H369" s="2">
        <v>16.0</v>
      </c>
    </row>
    <row r="370" ht="15.75" customHeight="1">
      <c r="A370" s="2" t="s">
        <v>4496</v>
      </c>
      <c r="B370" s="2" t="s">
        <v>2320</v>
      </c>
      <c r="C370" s="2" t="s">
        <v>369</v>
      </c>
      <c r="D370" s="2">
        <v>24.0</v>
      </c>
      <c r="F370" s="2">
        <v>2.0</v>
      </c>
      <c r="G370" s="2">
        <v>24.0</v>
      </c>
    </row>
    <row r="371" ht="15.75" customHeight="1">
      <c r="A371" s="2" t="s">
        <v>4497</v>
      </c>
      <c r="B371" s="2" t="s">
        <v>2329</v>
      </c>
      <c r="C371" s="5" t="s">
        <v>96</v>
      </c>
      <c r="E371" s="2">
        <v>1.93</v>
      </c>
      <c r="F371" s="2">
        <v>1.0</v>
      </c>
      <c r="G371" s="2">
        <v>24.0</v>
      </c>
      <c r="H371" s="2">
        <v>24.0</v>
      </c>
    </row>
    <row r="372" ht="15.75" customHeight="1">
      <c r="A372" s="2" t="s">
        <v>4498</v>
      </c>
      <c r="B372" s="2" t="s">
        <v>2329</v>
      </c>
      <c r="C372" s="2" t="s">
        <v>369</v>
      </c>
      <c r="F372" s="2">
        <v>5.0</v>
      </c>
      <c r="G372" s="2">
        <v>60.0</v>
      </c>
      <c r="H372" s="2">
        <v>12.0</v>
      </c>
    </row>
    <row r="373" ht="15.75" customHeight="1">
      <c r="A373" s="2" t="s">
        <v>4499</v>
      </c>
      <c r="B373" s="2" t="s">
        <v>2329</v>
      </c>
      <c r="C373" s="5" t="s">
        <v>59</v>
      </c>
      <c r="E373" s="2">
        <v>2.08</v>
      </c>
      <c r="F373" s="2">
        <v>1.0</v>
      </c>
      <c r="G373" s="2">
        <v>27.0</v>
      </c>
      <c r="H373" s="2">
        <v>27.0</v>
      </c>
    </row>
    <row r="374" ht="15.75" customHeight="1">
      <c r="A374" s="2" t="s">
        <v>4500</v>
      </c>
      <c r="B374" s="2" t="s">
        <v>2329</v>
      </c>
      <c r="C374" s="5" t="s">
        <v>134</v>
      </c>
      <c r="E374" s="2">
        <v>2.0</v>
      </c>
      <c r="F374" s="2">
        <v>2.0</v>
      </c>
      <c r="G374" s="2">
        <v>54.0</v>
      </c>
      <c r="H374" s="2">
        <v>27.0</v>
      </c>
    </row>
    <row r="375" ht="15.75" customHeight="1">
      <c r="A375" s="2" t="s">
        <v>4501</v>
      </c>
      <c r="B375" s="2" t="s">
        <v>2382</v>
      </c>
      <c r="C375" s="2" t="s">
        <v>342</v>
      </c>
      <c r="D375" s="2">
        <v>20.0</v>
      </c>
      <c r="G375" s="2">
        <v>20.0</v>
      </c>
    </row>
    <row r="376" ht="15.75" customHeight="1">
      <c r="A376" s="2" t="s">
        <v>4502</v>
      </c>
      <c r="B376" s="2" t="s">
        <v>2382</v>
      </c>
      <c r="C376" s="2" t="s">
        <v>384</v>
      </c>
      <c r="D376" s="2">
        <v>48.0</v>
      </c>
      <c r="G376" s="2">
        <v>48.0</v>
      </c>
    </row>
    <row r="377" ht="15.75" customHeight="1">
      <c r="A377" s="2" t="s">
        <v>4503</v>
      </c>
      <c r="B377" s="2" t="s">
        <v>2382</v>
      </c>
      <c r="C377" s="5" t="s">
        <v>157</v>
      </c>
      <c r="D377" s="2">
        <v>10.0</v>
      </c>
      <c r="E377" s="2">
        <v>2.4</v>
      </c>
      <c r="G377" s="2">
        <v>10.0</v>
      </c>
    </row>
    <row r="378" ht="15.75" customHeight="1">
      <c r="A378" s="2" t="s">
        <v>4504</v>
      </c>
      <c r="B378" s="2" t="s">
        <v>2386</v>
      </c>
      <c r="C378" s="5" t="s">
        <v>192</v>
      </c>
      <c r="E378" s="2">
        <v>3.5</v>
      </c>
      <c r="F378" s="2">
        <v>1.0</v>
      </c>
      <c r="G378" s="2">
        <v>24.0</v>
      </c>
      <c r="H378" s="2">
        <v>24.0</v>
      </c>
    </row>
    <row r="379" ht="15.75" customHeight="1">
      <c r="A379" s="2" t="s">
        <v>4505</v>
      </c>
      <c r="B379" s="2" t="s">
        <v>2386</v>
      </c>
      <c r="C379" s="2" t="s">
        <v>378</v>
      </c>
      <c r="D379" s="2">
        <v>24.0</v>
      </c>
      <c r="G379" s="2">
        <v>24.0</v>
      </c>
    </row>
    <row r="380" ht="15.75" customHeight="1">
      <c r="A380" s="2" t="s">
        <v>4506</v>
      </c>
      <c r="B380" s="2" t="s">
        <v>2386</v>
      </c>
      <c r="C380" s="5" t="s">
        <v>134</v>
      </c>
      <c r="E380" s="2">
        <v>2.0</v>
      </c>
      <c r="F380" s="2">
        <v>2.0</v>
      </c>
      <c r="G380" s="2">
        <v>54.0</v>
      </c>
      <c r="H380" s="2">
        <v>27.0</v>
      </c>
    </row>
    <row r="381" ht="15.75" customHeight="1">
      <c r="A381" s="2" t="s">
        <v>4507</v>
      </c>
      <c r="B381" s="2" t="s">
        <v>2386</v>
      </c>
      <c r="C381" s="2" t="s">
        <v>360</v>
      </c>
      <c r="D381" s="2">
        <v>120.0</v>
      </c>
      <c r="G381" s="2">
        <v>120.0</v>
      </c>
    </row>
    <row r="382" ht="15.75" customHeight="1">
      <c r="A382" s="2" t="s">
        <v>4508</v>
      </c>
      <c r="B382" s="2" t="s">
        <v>2386</v>
      </c>
      <c r="C382" s="2" t="s">
        <v>405</v>
      </c>
      <c r="D382" s="2">
        <v>24.0</v>
      </c>
      <c r="G382" s="2">
        <v>24.0</v>
      </c>
      <c r="H382" s="2">
        <v>24.0</v>
      </c>
    </row>
    <row r="383" ht="15.75" customHeight="1">
      <c r="A383" s="2" t="s">
        <v>4509</v>
      </c>
      <c r="B383" s="2" t="s">
        <v>2386</v>
      </c>
      <c r="C383" s="5" t="s">
        <v>142</v>
      </c>
      <c r="D383" s="2">
        <v>48.0</v>
      </c>
      <c r="E383" s="2">
        <v>2.25</v>
      </c>
      <c r="G383" s="2">
        <v>48.0</v>
      </c>
    </row>
    <row r="384" ht="15.75" customHeight="1">
      <c r="A384" s="2" t="s">
        <v>4510</v>
      </c>
      <c r="B384" s="2" t="s">
        <v>2386</v>
      </c>
      <c r="C384" s="2" t="s">
        <v>387</v>
      </c>
      <c r="D384" s="2">
        <v>48.0</v>
      </c>
      <c r="G384" s="2">
        <v>48.0</v>
      </c>
    </row>
    <row r="385" ht="15.75" customHeight="1">
      <c r="A385" s="2" t="s">
        <v>4511</v>
      </c>
      <c r="B385" s="2" t="s">
        <v>2436</v>
      </c>
      <c r="C385" s="5" t="s">
        <v>131</v>
      </c>
      <c r="D385" s="2">
        <v>24.0</v>
      </c>
      <c r="E385" s="2">
        <v>1.33</v>
      </c>
      <c r="G385" s="2">
        <v>24.0</v>
      </c>
    </row>
    <row r="386" ht="15.75" customHeight="1">
      <c r="A386" s="2" t="s">
        <v>4512</v>
      </c>
      <c r="B386" s="2" t="s">
        <v>2436</v>
      </c>
      <c r="C386" s="2" t="s">
        <v>286</v>
      </c>
      <c r="E386" s="2">
        <v>2.66</v>
      </c>
      <c r="F386" s="2">
        <v>4.0</v>
      </c>
      <c r="G386" s="2">
        <v>60.0</v>
      </c>
      <c r="H386" s="2">
        <v>15.0</v>
      </c>
    </row>
    <row r="387" ht="15.75" customHeight="1">
      <c r="A387" s="2" t="s">
        <v>4513</v>
      </c>
      <c r="B387" s="2" t="s">
        <v>2436</v>
      </c>
      <c r="C387" s="5" t="s">
        <v>217</v>
      </c>
      <c r="E387" s="2">
        <v>2.8</v>
      </c>
      <c r="F387" s="2">
        <v>6.0</v>
      </c>
      <c r="G387" s="2">
        <v>90.0</v>
      </c>
      <c r="H387" s="2">
        <v>15.0</v>
      </c>
    </row>
    <row r="388" ht="15.75" customHeight="1">
      <c r="A388" s="2" t="s">
        <v>4514</v>
      </c>
      <c r="B388" s="2" t="s">
        <v>2460</v>
      </c>
      <c r="C388" s="2" t="s">
        <v>408</v>
      </c>
      <c r="F388" s="2">
        <v>6.0</v>
      </c>
      <c r="G388" s="2">
        <v>108.0</v>
      </c>
      <c r="H388" s="2">
        <v>18.0</v>
      </c>
    </row>
    <row r="389" ht="15.75" customHeight="1">
      <c r="A389" s="2" t="s">
        <v>4515</v>
      </c>
      <c r="B389" s="2" t="s">
        <v>2460</v>
      </c>
      <c r="C389" s="2" t="s">
        <v>339</v>
      </c>
      <c r="D389" s="2">
        <v>30.0</v>
      </c>
      <c r="G389" s="2">
        <v>30.0</v>
      </c>
    </row>
    <row r="390" ht="15.75" customHeight="1">
      <c r="A390" s="2" t="s">
        <v>4516</v>
      </c>
      <c r="B390" s="2" t="s">
        <v>2463</v>
      </c>
      <c r="C390" s="5" t="s">
        <v>186</v>
      </c>
      <c r="D390" s="2">
        <v>30.0</v>
      </c>
      <c r="E390" s="2">
        <v>5.9</v>
      </c>
      <c r="G390" s="2">
        <v>30.0</v>
      </c>
    </row>
    <row r="391" ht="15.75" customHeight="1">
      <c r="A391" s="2" t="s">
        <v>4517</v>
      </c>
      <c r="B391" s="2" t="s">
        <v>2463</v>
      </c>
      <c r="C391" s="2" t="s">
        <v>372</v>
      </c>
      <c r="D391" s="2">
        <v>48.0</v>
      </c>
      <c r="G391" s="2">
        <v>48.0</v>
      </c>
    </row>
    <row r="392" ht="15.75" customHeight="1">
      <c r="A392" s="2" t="s">
        <v>4518</v>
      </c>
      <c r="B392" s="2" t="s">
        <v>2463</v>
      </c>
      <c r="C392" s="2" t="s">
        <v>378</v>
      </c>
      <c r="D392" s="2">
        <v>24.0</v>
      </c>
      <c r="G392" s="2">
        <v>24.0</v>
      </c>
    </row>
    <row r="393" ht="15.75" customHeight="1">
      <c r="A393" s="2" t="s">
        <v>4519</v>
      </c>
      <c r="B393" s="2" t="s">
        <v>2463</v>
      </c>
      <c r="C393" s="2" t="s">
        <v>384</v>
      </c>
      <c r="D393" s="2">
        <v>24.0</v>
      </c>
      <c r="G393" s="2">
        <v>24.0</v>
      </c>
    </row>
    <row r="394" ht="15.75" customHeight="1">
      <c r="A394" s="2" t="s">
        <v>4520</v>
      </c>
      <c r="B394" s="2" t="s">
        <v>2463</v>
      </c>
      <c r="C394" s="5" t="s">
        <v>120</v>
      </c>
      <c r="D394" s="2">
        <v>18.0</v>
      </c>
      <c r="E394" s="2">
        <v>6.12</v>
      </c>
      <c r="G394" s="2">
        <v>18.0</v>
      </c>
      <c r="H394" s="2">
        <v>16.0</v>
      </c>
    </row>
    <row r="395" ht="15.75" customHeight="1">
      <c r="A395" s="2" t="s">
        <v>4521</v>
      </c>
      <c r="B395" s="2" t="s">
        <v>2463</v>
      </c>
      <c r="C395" s="5" t="s">
        <v>134</v>
      </c>
      <c r="E395" s="2">
        <v>2.0</v>
      </c>
      <c r="F395" s="2">
        <v>2.0</v>
      </c>
      <c r="G395" s="2">
        <v>54.0</v>
      </c>
      <c r="H395" s="2">
        <v>27.0</v>
      </c>
    </row>
    <row r="396" ht="15.75" customHeight="1">
      <c r="A396" s="2" t="s">
        <v>4522</v>
      </c>
      <c r="B396" s="2" t="s">
        <v>2463</v>
      </c>
      <c r="C396" s="5" t="s">
        <v>59</v>
      </c>
      <c r="E396" s="2">
        <v>2.08</v>
      </c>
      <c r="F396" s="2">
        <v>2.0</v>
      </c>
      <c r="G396" s="2">
        <v>54.0</v>
      </c>
      <c r="H396" s="2">
        <v>27.0</v>
      </c>
    </row>
    <row r="397" ht="15.75" customHeight="1">
      <c r="A397" s="2" t="s">
        <v>4523</v>
      </c>
      <c r="B397" s="2" t="s">
        <v>2463</v>
      </c>
      <c r="C397" s="2" t="s">
        <v>399</v>
      </c>
      <c r="D397" s="2">
        <v>12.0</v>
      </c>
      <c r="G397" s="2">
        <v>12.0</v>
      </c>
    </row>
    <row r="398" ht="15.75" customHeight="1">
      <c r="A398" s="2" t="s">
        <v>4524</v>
      </c>
      <c r="B398" s="2" t="s">
        <v>2463</v>
      </c>
      <c r="C398" s="5" t="s">
        <v>192</v>
      </c>
      <c r="E398" s="2">
        <v>3.5</v>
      </c>
      <c r="F398" s="2">
        <v>2.0</v>
      </c>
      <c r="G398" s="2">
        <v>48.0</v>
      </c>
      <c r="H398" s="2">
        <v>24.0</v>
      </c>
    </row>
    <row r="399" ht="15.75" customHeight="1">
      <c r="A399" s="2" t="s">
        <v>4525</v>
      </c>
      <c r="B399" s="2" t="s">
        <v>2463</v>
      </c>
      <c r="C399" s="2" t="s">
        <v>304</v>
      </c>
      <c r="D399" s="2">
        <v>24.0</v>
      </c>
      <c r="E399" s="2">
        <v>3.5</v>
      </c>
      <c r="F399" s="2"/>
      <c r="G399" s="2">
        <v>24.0</v>
      </c>
    </row>
    <row r="400" ht="15.75" customHeight="1">
      <c r="A400" s="2" t="s">
        <v>4526</v>
      </c>
      <c r="B400" s="2" t="s">
        <v>2463</v>
      </c>
      <c r="C400" s="2" t="s">
        <v>405</v>
      </c>
      <c r="D400" s="2">
        <v>24.0</v>
      </c>
      <c r="G400" s="2">
        <v>24.0</v>
      </c>
      <c r="H400" s="2">
        <v>24.0</v>
      </c>
    </row>
    <row r="401" ht="15.75" customHeight="1">
      <c r="A401" s="2" t="s">
        <v>4527</v>
      </c>
      <c r="B401" s="2" t="s">
        <v>2475</v>
      </c>
      <c r="C401" s="2" t="s">
        <v>327</v>
      </c>
      <c r="F401" s="2">
        <v>4.0</v>
      </c>
      <c r="G401" s="2">
        <v>80.0</v>
      </c>
      <c r="H401" s="2">
        <v>20.0</v>
      </c>
    </row>
    <row r="402" ht="15.75" customHeight="1">
      <c r="A402" s="2" t="s">
        <v>4528</v>
      </c>
      <c r="B402" s="2" t="s">
        <v>2475</v>
      </c>
      <c r="C402" s="5" t="s">
        <v>165</v>
      </c>
      <c r="E402" s="2">
        <v>2.25</v>
      </c>
      <c r="F402" s="2">
        <v>2.0</v>
      </c>
      <c r="G402" s="2">
        <v>48.0</v>
      </c>
      <c r="H402" s="2">
        <v>24.0</v>
      </c>
    </row>
    <row r="403" ht="15.75" customHeight="1">
      <c r="A403" s="2" t="s">
        <v>4529</v>
      </c>
      <c r="B403" s="2" t="s">
        <v>2475</v>
      </c>
      <c r="C403" s="2" t="s">
        <v>333</v>
      </c>
      <c r="D403" s="2">
        <v>48.0</v>
      </c>
      <c r="G403" s="2">
        <v>48.0</v>
      </c>
    </row>
    <row r="404" ht="15.75" customHeight="1">
      <c r="A404" s="2" t="s">
        <v>4530</v>
      </c>
      <c r="B404" s="2" t="s">
        <v>2479</v>
      </c>
      <c r="C404" s="5" t="s">
        <v>96</v>
      </c>
      <c r="E404" s="2">
        <v>1.93</v>
      </c>
      <c r="F404" s="2">
        <v>2.0</v>
      </c>
      <c r="G404" s="2">
        <v>48.0</v>
      </c>
      <c r="H404" s="2">
        <v>24.0</v>
      </c>
    </row>
    <row r="405" ht="15.75" customHeight="1">
      <c r="A405" s="2" t="s">
        <v>4531</v>
      </c>
      <c r="B405" s="2" t="s">
        <v>2479</v>
      </c>
      <c r="C405" s="2" t="s">
        <v>369</v>
      </c>
      <c r="F405" s="2">
        <v>5.0</v>
      </c>
      <c r="G405" s="2">
        <v>60.0</v>
      </c>
      <c r="H405" s="2">
        <v>12.0</v>
      </c>
    </row>
    <row r="406" ht="15.75" customHeight="1">
      <c r="A406" s="2" t="s">
        <v>4532</v>
      </c>
      <c r="B406" s="2" t="s">
        <v>2500</v>
      </c>
      <c r="C406" s="5" t="s">
        <v>214</v>
      </c>
      <c r="E406" s="2">
        <v>0.3</v>
      </c>
      <c r="F406" s="2">
        <v>10.0</v>
      </c>
      <c r="G406" s="2">
        <v>120.0</v>
      </c>
      <c r="H406" s="2">
        <v>12.0</v>
      </c>
    </row>
    <row r="407" ht="15.75" customHeight="1">
      <c r="A407" s="2" t="s">
        <v>4533</v>
      </c>
      <c r="B407" s="2" t="s">
        <v>2588</v>
      </c>
      <c r="C407" s="5" t="s">
        <v>186</v>
      </c>
      <c r="D407" s="2">
        <v>30.0</v>
      </c>
      <c r="E407" s="2">
        <v>5.9</v>
      </c>
      <c r="G407" s="2">
        <v>30.0</v>
      </c>
    </row>
    <row r="408" ht="15.75" customHeight="1">
      <c r="A408" s="2" t="s">
        <v>4534</v>
      </c>
      <c r="B408" s="2" t="s">
        <v>2588</v>
      </c>
      <c r="C408" s="5" t="s">
        <v>192</v>
      </c>
      <c r="E408" s="2">
        <v>3.5</v>
      </c>
      <c r="F408" s="2">
        <v>2.0</v>
      </c>
      <c r="G408" s="2">
        <v>48.0</v>
      </c>
      <c r="H408" s="2">
        <v>24.0</v>
      </c>
    </row>
    <row r="409" ht="15.75" customHeight="1">
      <c r="A409" s="2" t="s">
        <v>4535</v>
      </c>
      <c r="B409" s="2" t="s">
        <v>2588</v>
      </c>
      <c r="C409" s="2" t="s">
        <v>289</v>
      </c>
      <c r="E409" s="2">
        <v>2.78</v>
      </c>
      <c r="F409" s="2">
        <v>8.0</v>
      </c>
      <c r="G409" s="2">
        <v>144.0</v>
      </c>
      <c r="H409" s="2">
        <v>18.0</v>
      </c>
    </row>
    <row r="410" ht="15.75" customHeight="1">
      <c r="A410" s="2" t="s">
        <v>4536</v>
      </c>
      <c r="B410" s="2" t="s">
        <v>2588</v>
      </c>
      <c r="C410" s="5" t="s">
        <v>217</v>
      </c>
      <c r="E410" s="2">
        <v>2.8</v>
      </c>
      <c r="F410" s="2">
        <v>2.0</v>
      </c>
      <c r="G410" s="2">
        <v>30.0</v>
      </c>
      <c r="H410" s="2">
        <v>15.0</v>
      </c>
    </row>
    <row r="411" ht="15.75" customHeight="1">
      <c r="A411" s="2" t="s">
        <v>4537</v>
      </c>
      <c r="B411" s="2" t="s">
        <v>2588</v>
      </c>
      <c r="C411" s="2" t="s">
        <v>271</v>
      </c>
      <c r="E411" s="2">
        <v>3.0</v>
      </c>
      <c r="F411" s="2">
        <v>2.0</v>
      </c>
      <c r="G411" s="2">
        <v>30.0</v>
      </c>
      <c r="H411" s="2">
        <v>15.0</v>
      </c>
    </row>
    <row r="412" ht="15.75" customHeight="1">
      <c r="A412" s="2" t="s">
        <v>4538</v>
      </c>
      <c r="B412" s="2" t="s">
        <v>2588</v>
      </c>
      <c r="C412" s="2" t="s">
        <v>372</v>
      </c>
      <c r="D412" s="2">
        <v>48.0</v>
      </c>
      <c r="G412" s="2">
        <v>48.0</v>
      </c>
      <c r="H412" s="2">
        <v>24.0</v>
      </c>
    </row>
    <row r="413" ht="15.75" customHeight="1">
      <c r="A413" s="2" t="s">
        <v>4539</v>
      </c>
      <c r="B413" s="2" t="s">
        <v>2588</v>
      </c>
      <c r="C413" s="2" t="s">
        <v>378</v>
      </c>
      <c r="D413" s="2">
        <v>24.0</v>
      </c>
      <c r="G413" s="2">
        <v>24.0</v>
      </c>
      <c r="H413" s="2">
        <v>24.0</v>
      </c>
    </row>
    <row r="414" ht="15.75" customHeight="1">
      <c r="A414" s="2" t="s">
        <v>4540</v>
      </c>
      <c r="B414" s="2" t="s">
        <v>2588</v>
      </c>
      <c r="C414" s="2" t="s">
        <v>384</v>
      </c>
      <c r="D414" s="2">
        <v>24.0</v>
      </c>
      <c r="G414" s="2">
        <v>24.0</v>
      </c>
      <c r="H414" s="2">
        <v>24.0</v>
      </c>
    </row>
    <row r="415" ht="15.75" customHeight="1">
      <c r="A415" s="2" t="s">
        <v>4541</v>
      </c>
      <c r="B415" s="2" t="s">
        <v>2588</v>
      </c>
      <c r="C415" s="5" t="s">
        <v>142</v>
      </c>
      <c r="D415" s="2">
        <v>48.0</v>
      </c>
      <c r="E415" s="2">
        <v>2.25</v>
      </c>
      <c r="G415" s="2">
        <v>48.0</v>
      </c>
    </row>
    <row r="416" ht="15.75" customHeight="1">
      <c r="A416" s="2" t="s">
        <v>4542</v>
      </c>
      <c r="B416" s="2" t="s">
        <v>2598</v>
      </c>
      <c r="C416" s="2" t="s">
        <v>327</v>
      </c>
      <c r="F416" s="2">
        <v>6.0</v>
      </c>
      <c r="G416" s="2">
        <v>120.0</v>
      </c>
      <c r="H416" s="2">
        <v>20.0</v>
      </c>
    </row>
    <row r="417" ht="15.75" customHeight="1">
      <c r="A417" s="2" t="s">
        <v>4543</v>
      </c>
      <c r="B417" s="2" t="s">
        <v>2600</v>
      </c>
      <c r="C417" s="5" t="s">
        <v>214</v>
      </c>
      <c r="E417" s="2">
        <v>0.3</v>
      </c>
      <c r="F417" s="2">
        <v>20.0</v>
      </c>
      <c r="G417" s="2">
        <v>240.0</v>
      </c>
      <c r="H417" s="2">
        <v>12.0</v>
      </c>
    </row>
    <row r="418" ht="15.75" customHeight="1">
      <c r="A418" s="2" t="s">
        <v>4544</v>
      </c>
      <c r="B418" s="2" t="s">
        <v>2635</v>
      </c>
      <c r="C418" s="2" t="s">
        <v>342</v>
      </c>
      <c r="D418" s="2">
        <v>30.0</v>
      </c>
      <c r="G418" s="2">
        <v>30.0</v>
      </c>
    </row>
    <row r="419" ht="15.75" customHeight="1">
      <c r="A419" s="2" t="s">
        <v>4545</v>
      </c>
      <c r="B419" s="2" t="s">
        <v>2657</v>
      </c>
      <c r="C419" s="5" t="s">
        <v>217</v>
      </c>
      <c r="E419" s="2">
        <v>2.8</v>
      </c>
      <c r="F419" s="2">
        <v>4.0</v>
      </c>
      <c r="G419" s="2">
        <v>60.0</v>
      </c>
      <c r="H419" s="2">
        <v>15.0</v>
      </c>
    </row>
    <row r="420" ht="15.75" customHeight="1">
      <c r="A420" s="2" t="s">
        <v>4546</v>
      </c>
      <c r="B420" s="2" t="s">
        <v>2657</v>
      </c>
      <c r="C420" s="2" t="s">
        <v>271</v>
      </c>
      <c r="E420" s="2">
        <v>3.0</v>
      </c>
      <c r="F420" s="2">
        <v>2.0</v>
      </c>
      <c r="G420" s="2">
        <v>30.0</v>
      </c>
      <c r="H420" s="2">
        <v>15.0</v>
      </c>
    </row>
    <row r="421" ht="15.75" customHeight="1">
      <c r="A421" s="2" t="s">
        <v>4547</v>
      </c>
      <c r="B421" s="2" t="s">
        <v>2657</v>
      </c>
      <c r="C421" s="5" t="s">
        <v>186</v>
      </c>
      <c r="D421" s="2">
        <v>15.0</v>
      </c>
      <c r="E421" s="2">
        <v>5.9</v>
      </c>
      <c r="G421" s="2">
        <v>15.0</v>
      </c>
    </row>
    <row r="422" ht="15.75" customHeight="1">
      <c r="A422" s="2" t="s">
        <v>4548</v>
      </c>
      <c r="B422" s="2" t="s">
        <v>2657</v>
      </c>
      <c r="C422" s="2" t="s">
        <v>378</v>
      </c>
      <c r="D422" s="2">
        <v>72.0</v>
      </c>
      <c r="G422" s="2">
        <v>72.0</v>
      </c>
      <c r="H422" s="2">
        <v>24.0</v>
      </c>
    </row>
    <row r="423" ht="15.75" customHeight="1">
      <c r="A423" s="2" t="s">
        <v>4549</v>
      </c>
      <c r="B423" s="2" t="s">
        <v>2657</v>
      </c>
      <c r="C423" s="2" t="s">
        <v>384</v>
      </c>
      <c r="D423" s="2">
        <v>72.0</v>
      </c>
      <c r="G423" s="2">
        <v>72.0</v>
      </c>
      <c r="H423" s="2">
        <v>24.0</v>
      </c>
    </row>
    <row r="424" ht="15.75" customHeight="1">
      <c r="A424" s="2" t="s">
        <v>4550</v>
      </c>
      <c r="B424" s="2" t="s">
        <v>2657</v>
      </c>
      <c r="C424" s="5" t="s">
        <v>192</v>
      </c>
      <c r="D424" s="2">
        <v>48.0</v>
      </c>
      <c r="E424" s="2">
        <v>3.5</v>
      </c>
      <c r="G424" s="2">
        <v>48.0</v>
      </c>
      <c r="H424" s="2">
        <v>24.0</v>
      </c>
    </row>
    <row r="425" ht="15.75" customHeight="1">
      <c r="A425" s="2" t="s">
        <v>4551</v>
      </c>
      <c r="B425" s="2" t="s">
        <v>2657</v>
      </c>
      <c r="C425" s="5" t="s">
        <v>142</v>
      </c>
      <c r="D425" s="2">
        <v>72.0</v>
      </c>
      <c r="E425" s="2">
        <v>2.25</v>
      </c>
      <c r="F425" s="2"/>
      <c r="G425" s="2">
        <v>72.0</v>
      </c>
      <c r="H425" s="2">
        <v>24.0</v>
      </c>
    </row>
    <row r="426" ht="15.75" customHeight="1">
      <c r="A426" s="2" t="s">
        <v>4552</v>
      </c>
      <c r="B426" s="2" t="s">
        <v>2718</v>
      </c>
      <c r="C426" s="5" t="s">
        <v>217</v>
      </c>
      <c r="E426" s="2">
        <v>2.8</v>
      </c>
      <c r="F426" s="2">
        <v>2.0</v>
      </c>
      <c r="G426" s="2">
        <v>30.0</v>
      </c>
      <c r="H426" s="2">
        <v>15.0</v>
      </c>
    </row>
    <row r="427" ht="15.75" customHeight="1">
      <c r="A427" s="2" t="s">
        <v>4553</v>
      </c>
      <c r="B427" s="2" t="s">
        <v>2718</v>
      </c>
      <c r="C427" s="5" t="s">
        <v>96</v>
      </c>
      <c r="E427" s="2">
        <v>1.93</v>
      </c>
      <c r="F427" s="2">
        <v>1.0</v>
      </c>
      <c r="G427" s="2">
        <v>24.0</v>
      </c>
      <c r="H427" s="2">
        <v>24.0</v>
      </c>
    </row>
    <row r="428" ht="15.75" customHeight="1">
      <c r="A428" s="2" t="s">
        <v>4554</v>
      </c>
      <c r="B428" s="2" t="s">
        <v>2718</v>
      </c>
      <c r="C428" s="5" t="s">
        <v>59</v>
      </c>
      <c r="E428" s="2">
        <v>2.08</v>
      </c>
      <c r="F428" s="2">
        <v>2.0</v>
      </c>
      <c r="G428" s="2">
        <v>54.0</v>
      </c>
      <c r="H428" s="2">
        <v>27.0</v>
      </c>
    </row>
    <row r="429" ht="15.75" customHeight="1">
      <c r="A429" s="2" t="s">
        <v>4555</v>
      </c>
      <c r="B429" s="2" t="s">
        <v>2718</v>
      </c>
      <c r="C429" s="5" t="s">
        <v>134</v>
      </c>
      <c r="E429" s="2">
        <v>2.0</v>
      </c>
      <c r="F429" s="2">
        <v>2.0</v>
      </c>
      <c r="G429" s="2">
        <v>54.0</v>
      </c>
      <c r="H429" s="2">
        <v>27.0</v>
      </c>
    </row>
    <row r="430" ht="15.75" customHeight="1">
      <c r="A430" s="2" t="s">
        <v>4556</v>
      </c>
      <c r="B430" s="2" t="s">
        <v>2718</v>
      </c>
      <c r="C430" s="5" t="s">
        <v>157</v>
      </c>
      <c r="D430" s="2">
        <v>10.0</v>
      </c>
      <c r="E430" s="2">
        <v>2.4</v>
      </c>
      <c r="G430" s="2">
        <v>10.0</v>
      </c>
    </row>
    <row r="431" ht="15.75" customHeight="1">
      <c r="A431" s="2" t="s">
        <v>4557</v>
      </c>
      <c r="B431" s="2" t="s">
        <v>2728</v>
      </c>
      <c r="C431" s="5" t="s">
        <v>217</v>
      </c>
      <c r="E431" s="2">
        <v>2.8</v>
      </c>
      <c r="F431" s="2">
        <v>22.0</v>
      </c>
      <c r="G431" s="2">
        <v>330.0</v>
      </c>
      <c r="H431" s="2">
        <v>15.0</v>
      </c>
    </row>
    <row r="432" ht="15.75" customHeight="1">
      <c r="A432" s="2" t="s">
        <v>4558</v>
      </c>
      <c r="B432" s="2" t="s">
        <v>2728</v>
      </c>
      <c r="C432" s="2" t="s">
        <v>271</v>
      </c>
      <c r="E432" s="2">
        <v>3.0</v>
      </c>
      <c r="F432" s="2">
        <v>7.0</v>
      </c>
      <c r="G432" s="2">
        <v>105.0</v>
      </c>
      <c r="H432" s="2">
        <v>15.0</v>
      </c>
    </row>
    <row r="433" ht="15.75" customHeight="1">
      <c r="A433" s="2" t="s">
        <v>4559</v>
      </c>
      <c r="B433" s="2" t="s">
        <v>2731</v>
      </c>
      <c r="C433" s="5" t="s">
        <v>148</v>
      </c>
      <c r="D433" s="2">
        <v>25.0</v>
      </c>
      <c r="E433" s="2">
        <v>3.28</v>
      </c>
      <c r="G433" s="2">
        <v>25.0</v>
      </c>
    </row>
    <row r="434" ht="15.75" customHeight="1">
      <c r="A434" s="2" t="s">
        <v>4560</v>
      </c>
      <c r="B434" s="2" t="s">
        <v>2731</v>
      </c>
      <c r="C434" s="5" t="s">
        <v>142</v>
      </c>
      <c r="E434" s="2">
        <v>2.25</v>
      </c>
      <c r="F434" s="2">
        <v>1.0</v>
      </c>
      <c r="G434" s="2">
        <v>24.0</v>
      </c>
      <c r="H434" s="2">
        <v>24.0</v>
      </c>
    </row>
    <row r="435" ht="15.75" customHeight="1">
      <c r="A435" s="5" t="s">
        <v>4561</v>
      </c>
      <c r="B435" s="2" t="s">
        <v>2731</v>
      </c>
      <c r="C435" s="2" t="s">
        <v>405</v>
      </c>
      <c r="D435" s="2">
        <v>48.0</v>
      </c>
      <c r="G435" s="2">
        <v>48.0</v>
      </c>
      <c r="H435" s="2">
        <v>24.0</v>
      </c>
    </row>
    <row r="436" ht="15.75" customHeight="1">
      <c r="A436" s="2" t="s">
        <v>4562</v>
      </c>
      <c r="B436" s="2" t="s">
        <v>2731</v>
      </c>
      <c r="C436" s="5" t="s">
        <v>186</v>
      </c>
      <c r="D436" s="2">
        <v>30.0</v>
      </c>
      <c r="E436" s="2">
        <v>5.9</v>
      </c>
      <c r="G436" s="2">
        <v>30.0</v>
      </c>
    </row>
    <row r="437" ht="15.75" customHeight="1">
      <c r="A437" s="2" t="s">
        <v>4563</v>
      </c>
      <c r="B437" s="2" t="s">
        <v>2731</v>
      </c>
      <c r="C437" s="2" t="s">
        <v>289</v>
      </c>
      <c r="E437" s="2">
        <v>2.78</v>
      </c>
      <c r="F437" s="2">
        <v>3.0</v>
      </c>
      <c r="G437" s="2">
        <v>54.0</v>
      </c>
      <c r="H437" s="2">
        <v>18.0</v>
      </c>
    </row>
    <row r="438" ht="15.75" customHeight="1">
      <c r="A438" s="2" t="s">
        <v>4564</v>
      </c>
      <c r="B438" s="2" t="s">
        <v>2731</v>
      </c>
      <c r="C438" s="2" t="s">
        <v>372</v>
      </c>
      <c r="F438" s="2">
        <v>3.0</v>
      </c>
      <c r="G438" s="2">
        <v>72.0</v>
      </c>
      <c r="H438" s="2">
        <v>24.0</v>
      </c>
    </row>
    <row r="439" ht="15.75" customHeight="1">
      <c r="A439" s="2" t="s">
        <v>4565</v>
      </c>
      <c r="B439" s="2" t="s">
        <v>2731</v>
      </c>
      <c r="C439" s="2" t="s">
        <v>384</v>
      </c>
      <c r="F439" s="2">
        <v>3.0</v>
      </c>
      <c r="G439" s="2">
        <v>72.0</v>
      </c>
      <c r="H439" s="2">
        <v>24.0</v>
      </c>
    </row>
    <row r="440" ht="15.75" customHeight="1">
      <c r="A440" s="2" t="s">
        <v>4566</v>
      </c>
      <c r="B440" s="2" t="s">
        <v>2731</v>
      </c>
      <c r="C440" s="2" t="s">
        <v>378</v>
      </c>
      <c r="F440" s="2">
        <v>4.0</v>
      </c>
      <c r="G440" s="2">
        <v>96.0</v>
      </c>
      <c r="H440" s="2">
        <v>24.0</v>
      </c>
    </row>
    <row r="441" ht="15.75" customHeight="1">
      <c r="A441" s="2" t="s">
        <v>4567</v>
      </c>
      <c r="B441" s="2" t="s">
        <v>2740</v>
      </c>
      <c r="C441" s="2" t="s">
        <v>342</v>
      </c>
      <c r="D441" s="2">
        <v>30.0</v>
      </c>
      <c r="G441" s="2">
        <v>30.0</v>
      </c>
    </row>
    <row r="442" ht="15.75" customHeight="1">
      <c r="A442" s="2" t="s">
        <v>4568</v>
      </c>
      <c r="B442" s="2" t="s">
        <v>2792</v>
      </c>
      <c r="C442" s="5" t="s">
        <v>214</v>
      </c>
      <c r="E442" s="2">
        <v>0.3</v>
      </c>
      <c r="F442" s="2">
        <v>99.0</v>
      </c>
      <c r="G442" s="2">
        <v>1188.0</v>
      </c>
      <c r="H442" s="2">
        <v>12.0</v>
      </c>
    </row>
    <row r="443" ht="15.75" customHeight="1">
      <c r="A443" s="2" t="s">
        <v>4569</v>
      </c>
      <c r="B443" s="2" t="s">
        <v>2804</v>
      </c>
      <c r="C443" s="5" t="s">
        <v>214</v>
      </c>
      <c r="E443" s="2">
        <v>0.3</v>
      </c>
      <c r="F443" s="2">
        <v>5.0</v>
      </c>
      <c r="G443" s="2">
        <v>60.0</v>
      </c>
      <c r="H443" s="2">
        <v>12.0</v>
      </c>
    </row>
    <row r="444" ht="15.75" customHeight="1">
      <c r="A444" s="2" t="s">
        <v>4570</v>
      </c>
      <c r="B444" s="2" t="s">
        <v>2833</v>
      </c>
      <c r="C444" s="5" t="s">
        <v>157</v>
      </c>
      <c r="D444" s="2">
        <v>10.0</v>
      </c>
      <c r="E444" s="2">
        <v>2.4</v>
      </c>
      <c r="G444" s="2">
        <v>10.0</v>
      </c>
    </row>
    <row r="445" ht="15.75" customHeight="1">
      <c r="A445" s="2" t="s">
        <v>4571</v>
      </c>
      <c r="B445" s="2" t="s">
        <v>2833</v>
      </c>
      <c r="C445" s="2" t="s">
        <v>289</v>
      </c>
      <c r="E445" s="2">
        <v>2.78</v>
      </c>
      <c r="F445" s="2">
        <v>2.0</v>
      </c>
      <c r="G445" s="2">
        <v>36.0</v>
      </c>
      <c r="H445" s="2">
        <v>18.0</v>
      </c>
    </row>
    <row r="446" ht="15.75" customHeight="1">
      <c r="A446" s="2" t="s">
        <v>4572</v>
      </c>
      <c r="B446" s="2" t="s">
        <v>2833</v>
      </c>
      <c r="C446" s="2" t="s">
        <v>399</v>
      </c>
      <c r="D446" s="2">
        <v>12.0</v>
      </c>
      <c r="G446" s="2">
        <v>12.0</v>
      </c>
    </row>
    <row r="447" ht="15.75" customHeight="1">
      <c r="A447" s="2" t="s">
        <v>4573</v>
      </c>
      <c r="B447" s="2" t="s">
        <v>2849</v>
      </c>
      <c r="C447" s="5" t="s">
        <v>192</v>
      </c>
      <c r="E447" s="2">
        <v>3.5</v>
      </c>
      <c r="F447" s="2">
        <v>5.0</v>
      </c>
      <c r="G447" s="2">
        <v>120.0</v>
      </c>
      <c r="H447" s="2">
        <v>24.0</v>
      </c>
    </row>
    <row r="448" ht="15.75" customHeight="1">
      <c r="A448" s="2" t="s">
        <v>4574</v>
      </c>
      <c r="B448" s="2" t="s">
        <v>2849</v>
      </c>
      <c r="C448" s="5" t="s">
        <v>142</v>
      </c>
      <c r="E448" s="2">
        <v>2.25</v>
      </c>
      <c r="F448" s="2">
        <v>5.0</v>
      </c>
      <c r="G448" s="2">
        <v>120.0</v>
      </c>
      <c r="H448" s="2">
        <v>24.0</v>
      </c>
    </row>
    <row r="449" ht="15.75" customHeight="1">
      <c r="A449" s="2" t="s">
        <v>4575</v>
      </c>
      <c r="B449" s="2" t="s">
        <v>2849</v>
      </c>
      <c r="C449" s="2" t="s">
        <v>405</v>
      </c>
      <c r="D449" s="2">
        <v>72.0</v>
      </c>
      <c r="F449" s="2">
        <v>0.0</v>
      </c>
      <c r="G449" s="2">
        <v>72.0</v>
      </c>
      <c r="H449" s="2">
        <v>24.0</v>
      </c>
    </row>
    <row r="450" ht="15.75" customHeight="1">
      <c r="A450" s="2" t="s">
        <v>4576</v>
      </c>
      <c r="B450" s="2" t="s">
        <v>2849</v>
      </c>
      <c r="C450" s="5" t="s">
        <v>148</v>
      </c>
      <c r="D450" s="2">
        <v>50.0</v>
      </c>
      <c r="E450" s="2">
        <v>3.28</v>
      </c>
      <c r="G450" s="2">
        <v>50.0</v>
      </c>
    </row>
    <row r="451" ht="15.75" customHeight="1">
      <c r="A451" s="2" t="s">
        <v>4577</v>
      </c>
      <c r="B451" s="2" t="s">
        <v>2849</v>
      </c>
      <c r="C451" s="5" t="s">
        <v>157</v>
      </c>
      <c r="D451" s="2">
        <v>10.0</v>
      </c>
      <c r="E451" s="2">
        <v>2.4</v>
      </c>
      <c r="G451" s="2">
        <v>10.0</v>
      </c>
    </row>
    <row r="452" ht="15.75" customHeight="1">
      <c r="A452" s="2" t="s">
        <v>4578</v>
      </c>
      <c r="B452" s="2" t="s">
        <v>2849</v>
      </c>
      <c r="C452" s="5" t="s">
        <v>186</v>
      </c>
      <c r="D452" s="2">
        <v>60.0</v>
      </c>
      <c r="E452" s="2">
        <v>5.9</v>
      </c>
      <c r="G452" s="2">
        <v>60.0</v>
      </c>
    </row>
    <row r="453" ht="15.75" customHeight="1">
      <c r="A453" s="2" t="s">
        <v>4579</v>
      </c>
      <c r="B453" s="2" t="s">
        <v>2856</v>
      </c>
      <c r="C453" s="2" t="s">
        <v>369</v>
      </c>
      <c r="F453" s="2">
        <v>3.0</v>
      </c>
      <c r="G453" s="2">
        <v>36.0</v>
      </c>
      <c r="H453" s="2">
        <v>12.0</v>
      </c>
    </row>
    <row r="454" ht="15.75" customHeight="1">
      <c r="A454" s="2" t="s">
        <v>4580</v>
      </c>
      <c r="B454" s="2" t="s">
        <v>2856</v>
      </c>
      <c r="C454" s="5" t="s">
        <v>131</v>
      </c>
      <c r="D454" s="2">
        <v>24.0</v>
      </c>
      <c r="E454" s="2">
        <v>1.33</v>
      </c>
      <c r="G454" s="2">
        <v>24.0</v>
      </c>
    </row>
    <row r="455" ht="15.75" customHeight="1">
      <c r="A455" s="2" t="s">
        <v>4581</v>
      </c>
      <c r="B455" s="2" t="s">
        <v>2859</v>
      </c>
      <c r="C455" s="2" t="s">
        <v>366</v>
      </c>
      <c r="D455" s="2">
        <v>48.0</v>
      </c>
      <c r="G455" s="2">
        <v>48.0</v>
      </c>
    </row>
    <row r="456" ht="15.75" customHeight="1">
      <c r="A456" s="2" t="s">
        <v>4582</v>
      </c>
      <c r="B456" s="2" t="s">
        <v>2859</v>
      </c>
      <c r="C456" s="2" t="s">
        <v>411</v>
      </c>
      <c r="D456" s="2">
        <v>30.0</v>
      </c>
      <c r="G456" s="2">
        <v>30.0</v>
      </c>
      <c r="H456" s="2">
        <v>15.0</v>
      </c>
    </row>
    <row r="457" ht="15.75" customHeight="1">
      <c r="A457" s="5" t="s">
        <v>4583</v>
      </c>
      <c r="B457" s="2" t="s">
        <v>2859</v>
      </c>
      <c r="C457" s="2" t="s">
        <v>342</v>
      </c>
      <c r="D457" s="2">
        <v>48.0</v>
      </c>
      <c r="G457" s="2">
        <v>48.0</v>
      </c>
    </row>
    <row r="458" ht="15.75" customHeight="1">
      <c r="A458" s="2" t="s">
        <v>4584</v>
      </c>
      <c r="B458" s="2" t="s">
        <v>2856</v>
      </c>
      <c r="C458" s="2" t="s">
        <v>414</v>
      </c>
      <c r="F458" s="2">
        <v>1.0</v>
      </c>
      <c r="G458" s="2">
        <v>24.0</v>
      </c>
      <c r="H458" s="2">
        <v>24.0</v>
      </c>
    </row>
    <row r="459" ht="15.75" customHeight="1">
      <c r="A459" s="2" t="s">
        <v>4585</v>
      </c>
      <c r="B459" s="2" t="s">
        <v>2898</v>
      </c>
      <c r="C459" s="2" t="s">
        <v>354</v>
      </c>
      <c r="D459" s="2">
        <v>48.0</v>
      </c>
      <c r="G459" s="2">
        <v>48.0</v>
      </c>
    </row>
    <row r="460" ht="15.75" customHeight="1">
      <c r="A460" s="2" t="s">
        <v>4586</v>
      </c>
      <c r="B460" s="2" t="s">
        <v>2900</v>
      </c>
      <c r="C460" s="5" t="s">
        <v>165</v>
      </c>
      <c r="E460" s="2">
        <v>2.25</v>
      </c>
      <c r="F460" s="2">
        <v>3.0</v>
      </c>
      <c r="G460" s="2">
        <v>72.0</v>
      </c>
      <c r="H460" s="2">
        <v>24.0</v>
      </c>
    </row>
    <row r="461" ht="15.75" customHeight="1">
      <c r="A461" s="2" t="s">
        <v>4587</v>
      </c>
      <c r="B461" s="2" t="s">
        <v>2900</v>
      </c>
      <c r="C461" s="2" t="s">
        <v>327</v>
      </c>
      <c r="F461" s="2">
        <v>3.0</v>
      </c>
      <c r="G461" s="2">
        <v>60.0</v>
      </c>
      <c r="H461" s="2">
        <v>20.0</v>
      </c>
    </row>
    <row r="462" ht="15.75" customHeight="1">
      <c r="A462" s="5" t="s">
        <v>4588</v>
      </c>
      <c r="B462" s="2" t="s">
        <v>2903</v>
      </c>
      <c r="C462" s="5" t="s">
        <v>134</v>
      </c>
      <c r="E462" s="2">
        <v>2.0</v>
      </c>
      <c r="F462" s="2">
        <v>2.0</v>
      </c>
      <c r="G462" s="2">
        <v>54.0</v>
      </c>
      <c r="H462" s="2">
        <v>27.0</v>
      </c>
    </row>
    <row r="463" ht="15.75" customHeight="1">
      <c r="A463" s="2" t="s">
        <v>4589</v>
      </c>
      <c r="B463" s="2" t="s">
        <v>2903</v>
      </c>
      <c r="C463" s="5" t="s">
        <v>59</v>
      </c>
      <c r="E463" s="2">
        <v>2.08</v>
      </c>
      <c r="F463" s="2">
        <v>2.0</v>
      </c>
      <c r="G463" s="2">
        <v>54.0</v>
      </c>
      <c r="H463" s="2">
        <v>27.0</v>
      </c>
    </row>
    <row r="464" ht="15.75" customHeight="1">
      <c r="A464" s="2" t="s">
        <v>4590</v>
      </c>
      <c r="B464" s="2" t="s">
        <v>2903</v>
      </c>
      <c r="C464" s="2" t="s">
        <v>372</v>
      </c>
      <c r="F464" s="2">
        <v>2.0</v>
      </c>
      <c r="G464" s="2">
        <v>48.0</v>
      </c>
      <c r="H464" s="2">
        <v>24.0</v>
      </c>
    </row>
    <row r="465" ht="15.75" customHeight="1">
      <c r="A465" s="2" t="s">
        <v>4591</v>
      </c>
      <c r="B465" s="2" t="s">
        <v>2903</v>
      </c>
      <c r="C465" s="2" t="s">
        <v>408</v>
      </c>
      <c r="F465" s="2">
        <v>2.0</v>
      </c>
      <c r="G465" s="2">
        <v>36.0</v>
      </c>
      <c r="H465" s="2">
        <v>18.0</v>
      </c>
    </row>
    <row r="466" ht="15.75" customHeight="1">
      <c r="A466" s="2" t="s">
        <v>4592</v>
      </c>
      <c r="B466" s="2" t="s">
        <v>3014</v>
      </c>
      <c r="C466" s="5" t="s">
        <v>192</v>
      </c>
      <c r="E466" s="2">
        <v>3.5</v>
      </c>
      <c r="F466" s="2">
        <v>2.0</v>
      </c>
      <c r="G466" s="2">
        <v>48.0</v>
      </c>
      <c r="H466" s="2">
        <v>24.0</v>
      </c>
    </row>
    <row r="467" ht="15.75" customHeight="1">
      <c r="A467" s="5" t="s">
        <v>4593</v>
      </c>
      <c r="B467" s="2" t="s">
        <v>3014</v>
      </c>
      <c r="C467" s="5" t="s">
        <v>142</v>
      </c>
      <c r="E467" s="2">
        <v>2.25</v>
      </c>
      <c r="F467" s="2">
        <v>2.0</v>
      </c>
      <c r="G467" s="2">
        <v>48.0</v>
      </c>
      <c r="H467" s="2">
        <v>24.0</v>
      </c>
    </row>
    <row r="468" ht="15.75" customHeight="1">
      <c r="A468" s="2" t="s">
        <v>4594</v>
      </c>
      <c r="B468" s="2" t="s">
        <v>3014</v>
      </c>
      <c r="C468" s="2" t="s">
        <v>295</v>
      </c>
      <c r="E468" s="2">
        <v>0.45</v>
      </c>
      <c r="F468" s="2">
        <v>4.0</v>
      </c>
      <c r="G468" s="2">
        <v>0.0</v>
      </c>
    </row>
    <row r="469" ht="15.75" customHeight="1">
      <c r="A469" s="2" t="s">
        <v>4595</v>
      </c>
      <c r="B469" s="2" t="s">
        <v>3014</v>
      </c>
      <c r="C469" s="5" t="s">
        <v>148</v>
      </c>
      <c r="E469" s="2">
        <v>3.28</v>
      </c>
      <c r="F469" s="2">
        <v>1.0</v>
      </c>
      <c r="G469" s="2">
        <v>0.0</v>
      </c>
    </row>
    <row r="470" ht="15.75" customHeight="1">
      <c r="A470" s="2" t="s">
        <v>4596</v>
      </c>
      <c r="B470" s="2" t="s">
        <v>3014</v>
      </c>
      <c r="C470" s="5" t="s">
        <v>171</v>
      </c>
      <c r="E470" s="2">
        <v>1.33</v>
      </c>
      <c r="F470" s="2">
        <v>2.0</v>
      </c>
      <c r="G470" s="2">
        <v>0.0</v>
      </c>
    </row>
    <row r="471" ht="15.75" customHeight="1">
      <c r="A471" s="2" t="s">
        <v>4597</v>
      </c>
      <c r="B471" s="2" t="s">
        <v>3014</v>
      </c>
      <c r="C471" s="2" t="s">
        <v>372</v>
      </c>
      <c r="F471" s="2">
        <v>1.0</v>
      </c>
      <c r="G471" s="2">
        <v>24.0</v>
      </c>
      <c r="H471" s="2">
        <v>24.0</v>
      </c>
    </row>
    <row r="472" ht="15.75" customHeight="1">
      <c r="A472" s="2" t="s">
        <v>4598</v>
      </c>
      <c r="B472" s="2" t="s">
        <v>3014</v>
      </c>
      <c r="C472" s="5" t="s">
        <v>134</v>
      </c>
      <c r="E472" s="2">
        <v>2.0</v>
      </c>
      <c r="F472" s="2">
        <v>3.0</v>
      </c>
      <c r="G472" s="2">
        <v>81.0</v>
      </c>
      <c r="H472" s="2">
        <v>27.0</v>
      </c>
    </row>
    <row r="473" ht="15.75" customHeight="1">
      <c r="A473" s="2" t="s">
        <v>4599</v>
      </c>
      <c r="B473" s="2" t="s">
        <v>3014</v>
      </c>
      <c r="C473" s="5" t="s">
        <v>59</v>
      </c>
      <c r="E473" s="2">
        <v>2.08</v>
      </c>
      <c r="F473" s="2">
        <v>2.0</v>
      </c>
      <c r="G473" s="2">
        <v>54.0</v>
      </c>
      <c r="H473" s="2">
        <v>27.0</v>
      </c>
    </row>
    <row r="474" ht="15.75" customHeight="1">
      <c r="A474" s="2" t="s">
        <v>4600</v>
      </c>
      <c r="B474" s="2" t="s">
        <v>3014</v>
      </c>
      <c r="C474" s="2" t="s">
        <v>405</v>
      </c>
      <c r="F474" s="2">
        <v>1.0</v>
      </c>
      <c r="G474" s="2">
        <v>24.0</v>
      </c>
      <c r="H474" s="2">
        <v>24.0</v>
      </c>
    </row>
    <row r="475" ht="15.75" customHeight="1">
      <c r="A475" s="2" t="s">
        <v>4601</v>
      </c>
      <c r="B475" s="2" t="s">
        <v>3024</v>
      </c>
      <c r="C475" s="2" t="s">
        <v>384</v>
      </c>
      <c r="F475" s="2">
        <v>1.0</v>
      </c>
      <c r="G475" s="2">
        <v>24.0</v>
      </c>
      <c r="H475" s="2">
        <v>24.0</v>
      </c>
    </row>
    <row r="476" ht="15.75" customHeight="1">
      <c r="A476" s="2" t="s">
        <v>4602</v>
      </c>
      <c r="B476" s="2" t="s">
        <v>3024</v>
      </c>
      <c r="C476" s="2" t="s">
        <v>378</v>
      </c>
      <c r="F476" s="2">
        <v>3.0</v>
      </c>
      <c r="G476" s="2">
        <v>72.0</v>
      </c>
      <c r="H476" s="2">
        <v>24.0</v>
      </c>
    </row>
    <row r="477" ht="15.75" customHeight="1">
      <c r="A477" s="2" t="s">
        <v>4603</v>
      </c>
      <c r="B477" s="2" t="s">
        <v>3024</v>
      </c>
      <c r="C477" s="2" t="s">
        <v>372</v>
      </c>
      <c r="F477" s="2">
        <v>2.0</v>
      </c>
      <c r="G477" s="2">
        <v>48.0</v>
      </c>
      <c r="H477" s="2">
        <v>24.0</v>
      </c>
    </row>
    <row r="478" ht="15.75" customHeight="1">
      <c r="A478" s="2" t="s">
        <v>4604</v>
      </c>
      <c r="B478" s="2" t="s">
        <v>3024</v>
      </c>
      <c r="C478" s="2" t="s">
        <v>414</v>
      </c>
      <c r="F478" s="2">
        <v>1.0</v>
      </c>
      <c r="G478" s="2">
        <v>24.0</v>
      </c>
      <c r="H478" s="2">
        <v>24.0</v>
      </c>
    </row>
    <row r="479" ht="15.75" customHeight="1">
      <c r="A479" s="2" t="s">
        <v>4605</v>
      </c>
      <c r="B479" s="2" t="s">
        <v>3024</v>
      </c>
      <c r="C479" s="5" t="s">
        <v>131</v>
      </c>
      <c r="E479" s="2">
        <v>1.33</v>
      </c>
      <c r="F479" s="2">
        <v>1.0</v>
      </c>
      <c r="G479" s="2">
        <v>0.0</v>
      </c>
    </row>
    <row r="480" ht="15.75" customHeight="1">
      <c r="A480" s="2" t="s">
        <v>4606</v>
      </c>
      <c r="B480" s="2" t="s">
        <v>3024</v>
      </c>
      <c r="C480" s="2" t="s">
        <v>408</v>
      </c>
      <c r="F480" s="2">
        <v>2.0</v>
      </c>
      <c r="G480" s="2">
        <v>36.0</v>
      </c>
      <c r="H480" s="2">
        <v>18.0</v>
      </c>
    </row>
    <row r="481" ht="15.75" customHeight="1">
      <c r="A481" s="2" t="s">
        <v>4607</v>
      </c>
      <c r="B481" s="2" t="s">
        <v>3024</v>
      </c>
      <c r="C481" s="2" t="s">
        <v>354</v>
      </c>
      <c r="F481" s="2">
        <v>2.0</v>
      </c>
      <c r="G481" s="2">
        <v>24.0</v>
      </c>
      <c r="H481" s="2">
        <v>12.0</v>
      </c>
    </row>
    <row r="482" ht="15.75" customHeight="1">
      <c r="A482" s="2" t="s">
        <v>4608</v>
      </c>
      <c r="B482" s="2" t="s">
        <v>3032</v>
      </c>
      <c r="C482" s="2" t="s">
        <v>417</v>
      </c>
      <c r="D482" s="2">
        <v>29.0</v>
      </c>
      <c r="G482" s="2">
        <v>29.0</v>
      </c>
      <c r="H482" s="2">
        <v>0.0</v>
      </c>
    </row>
    <row r="483" ht="15.75" customHeight="1">
      <c r="A483" s="2" t="s">
        <v>4609</v>
      </c>
      <c r="B483" s="2" t="s">
        <v>3032</v>
      </c>
      <c r="C483" s="5" t="s">
        <v>120</v>
      </c>
      <c r="D483" s="2">
        <v>16.0</v>
      </c>
      <c r="E483" s="2">
        <v>6.12</v>
      </c>
      <c r="G483" s="2">
        <v>16.0</v>
      </c>
      <c r="H483" s="2">
        <v>16.0</v>
      </c>
    </row>
    <row r="484" ht="15.75" customHeight="1">
      <c r="A484" s="2" t="s">
        <v>4610</v>
      </c>
      <c r="B484" s="2" t="s">
        <v>3035</v>
      </c>
      <c r="C484" s="2" t="s">
        <v>327</v>
      </c>
      <c r="F484" s="2">
        <v>8.0</v>
      </c>
      <c r="G484" s="2">
        <v>160.0</v>
      </c>
      <c r="H484" s="2">
        <v>20.0</v>
      </c>
    </row>
    <row r="485" ht="15.75" customHeight="1">
      <c r="A485" s="2" t="s">
        <v>4611</v>
      </c>
      <c r="B485" s="2" t="s">
        <v>3099</v>
      </c>
      <c r="C485" s="5" t="s">
        <v>217</v>
      </c>
      <c r="E485" s="2">
        <v>2.8</v>
      </c>
      <c r="F485" s="2">
        <v>12.0</v>
      </c>
      <c r="G485" s="2">
        <v>180.0</v>
      </c>
      <c r="H485" s="2">
        <v>15.0</v>
      </c>
    </row>
    <row r="486" ht="15.75" customHeight="1">
      <c r="A486" s="2" t="s">
        <v>4612</v>
      </c>
      <c r="B486" s="2" t="s">
        <v>3099</v>
      </c>
      <c r="C486" s="2" t="s">
        <v>271</v>
      </c>
      <c r="E486" s="2">
        <v>3.0</v>
      </c>
      <c r="F486" s="2">
        <v>12.0</v>
      </c>
      <c r="G486" s="2">
        <v>180.0</v>
      </c>
      <c r="H486" s="2">
        <v>15.0</v>
      </c>
    </row>
    <row r="487" ht="15.75" customHeight="1">
      <c r="A487" s="2" t="s">
        <v>4613</v>
      </c>
      <c r="B487" s="2" t="s">
        <v>3099</v>
      </c>
      <c r="C487" s="2" t="s">
        <v>419</v>
      </c>
      <c r="F487" s="2">
        <v>5.0</v>
      </c>
      <c r="G487" s="2">
        <v>75.0</v>
      </c>
      <c r="H487" s="2">
        <v>15.0</v>
      </c>
    </row>
    <row r="488" ht="15.75" customHeight="1">
      <c r="A488" s="2" t="s">
        <v>4614</v>
      </c>
      <c r="B488" s="2" t="s">
        <v>3099</v>
      </c>
      <c r="C488" s="2" t="s">
        <v>280</v>
      </c>
      <c r="E488" s="2">
        <v>2.6</v>
      </c>
      <c r="F488" s="2">
        <v>1.0</v>
      </c>
      <c r="G488" s="2">
        <v>15.0</v>
      </c>
      <c r="H488" s="2">
        <v>15.0</v>
      </c>
    </row>
    <row r="489" ht="15.75" customHeight="1">
      <c r="A489" s="2" t="s">
        <v>4615</v>
      </c>
      <c r="B489" s="2" t="s">
        <v>3104</v>
      </c>
      <c r="C489" s="2" t="s">
        <v>396</v>
      </c>
      <c r="D489" s="2">
        <v>24.0</v>
      </c>
      <c r="G489" s="2">
        <v>24.0</v>
      </c>
    </row>
    <row r="490" ht="15.75" customHeight="1">
      <c r="A490" s="2" t="s">
        <v>4616</v>
      </c>
      <c r="B490" s="2" t="s">
        <v>3104</v>
      </c>
      <c r="C490" s="5" t="s">
        <v>192</v>
      </c>
      <c r="E490" s="2">
        <v>3.5</v>
      </c>
      <c r="F490" s="2">
        <v>4.0</v>
      </c>
      <c r="G490" s="2">
        <v>96.0</v>
      </c>
      <c r="H490" s="2">
        <v>24.0</v>
      </c>
    </row>
    <row r="491" ht="15.75" customHeight="1">
      <c r="A491" s="2" t="s">
        <v>4617</v>
      </c>
      <c r="B491" s="2" t="s">
        <v>3104</v>
      </c>
      <c r="C491" s="5" t="s">
        <v>186</v>
      </c>
      <c r="D491" s="2">
        <v>30.0</v>
      </c>
      <c r="E491" s="2">
        <v>5.9</v>
      </c>
      <c r="G491" s="2">
        <v>30.0</v>
      </c>
    </row>
    <row r="492" ht="15.75" customHeight="1">
      <c r="A492" s="2" t="s">
        <v>4618</v>
      </c>
      <c r="B492" s="2" t="s">
        <v>3108</v>
      </c>
      <c r="C492" s="2" t="s">
        <v>378</v>
      </c>
      <c r="F492" s="2">
        <v>2.0</v>
      </c>
      <c r="G492" s="2">
        <v>48.0</v>
      </c>
      <c r="H492" s="2">
        <v>24.0</v>
      </c>
    </row>
    <row r="493" ht="15.75" customHeight="1">
      <c r="A493" s="2" t="s">
        <v>4619</v>
      </c>
      <c r="B493" s="2" t="s">
        <v>3108</v>
      </c>
      <c r="C493" s="2" t="s">
        <v>372</v>
      </c>
      <c r="F493" s="2">
        <v>2.0</v>
      </c>
      <c r="G493" s="2">
        <v>48.0</v>
      </c>
      <c r="H493" s="2">
        <v>24.0</v>
      </c>
    </row>
    <row r="494" ht="15.75" customHeight="1">
      <c r="A494" s="2" t="s">
        <v>4620</v>
      </c>
      <c r="B494" s="2" t="s">
        <v>3108</v>
      </c>
      <c r="C494" s="2" t="s">
        <v>414</v>
      </c>
      <c r="D494" s="2">
        <v>24.0</v>
      </c>
      <c r="G494" s="2">
        <v>24.0</v>
      </c>
      <c r="H494" s="2">
        <v>24.0</v>
      </c>
    </row>
    <row r="495" ht="15.75" customHeight="1">
      <c r="A495" s="2" t="s">
        <v>4621</v>
      </c>
      <c r="B495" s="2" t="s">
        <v>3133</v>
      </c>
      <c r="C495" s="5" t="s">
        <v>214</v>
      </c>
      <c r="E495" s="2">
        <v>0.3</v>
      </c>
      <c r="F495" s="2">
        <v>101.0</v>
      </c>
      <c r="G495" s="2">
        <v>1212.0</v>
      </c>
      <c r="H495" s="2">
        <v>12.0</v>
      </c>
    </row>
    <row r="496" ht="15.75" customHeight="1">
      <c r="A496" s="2" t="s">
        <v>4622</v>
      </c>
      <c r="B496" s="2" t="s">
        <v>3153</v>
      </c>
      <c r="C496" s="2" t="s">
        <v>396</v>
      </c>
      <c r="D496" s="2">
        <v>48.0</v>
      </c>
      <c r="G496" s="2">
        <v>48.0</v>
      </c>
    </row>
    <row r="497" ht="15.75" customHeight="1">
      <c r="A497" s="2" t="s">
        <v>4623</v>
      </c>
      <c r="B497" s="2" t="s">
        <v>3153</v>
      </c>
      <c r="C497" s="5" t="s">
        <v>157</v>
      </c>
      <c r="D497" s="2">
        <v>20.0</v>
      </c>
      <c r="E497" s="2">
        <v>2.4</v>
      </c>
      <c r="G497" s="2">
        <v>20.0</v>
      </c>
    </row>
    <row r="498" ht="15.75" customHeight="1">
      <c r="A498" s="2" t="s">
        <v>4624</v>
      </c>
      <c r="B498" s="2" t="s">
        <v>3153</v>
      </c>
      <c r="C498" s="5" t="s">
        <v>148</v>
      </c>
      <c r="E498" s="2">
        <v>3.28</v>
      </c>
      <c r="F498" s="2">
        <v>3.0</v>
      </c>
      <c r="G498" s="2">
        <v>75.0</v>
      </c>
      <c r="H498" s="2">
        <v>25.0</v>
      </c>
    </row>
    <row r="499" ht="15.75" customHeight="1">
      <c r="A499" s="2" t="s">
        <v>4625</v>
      </c>
      <c r="B499" s="2" t="s">
        <v>3153</v>
      </c>
      <c r="C499" s="5" t="s">
        <v>131</v>
      </c>
      <c r="E499" s="2">
        <v>1.33</v>
      </c>
      <c r="F499" s="2">
        <v>1.0</v>
      </c>
      <c r="G499" s="2">
        <v>24.0</v>
      </c>
      <c r="H499" s="2">
        <v>24.0</v>
      </c>
    </row>
    <row r="500" ht="15.75" customHeight="1">
      <c r="A500" s="2" t="s">
        <v>4626</v>
      </c>
      <c r="B500" s="2" t="s">
        <v>3153</v>
      </c>
      <c r="C500" s="5" t="s">
        <v>134</v>
      </c>
      <c r="E500" s="2">
        <v>2.0</v>
      </c>
      <c r="F500" s="2">
        <v>2.0</v>
      </c>
      <c r="G500" s="2">
        <v>54.0</v>
      </c>
      <c r="H500" s="2">
        <v>27.0</v>
      </c>
    </row>
    <row r="501" ht="15.75" customHeight="1">
      <c r="A501" s="2" t="s">
        <v>4627</v>
      </c>
      <c r="B501" s="2" t="s">
        <v>3191</v>
      </c>
      <c r="C501" s="5" t="s">
        <v>142</v>
      </c>
      <c r="E501" s="2">
        <v>2.25</v>
      </c>
      <c r="F501" s="2">
        <v>5.0</v>
      </c>
      <c r="G501" s="2">
        <v>120.0</v>
      </c>
      <c r="H501" s="2">
        <v>24.0</v>
      </c>
    </row>
    <row r="502" ht="15.75" customHeight="1">
      <c r="A502" s="2" t="s">
        <v>4628</v>
      </c>
      <c r="B502" s="2" t="s">
        <v>3191</v>
      </c>
      <c r="C502" s="5" t="s">
        <v>192</v>
      </c>
      <c r="E502" s="2">
        <v>3.5</v>
      </c>
      <c r="F502" s="2">
        <v>5.0</v>
      </c>
      <c r="G502" s="2">
        <v>120.0</v>
      </c>
      <c r="H502" s="2">
        <v>24.0</v>
      </c>
    </row>
    <row r="503" ht="15.75" customHeight="1">
      <c r="A503" s="2" t="s">
        <v>4629</v>
      </c>
      <c r="B503" s="2" t="s">
        <v>3191</v>
      </c>
      <c r="C503" s="2" t="s">
        <v>405</v>
      </c>
      <c r="F503" s="2">
        <v>5.0</v>
      </c>
      <c r="G503" s="2">
        <v>120.0</v>
      </c>
      <c r="H503" s="2">
        <v>24.0</v>
      </c>
    </row>
    <row r="504" ht="15.75" customHeight="1">
      <c r="A504" s="2" t="s">
        <v>4630</v>
      </c>
      <c r="B504" s="2" t="s">
        <v>3191</v>
      </c>
      <c r="C504" s="5" t="s">
        <v>148</v>
      </c>
      <c r="E504" s="2">
        <v>3.28</v>
      </c>
      <c r="F504" s="2">
        <v>1.0</v>
      </c>
      <c r="G504" s="2">
        <v>25.0</v>
      </c>
      <c r="H504" s="2">
        <v>25.0</v>
      </c>
    </row>
    <row r="505" ht="15.75" customHeight="1">
      <c r="A505" s="2" t="s">
        <v>4631</v>
      </c>
      <c r="B505" s="2" t="s">
        <v>3191</v>
      </c>
      <c r="C505" s="2" t="s">
        <v>354</v>
      </c>
      <c r="D505" s="2">
        <v>12.0</v>
      </c>
      <c r="G505" s="2">
        <v>12.0</v>
      </c>
      <c r="H505" s="2">
        <v>12.0</v>
      </c>
    </row>
    <row r="506" ht="15.75" customHeight="1">
      <c r="A506" s="2" t="s">
        <v>4632</v>
      </c>
      <c r="B506" s="2" t="s">
        <v>3191</v>
      </c>
      <c r="C506" s="2" t="s">
        <v>295</v>
      </c>
      <c r="E506" s="2">
        <v>0.45</v>
      </c>
      <c r="F506" s="2">
        <v>4.0</v>
      </c>
      <c r="G506" s="2">
        <v>96.0</v>
      </c>
      <c r="H506" s="2">
        <v>24.0</v>
      </c>
    </row>
    <row r="507" ht="15.75" customHeight="1">
      <c r="A507" s="2" t="s">
        <v>4633</v>
      </c>
      <c r="B507" s="2" t="s">
        <v>3191</v>
      </c>
      <c r="C507" s="2" t="s">
        <v>396</v>
      </c>
      <c r="F507" s="2">
        <v>12.0</v>
      </c>
      <c r="G507" s="2">
        <v>0.0</v>
      </c>
    </row>
    <row r="508" ht="15.75" customHeight="1">
      <c r="A508" s="2" t="s">
        <v>4634</v>
      </c>
      <c r="B508" s="2" t="s">
        <v>3199</v>
      </c>
      <c r="C508" s="2" t="s">
        <v>396</v>
      </c>
      <c r="F508" s="2">
        <v>12.0</v>
      </c>
      <c r="G508" s="2">
        <v>144.0</v>
      </c>
      <c r="H508" s="2">
        <v>12.0</v>
      </c>
    </row>
    <row r="509" ht="15.75" customHeight="1">
      <c r="A509" s="2" t="s">
        <v>4635</v>
      </c>
      <c r="B509" s="2" t="s">
        <v>3224</v>
      </c>
      <c r="C509" s="5" t="s">
        <v>186</v>
      </c>
      <c r="D509" s="2">
        <v>60.0</v>
      </c>
      <c r="E509" s="2">
        <v>5.9</v>
      </c>
      <c r="G509" s="2">
        <v>60.0</v>
      </c>
    </row>
    <row r="510" ht="15.75" customHeight="1">
      <c r="A510" s="2" t="s">
        <v>4636</v>
      </c>
      <c r="B510" s="2" t="s">
        <v>3224</v>
      </c>
      <c r="C510" s="5" t="s">
        <v>148</v>
      </c>
      <c r="E510" s="2">
        <v>3.28</v>
      </c>
      <c r="F510" s="2">
        <v>2.0</v>
      </c>
      <c r="G510" s="2">
        <v>50.0</v>
      </c>
      <c r="H510" s="2">
        <v>25.0</v>
      </c>
    </row>
    <row r="511" ht="15.75" customHeight="1">
      <c r="A511" s="2" t="s">
        <v>4637</v>
      </c>
      <c r="B511" s="2" t="s">
        <v>3224</v>
      </c>
      <c r="C511" s="5" t="s">
        <v>157</v>
      </c>
      <c r="D511" s="2">
        <v>20.0</v>
      </c>
      <c r="E511" s="2">
        <v>2.4</v>
      </c>
      <c r="G511" s="2">
        <v>20.0</v>
      </c>
    </row>
    <row r="512" ht="15.75" customHeight="1">
      <c r="A512" s="2" t="s">
        <v>4638</v>
      </c>
      <c r="B512" s="2" t="s">
        <v>3224</v>
      </c>
      <c r="C512" s="5" t="s">
        <v>134</v>
      </c>
      <c r="E512" s="2">
        <v>2.0</v>
      </c>
      <c r="F512" s="2">
        <v>3.0</v>
      </c>
      <c r="G512" s="2">
        <v>81.0</v>
      </c>
      <c r="H512" s="2">
        <v>27.0</v>
      </c>
    </row>
    <row r="513" ht="15.75" customHeight="1">
      <c r="A513" s="2" t="s">
        <v>4639</v>
      </c>
      <c r="B513" s="2" t="s">
        <v>3229</v>
      </c>
      <c r="C513" s="5" t="s">
        <v>14</v>
      </c>
      <c r="D513" s="2">
        <v>20.0</v>
      </c>
      <c r="E513" s="2">
        <v>4.7</v>
      </c>
      <c r="G513" s="2">
        <v>20.0</v>
      </c>
      <c r="H513" s="2">
        <v>10.0</v>
      </c>
    </row>
    <row r="514" ht="15.75" customHeight="1">
      <c r="A514" s="2" t="s">
        <v>4640</v>
      </c>
      <c r="B514" s="2" t="s">
        <v>3231</v>
      </c>
      <c r="C514" s="2" t="s">
        <v>259</v>
      </c>
      <c r="E514" s="2">
        <v>1.0</v>
      </c>
      <c r="G514" s="2">
        <v>0.0</v>
      </c>
    </row>
    <row r="515" ht="15.75" customHeight="1">
      <c r="A515" s="2" t="s">
        <v>4641</v>
      </c>
      <c r="B515" s="2" t="s">
        <v>3233</v>
      </c>
      <c r="C515" s="2" t="s">
        <v>289</v>
      </c>
      <c r="E515" s="2">
        <v>2.78</v>
      </c>
      <c r="F515" s="2">
        <v>4.0</v>
      </c>
      <c r="G515" s="2">
        <v>72.0</v>
      </c>
      <c r="H515" s="2">
        <v>18.0</v>
      </c>
    </row>
    <row r="516" ht="15.75" customHeight="1">
      <c r="A516" s="2" t="s">
        <v>4642</v>
      </c>
      <c r="B516" s="2" t="s">
        <v>3233</v>
      </c>
      <c r="C516" s="5" t="s">
        <v>217</v>
      </c>
      <c r="E516" s="2">
        <v>2.8</v>
      </c>
      <c r="F516" s="2">
        <v>2.0</v>
      </c>
      <c r="G516" s="2">
        <v>30.0</v>
      </c>
      <c r="H516" s="2">
        <v>15.0</v>
      </c>
    </row>
    <row r="517" ht="15.75" customHeight="1">
      <c r="A517" s="2" t="s">
        <v>4643</v>
      </c>
      <c r="B517" s="2" t="s">
        <v>3236</v>
      </c>
      <c r="C517" s="5" t="s">
        <v>131</v>
      </c>
      <c r="E517" s="2">
        <v>1.33</v>
      </c>
      <c r="F517" s="2">
        <v>1.0</v>
      </c>
      <c r="G517" s="2">
        <v>24.0</v>
      </c>
      <c r="H517" s="2">
        <v>24.0</v>
      </c>
    </row>
    <row r="518" ht="15.75" customHeight="1">
      <c r="A518" s="2" t="s">
        <v>4644</v>
      </c>
      <c r="B518" s="2" t="s">
        <v>3236</v>
      </c>
      <c r="C518" s="5" t="s">
        <v>96</v>
      </c>
      <c r="E518" s="2">
        <v>1.93</v>
      </c>
      <c r="F518" s="2">
        <v>1.0</v>
      </c>
      <c r="G518" s="2">
        <v>24.0</v>
      </c>
      <c r="H518" s="2">
        <v>24.0</v>
      </c>
    </row>
    <row r="519" ht="15.75" customHeight="1">
      <c r="A519" s="2" t="s">
        <v>4645</v>
      </c>
      <c r="B519" s="2" t="s">
        <v>3236</v>
      </c>
      <c r="C519" s="2" t="s">
        <v>378</v>
      </c>
      <c r="F519" s="2">
        <v>4.0</v>
      </c>
      <c r="G519" s="2">
        <v>96.0</v>
      </c>
      <c r="H519" s="2">
        <v>24.0</v>
      </c>
    </row>
    <row r="520" ht="15.75" customHeight="1">
      <c r="A520" s="2" t="s">
        <v>4646</v>
      </c>
      <c r="B520" s="2" t="s">
        <v>3236</v>
      </c>
      <c r="C520" s="2" t="s">
        <v>384</v>
      </c>
      <c r="F520" s="2">
        <v>4.0</v>
      </c>
      <c r="G520" s="2">
        <v>96.0</v>
      </c>
      <c r="H520" s="2">
        <v>24.0</v>
      </c>
    </row>
    <row r="521" ht="15.75" customHeight="1">
      <c r="A521" s="2" t="s">
        <v>4647</v>
      </c>
      <c r="B521" s="2" t="s">
        <v>3236</v>
      </c>
      <c r="C521" s="2" t="s">
        <v>372</v>
      </c>
      <c r="F521" s="2">
        <v>1.0</v>
      </c>
      <c r="G521" s="2">
        <v>24.0</v>
      </c>
      <c r="H521" s="2">
        <v>24.0</v>
      </c>
    </row>
    <row r="522" ht="15.75" customHeight="1">
      <c r="A522" s="2" t="s">
        <v>4648</v>
      </c>
      <c r="B522" s="2" t="s">
        <v>3266</v>
      </c>
      <c r="C522" s="5" t="s">
        <v>165</v>
      </c>
      <c r="E522" s="2">
        <v>2.25</v>
      </c>
      <c r="F522" s="2">
        <v>2.0</v>
      </c>
      <c r="G522" s="2">
        <v>48.0</v>
      </c>
      <c r="H522" s="2">
        <v>24.0</v>
      </c>
    </row>
    <row r="523" ht="15.75" customHeight="1">
      <c r="A523" s="2" t="s">
        <v>4649</v>
      </c>
      <c r="B523" s="2" t="s">
        <v>3266</v>
      </c>
      <c r="C523" s="2" t="s">
        <v>280</v>
      </c>
      <c r="E523" s="2">
        <v>2.6</v>
      </c>
      <c r="F523" s="2">
        <v>1.0</v>
      </c>
      <c r="G523" s="2">
        <v>15.0</v>
      </c>
      <c r="H523" s="2">
        <v>15.0</v>
      </c>
    </row>
    <row r="524" ht="15.75" customHeight="1">
      <c r="A524" s="2" t="s">
        <v>4650</v>
      </c>
      <c r="B524" s="2" t="s">
        <v>3293</v>
      </c>
      <c r="C524" s="5" t="s">
        <v>217</v>
      </c>
      <c r="E524" s="2">
        <v>2.8</v>
      </c>
      <c r="F524" s="2">
        <v>13.0</v>
      </c>
      <c r="G524" s="2">
        <v>195.0</v>
      </c>
      <c r="H524" s="2">
        <v>15.0</v>
      </c>
    </row>
    <row r="525" ht="15.75" customHeight="1">
      <c r="A525" s="2" t="s">
        <v>4651</v>
      </c>
      <c r="B525" s="2" t="s">
        <v>3293</v>
      </c>
      <c r="C525" s="2" t="s">
        <v>271</v>
      </c>
      <c r="E525" s="2">
        <v>3.0</v>
      </c>
      <c r="F525" s="2">
        <v>9.0</v>
      </c>
      <c r="G525" s="2">
        <v>135.0</v>
      </c>
      <c r="H525" s="2">
        <v>15.0</v>
      </c>
    </row>
    <row r="526" ht="15.75" customHeight="1">
      <c r="A526" s="2" t="s">
        <v>4652</v>
      </c>
      <c r="B526" s="2" t="s">
        <v>3293</v>
      </c>
      <c r="C526" s="2" t="s">
        <v>280</v>
      </c>
      <c r="E526" s="2">
        <v>2.6</v>
      </c>
      <c r="F526" s="2">
        <v>10.0</v>
      </c>
      <c r="G526" s="2">
        <v>150.0</v>
      </c>
      <c r="H526" s="2">
        <v>15.0</v>
      </c>
    </row>
    <row r="527" ht="15.75" customHeight="1">
      <c r="A527" s="2" t="s">
        <v>4653</v>
      </c>
      <c r="B527" s="2" t="s">
        <v>3297</v>
      </c>
      <c r="C527" s="2" t="s">
        <v>259</v>
      </c>
      <c r="D527" s="2">
        <v>0.0</v>
      </c>
      <c r="E527" s="2">
        <v>1.0</v>
      </c>
      <c r="G527" s="2">
        <v>0.0</v>
      </c>
    </row>
    <row r="528" ht="15.75" customHeight="1">
      <c r="A528" s="2" t="s">
        <v>4654</v>
      </c>
      <c r="B528" s="2" t="s">
        <v>3299</v>
      </c>
      <c r="C528" s="2" t="s">
        <v>289</v>
      </c>
      <c r="E528" s="2">
        <v>2.78</v>
      </c>
      <c r="F528" s="2">
        <v>10.0</v>
      </c>
      <c r="G528" s="2">
        <v>180.0</v>
      </c>
      <c r="H528" s="2">
        <v>18.0</v>
      </c>
    </row>
    <row r="529" ht="15.75" customHeight="1">
      <c r="A529" s="2" t="s">
        <v>4655</v>
      </c>
      <c r="B529" s="2" t="s">
        <v>3299</v>
      </c>
      <c r="C529" s="2" t="s">
        <v>280</v>
      </c>
      <c r="E529" s="2">
        <v>2.6</v>
      </c>
      <c r="F529" s="2">
        <v>1.0</v>
      </c>
      <c r="G529" s="2">
        <v>15.0</v>
      </c>
      <c r="H529" s="2">
        <v>15.0</v>
      </c>
    </row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86"/>
    <col customWidth="1" min="3" max="3" width="21.29"/>
    <col customWidth="1" min="4" max="4" width="16.57"/>
    <col customWidth="1" min="5" max="26" width="8.71"/>
  </cols>
  <sheetData>
    <row r="1">
      <c r="A1" s="1" t="s">
        <v>564</v>
      </c>
      <c r="B1" s="1" t="s">
        <v>4656</v>
      </c>
      <c r="C1" s="1" t="s">
        <v>4657</v>
      </c>
      <c r="D1" s="1" t="s">
        <v>566</v>
      </c>
      <c r="E1" s="1" t="s">
        <v>567</v>
      </c>
      <c r="F1" s="1" t="s">
        <v>4658</v>
      </c>
    </row>
    <row r="2">
      <c r="A2" s="3" t="s">
        <v>570</v>
      </c>
      <c r="B2" s="3" t="s">
        <v>4659</v>
      </c>
      <c r="C2" s="3" t="s">
        <v>4660</v>
      </c>
      <c r="F2" s="3" t="b">
        <v>1</v>
      </c>
    </row>
    <row r="3">
      <c r="A3" s="3" t="s">
        <v>3761</v>
      </c>
      <c r="B3" s="2" t="s">
        <v>4661</v>
      </c>
      <c r="C3" s="3" t="s">
        <v>4662</v>
      </c>
      <c r="D3" s="3" t="s">
        <v>571</v>
      </c>
      <c r="F3" s="3" t="b">
        <v>1</v>
      </c>
    </row>
    <row r="4">
      <c r="A4" s="3" t="s">
        <v>4663</v>
      </c>
      <c r="B4" s="2" t="s">
        <v>4664</v>
      </c>
      <c r="C4" s="3" t="s">
        <v>4662</v>
      </c>
      <c r="D4" s="3" t="s">
        <v>599</v>
      </c>
      <c r="F4" s="3" t="b">
        <v>1</v>
      </c>
    </row>
    <row r="5">
      <c r="A5" s="3" t="s">
        <v>4665</v>
      </c>
      <c r="B5" s="10" t="s">
        <v>4666</v>
      </c>
      <c r="C5" s="3" t="s">
        <v>4667</v>
      </c>
      <c r="E5" s="3" t="s">
        <v>3816</v>
      </c>
      <c r="F5" s="3" t="b">
        <v>1</v>
      </c>
    </row>
    <row r="6">
      <c r="A6" s="3" t="s">
        <v>4668</v>
      </c>
      <c r="B6" s="10" t="s">
        <v>4669</v>
      </c>
      <c r="C6" s="3" t="s">
        <v>4667</v>
      </c>
      <c r="E6" s="3" t="s">
        <v>4670</v>
      </c>
      <c r="F6" s="3" t="b">
        <v>1</v>
      </c>
    </row>
    <row r="7">
      <c r="A7" s="3" t="s">
        <v>4671</v>
      </c>
      <c r="B7" s="10" t="s">
        <v>4672</v>
      </c>
      <c r="C7" s="3" t="s">
        <v>4667</v>
      </c>
      <c r="E7" s="3" t="s">
        <v>4673</v>
      </c>
      <c r="F7" s="3" t="b">
        <v>1</v>
      </c>
    </row>
    <row r="8">
      <c r="A8" s="3" t="s">
        <v>4674</v>
      </c>
      <c r="B8" s="10" t="s">
        <v>4675</v>
      </c>
      <c r="C8" s="3" t="s">
        <v>4667</v>
      </c>
      <c r="E8" s="3" t="s">
        <v>4676</v>
      </c>
      <c r="F8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4677</v>
      </c>
      <c r="B1" s="1" t="s">
        <v>4678</v>
      </c>
      <c r="C1" s="1" t="s">
        <v>4160</v>
      </c>
      <c r="D1" s="1" t="s">
        <v>4161</v>
      </c>
      <c r="E1" s="1" t="s">
        <v>4679</v>
      </c>
      <c r="F1" s="1" t="s">
        <v>3937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>
      <c r="A1" s="1" t="s">
        <v>567</v>
      </c>
      <c r="B1" s="1" t="s">
        <v>4680</v>
      </c>
      <c r="C1" s="1" t="s">
        <v>4681</v>
      </c>
      <c r="D1" s="1" t="s">
        <v>4682</v>
      </c>
      <c r="E1" s="1" t="s">
        <v>4683</v>
      </c>
      <c r="F1" s="1" t="s">
        <v>3937</v>
      </c>
      <c r="G1" s="1" t="s">
        <v>4684</v>
      </c>
      <c r="H1" s="1" t="s">
        <v>4685</v>
      </c>
    </row>
    <row r="2">
      <c r="A2" s="12">
        <v>2.509000371E9</v>
      </c>
      <c r="B2" s="13" t="s">
        <v>4686</v>
      </c>
      <c r="C2" s="10" t="s">
        <v>4687</v>
      </c>
      <c r="D2" s="3" t="s">
        <v>4688</v>
      </c>
      <c r="G2" s="2">
        <v>2.509000371E9</v>
      </c>
    </row>
    <row r="3">
      <c r="A3" s="3" t="s">
        <v>3816</v>
      </c>
      <c r="B3" s="11" t="s">
        <v>4689</v>
      </c>
      <c r="C3" s="10" t="s">
        <v>4687</v>
      </c>
      <c r="D3" s="3" t="s">
        <v>4688</v>
      </c>
      <c r="G3" s="3" t="s">
        <v>3816</v>
      </c>
      <c r="H3" s="3" t="s">
        <v>4665</v>
      </c>
    </row>
    <row r="4">
      <c r="A4" s="3" t="s">
        <v>4676</v>
      </c>
      <c r="B4" s="10" t="s">
        <v>4690</v>
      </c>
      <c r="C4" s="10" t="s">
        <v>4691</v>
      </c>
      <c r="D4" s="3" t="s">
        <v>4692</v>
      </c>
      <c r="G4" s="3" t="s">
        <v>4676</v>
      </c>
      <c r="H4" s="3" t="s">
        <v>4674</v>
      </c>
    </row>
    <row r="5">
      <c r="A5" s="3" t="s">
        <v>4673</v>
      </c>
      <c r="B5" s="11" t="s">
        <v>4693</v>
      </c>
      <c r="C5" s="10" t="s">
        <v>4694</v>
      </c>
      <c r="D5" s="3" t="s">
        <v>4695</v>
      </c>
      <c r="G5" s="3" t="s">
        <v>4673</v>
      </c>
      <c r="H5" s="3" t="s">
        <v>4671</v>
      </c>
    </row>
    <row r="6">
      <c r="B6" s="11"/>
      <c r="C6" s="11"/>
    </row>
    <row r="7">
      <c r="A7" s="3" t="s">
        <v>4670</v>
      </c>
      <c r="B7" s="10" t="s">
        <v>4696</v>
      </c>
      <c r="C7" s="10" t="s">
        <v>4697</v>
      </c>
      <c r="D7" s="3" t="s">
        <v>4698</v>
      </c>
      <c r="G7" s="3" t="s">
        <v>4670</v>
      </c>
      <c r="H7" s="3" t="s">
        <v>4668</v>
      </c>
    </row>
    <row r="8">
      <c r="A8" s="3" t="s">
        <v>4699</v>
      </c>
      <c r="B8" s="10" t="s">
        <v>4700</v>
      </c>
      <c r="D8" s="3" t="s">
        <v>4701</v>
      </c>
      <c r="H8" s="3" t="s">
        <v>4702</v>
      </c>
    </row>
    <row r="9">
      <c r="A9" s="2">
        <v>2.50900037E9</v>
      </c>
      <c r="B9" s="11" t="s">
        <v>4703</v>
      </c>
    </row>
    <row r="10">
      <c r="A10" s="2">
        <v>2.510001719E9</v>
      </c>
      <c r="B10" s="11" t="s">
        <v>4704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2.43"/>
    <col customWidth="1" min="4" max="7" width="8.71"/>
    <col customWidth="1" min="8" max="8" width="11.86"/>
    <col customWidth="1" min="9" max="26" width="8.71"/>
  </cols>
  <sheetData>
    <row r="1">
      <c r="A1" s="1" t="s">
        <v>4678</v>
      </c>
      <c r="B1" s="1" t="s">
        <v>561</v>
      </c>
      <c r="C1" s="1" t="s">
        <v>4705</v>
      </c>
      <c r="D1" s="1" t="s">
        <v>566</v>
      </c>
      <c r="E1" s="1" t="s">
        <v>4706</v>
      </c>
      <c r="F1" s="1" t="s">
        <v>4707</v>
      </c>
      <c r="G1" s="1" t="s">
        <v>4708</v>
      </c>
      <c r="H1" s="1" t="s">
        <v>4709</v>
      </c>
    </row>
    <row r="2">
      <c r="A2" s="3" t="s">
        <v>4710</v>
      </c>
      <c r="B2" s="8">
        <v>46008.0</v>
      </c>
      <c r="C2" s="3">
        <v>2.404120076E9</v>
      </c>
      <c r="D2" s="3" t="s">
        <v>599</v>
      </c>
      <c r="E2" s="3" t="s">
        <v>4711</v>
      </c>
      <c r="F2" s="3" t="s">
        <v>4712</v>
      </c>
      <c r="G2" s="3" t="b">
        <v>0</v>
      </c>
    </row>
    <row r="3">
      <c r="A3" s="3" t="s">
        <v>4713</v>
      </c>
      <c r="B3" s="8">
        <v>46014.0</v>
      </c>
      <c r="C3" s="3">
        <v>2.411000046E9</v>
      </c>
      <c r="D3" s="3" t="s">
        <v>599</v>
      </c>
      <c r="E3" s="3" t="s">
        <v>4714</v>
      </c>
      <c r="F3" s="3" t="s">
        <v>4712</v>
      </c>
      <c r="G3" s="3" t="b">
        <v>1</v>
      </c>
      <c r="H3" s="10" t="s">
        <v>4715</v>
      </c>
    </row>
    <row r="4">
      <c r="A4" s="3" t="s">
        <v>4716</v>
      </c>
      <c r="B4" s="8">
        <v>46010.0</v>
      </c>
      <c r="C4" s="2">
        <v>2.509000371E9</v>
      </c>
      <c r="D4" s="3" t="s">
        <v>571</v>
      </c>
      <c r="E4" s="3" t="s">
        <v>4717</v>
      </c>
      <c r="F4" s="3" t="s">
        <v>4718</v>
      </c>
      <c r="G4" s="3" t="b">
        <v>0</v>
      </c>
    </row>
    <row r="5">
      <c r="A5" s="3" t="s">
        <v>4719</v>
      </c>
      <c r="B5" s="8">
        <v>46015.0</v>
      </c>
      <c r="C5" s="2">
        <v>2.509000371E9</v>
      </c>
      <c r="D5" s="3" t="s">
        <v>599</v>
      </c>
      <c r="E5" s="3" t="s">
        <v>4720</v>
      </c>
      <c r="F5" s="3" t="s">
        <v>4718</v>
      </c>
      <c r="G5" s="3" t="b">
        <v>0</v>
      </c>
    </row>
    <row r="6">
      <c r="A6" s="3" t="s">
        <v>4721</v>
      </c>
      <c r="B6" s="8">
        <v>46016.0</v>
      </c>
      <c r="C6" s="3">
        <v>2.404120076E9</v>
      </c>
      <c r="D6" s="3" t="s">
        <v>571</v>
      </c>
      <c r="E6" s="3" t="s">
        <v>4722</v>
      </c>
      <c r="F6" s="3" t="s">
        <v>4718</v>
      </c>
      <c r="G6" s="3" t="b">
        <v>1</v>
      </c>
      <c r="H6" s="10" t="s">
        <v>4723</v>
      </c>
    </row>
    <row r="7">
      <c r="A7" s="3" t="s">
        <v>4724</v>
      </c>
      <c r="B7" s="8">
        <v>46016.0</v>
      </c>
      <c r="C7" s="2">
        <v>2.509000371E9</v>
      </c>
      <c r="D7" s="3" t="s">
        <v>599</v>
      </c>
      <c r="E7" s="3" t="s">
        <v>4725</v>
      </c>
      <c r="G7" s="3" t="b">
        <v>0</v>
      </c>
    </row>
    <row r="8">
      <c r="A8" s="3" t="s">
        <v>4726</v>
      </c>
      <c r="B8" s="8">
        <v>46017.0</v>
      </c>
      <c r="C8" s="3">
        <v>2.411000046E9</v>
      </c>
      <c r="D8" s="3" t="s">
        <v>599</v>
      </c>
      <c r="E8" s="3" t="s">
        <v>4727</v>
      </c>
      <c r="G8" s="3" t="b">
        <v>0</v>
      </c>
    </row>
    <row r="9">
      <c r="A9" s="3" t="s">
        <v>4728</v>
      </c>
      <c r="B9" s="8">
        <v>46017.0</v>
      </c>
      <c r="C9" s="2">
        <v>2.509000371E9</v>
      </c>
      <c r="D9" s="3" t="s">
        <v>599</v>
      </c>
      <c r="E9" s="3" t="s">
        <v>4729</v>
      </c>
      <c r="F9" s="3" t="s">
        <v>4718</v>
      </c>
      <c r="G9" s="3" t="b">
        <v>0</v>
      </c>
    </row>
    <row r="10">
      <c r="A10" s="3" t="s">
        <v>4730</v>
      </c>
      <c r="B10" s="8">
        <v>46018.0</v>
      </c>
      <c r="C10" s="2">
        <v>2.509000371E9</v>
      </c>
      <c r="D10" s="3" t="s">
        <v>599</v>
      </c>
      <c r="E10" s="3" t="s">
        <v>4731</v>
      </c>
      <c r="F10" s="3" t="s">
        <v>4718</v>
      </c>
      <c r="G10" s="3" t="b">
        <v>0</v>
      </c>
    </row>
    <row r="11">
      <c r="A11" s="3" t="s">
        <v>4732</v>
      </c>
      <c r="B11" s="8">
        <v>46018.0</v>
      </c>
      <c r="C11" s="3">
        <v>2.503000217E9</v>
      </c>
      <c r="D11" s="3" t="s">
        <v>599</v>
      </c>
      <c r="E11" s="3" t="s">
        <v>4733</v>
      </c>
      <c r="F11" s="3" t="s">
        <v>4734</v>
      </c>
      <c r="G11" s="3" t="b">
        <v>0</v>
      </c>
    </row>
    <row r="12">
      <c r="A12" s="3" t="s">
        <v>4735</v>
      </c>
      <c r="B12" s="8">
        <v>46020.0</v>
      </c>
      <c r="C12" s="3">
        <v>2.411000046E9</v>
      </c>
      <c r="D12" s="3" t="s">
        <v>599</v>
      </c>
      <c r="E12" s="3" t="s">
        <v>4736</v>
      </c>
      <c r="F12" s="3" t="s">
        <v>4734</v>
      </c>
      <c r="G12" s="3" t="b">
        <v>0</v>
      </c>
    </row>
    <row r="13">
      <c r="A13" s="3" t="s">
        <v>4737</v>
      </c>
      <c r="B13" s="8">
        <v>46020.0</v>
      </c>
      <c r="C13" s="3">
        <v>2.503000217E9</v>
      </c>
      <c r="D13" s="3" t="s">
        <v>599</v>
      </c>
      <c r="E13" s="3" t="s">
        <v>4738</v>
      </c>
      <c r="F13" s="3" t="s">
        <v>4734</v>
      </c>
      <c r="G13" s="3" t="b">
        <v>0</v>
      </c>
    </row>
    <row r="14">
      <c r="A14" s="3" t="s">
        <v>4739</v>
      </c>
      <c r="B14" s="8">
        <v>46021.0</v>
      </c>
      <c r="C14" s="2">
        <v>2.509000371E9</v>
      </c>
      <c r="D14" s="3" t="s">
        <v>599</v>
      </c>
      <c r="E14" s="3" t="s">
        <v>4740</v>
      </c>
      <c r="F14" s="3" t="s">
        <v>4734</v>
      </c>
      <c r="G14" s="3" t="b">
        <v>0</v>
      </c>
    </row>
    <row r="15">
      <c r="A15" s="3" t="s">
        <v>4741</v>
      </c>
      <c r="B15" s="8">
        <v>46022.0</v>
      </c>
      <c r="C15" s="3">
        <v>2.404120076E9</v>
      </c>
      <c r="D15" s="3" t="s">
        <v>599</v>
      </c>
      <c r="E15" s="3" t="s">
        <v>4742</v>
      </c>
      <c r="F15" s="3" t="s">
        <v>4734</v>
      </c>
      <c r="G15" s="3" t="b">
        <v>0</v>
      </c>
    </row>
    <row r="16">
      <c r="A16" s="3" t="s">
        <v>4743</v>
      </c>
      <c r="B16" s="8">
        <v>46022.0</v>
      </c>
      <c r="C16" s="3">
        <v>2.503000217E9</v>
      </c>
      <c r="D16" s="3" t="s">
        <v>599</v>
      </c>
      <c r="E16" s="3" t="s">
        <v>4744</v>
      </c>
      <c r="F16" s="3" t="s">
        <v>4734</v>
      </c>
      <c r="G16" s="3" t="b">
        <v>1</v>
      </c>
      <c r="H16" s="10" t="s">
        <v>4745</v>
      </c>
    </row>
    <row r="17">
      <c r="A17" s="3" t="s">
        <v>4746</v>
      </c>
      <c r="B17" s="8">
        <v>46022.0</v>
      </c>
      <c r="C17" s="3">
        <v>2.503000217E9</v>
      </c>
      <c r="D17" s="3" t="s">
        <v>599</v>
      </c>
      <c r="E17" s="3" t="s">
        <v>4747</v>
      </c>
      <c r="F17" s="3" t="s">
        <v>4734</v>
      </c>
      <c r="G17" s="3" t="b">
        <v>0</v>
      </c>
    </row>
    <row r="18">
      <c r="A18" s="3" t="s">
        <v>4748</v>
      </c>
      <c r="B18" s="8">
        <v>46023.0</v>
      </c>
      <c r="C18" s="3">
        <v>2.411000046E9</v>
      </c>
      <c r="D18" s="3" t="s">
        <v>599</v>
      </c>
      <c r="E18" s="3" t="s">
        <v>4749</v>
      </c>
      <c r="F18" s="3" t="s">
        <v>4734</v>
      </c>
      <c r="G18" s="3" t="b">
        <v>0</v>
      </c>
    </row>
    <row r="19">
      <c r="A19" s="3" t="s">
        <v>4750</v>
      </c>
      <c r="B19" s="8">
        <v>46023.0</v>
      </c>
      <c r="C19" s="2">
        <v>2.509000371E9</v>
      </c>
      <c r="D19" s="3" t="s">
        <v>599</v>
      </c>
      <c r="E19" s="3" t="s">
        <v>4751</v>
      </c>
      <c r="F19" s="3" t="s">
        <v>4734</v>
      </c>
      <c r="G19" s="3" t="b">
        <v>1</v>
      </c>
      <c r="H19" s="10" t="s">
        <v>4752</v>
      </c>
    </row>
    <row r="20">
      <c r="A20" s="3" t="s">
        <v>4753</v>
      </c>
      <c r="B20" s="8">
        <v>46023.0</v>
      </c>
      <c r="C20" s="3">
        <v>2.404120076E9</v>
      </c>
      <c r="D20" s="3" t="s">
        <v>599</v>
      </c>
      <c r="E20" s="3" t="s">
        <v>4754</v>
      </c>
      <c r="F20" s="3" t="s">
        <v>4734</v>
      </c>
      <c r="G20" s="3" t="b">
        <v>0</v>
      </c>
    </row>
    <row r="21" ht="15.75" customHeight="1">
      <c r="A21" s="3" t="s">
        <v>4755</v>
      </c>
      <c r="B21" s="8">
        <v>46024.0</v>
      </c>
      <c r="C21" s="2">
        <v>2.509000371E9</v>
      </c>
      <c r="D21" s="3" t="s">
        <v>571</v>
      </c>
      <c r="E21" s="3" t="s">
        <v>4756</v>
      </c>
      <c r="F21" s="3" t="s">
        <v>4734</v>
      </c>
      <c r="G21" s="3" t="b">
        <v>0</v>
      </c>
    </row>
    <row r="22" ht="15.75" customHeight="1">
      <c r="A22" s="3" t="s">
        <v>4757</v>
      </c>
      <c r="B22" s="8">
        <v>46025.0</v>
      </c>
      <c r="C22" s="3">
        <v>2.404120076E9</v>
      </c>
      <c r="D22" s="3" t="s">
        <v>571</v>
      </c>
      <c r="E22" s="3" t="s">
        <v>4758</v>
      </c>
      <c r="F22" s="3" t="s">
        <v>4734</v>
      </c>
      <c r="G22" s="3" t="b">
        <v>0</v>
      </c>
    </row>
    <row r="23" ht="15.75" customHeight="1">
      <c r="A23" s="3" t="s">
        <v>4759</v>
      </c>
      <c r="B23" s="8">
        <v>46024.0</v>
      </c>
      <c r="C23" s="3">
        <v>2.404120076E9</v>
      </c>
      <c r="D23" s="3" t="s">
        <v>571</v>
      </c>
      <c r="E23" s="3" t="s">
        <v>4760</v>
      </c>
      <c r="F23" s="3" t="s">
        <v>4734</v>
      </c>
      <c r="G23" s="3" t="b">
        <v>1</v>
      </c>
      <c r="H23" s="10" t="s">
        <v>4761</v>
      </c>
    </row>
    <row r="24" ht="15.75" customHeight="1">
      <c r="A24" s="3" t="s">
        <v>4762</v>
      </c>
      <c r="B24" s="8">
        <v>46025.0</v>
      </c>
      <c r="C24" s="2">
        <v>2.509000371E9</v>
      </c>
      <c r="D24" s="3" t="s">
        <v>571</v>
      </c>
      <c r="E24" s="3" t="s">
        <v>4763</v>
      </c>
      <c r="F24" s="3" t="s">
        <v>4718</v>
      </c>
      <c r="G24" s="3" t="b">
        <v>0</v>
      </c>
    </row>
    <row r="25" ht="15.75" customHeight="1">
      <c r="A25" s="3" t="s">
        <v>4764</v>
      </c>
      <c r="B25" s="8">
        <v>46026.0</v>
      </c>
      <c r="C25" s="3">
        <v>2.503000217E9</v>
      </c>
      <c r="D25" s="3" t="s">
        <v>571</v>
      </c>
      <c r="E25" s="3" t="s">
        <v>4765</v>
      </c>
      <c r="F25" s="3" t="s">
        <v>4734</v>
      </c>
      <c r="G25" s="3" t="b">
        <v>0</v>
      </c>
    </row>
    <row r="26" ht="15.75" customHeight="1">
      <c r="A26" s="3" t="s">
        <v>4766</v>
      </c>
      <c r="B26" s="8">
        <v>46026.0</v>
      </c>
      <c r="C26" s="3">
        <v>2.411000046E9</v>
      </c>
      <c r="D26" s="3" t="s">
        <v>571</v>
      </c>
      <c r="E26" s="3" t="s">
        <v>4767</v>
      </c>
      <c r="F26" s="3" t="s">
        <v>4718</v>
      </c>
      <c r="G26" s="3" t="b">
        <v>0</v>
      </c>
    </row>
    <row r="27" ht="15.75" customHeight="1">
      <c r="A27" s="3" t="s">
        <v>4768</v>
      </c>
      <c r="B27" s="8">
        <v>46026.0</v>
      </c>
      <c r="C27" s="3">
        <v>2.503000217E9</v>
      </c>
      <c r="D27" s="3" t="s">
        <v>571</v>
      </c>
      <c r="E27" s="3" t="s">
        <v>4769</v>
      </c>
      <c r="F27" s="3" t="s">
        <v>4718</v>
      </c>
      <c r="G27" s="3" t="b">
        <v>0</v>
      </c>
    </row>
    <row r="28" ht="15.75" customHeight="1">
      <c r="A28" s="3" t="s">
        <v>4770</v>
      </c>
      <c r="B28" s="8">
        <v>46027.0</v>
      </c>
      <c r="C28" s="2">
        <v>2.509000371E9</v>
      </c>
      <c r="D28" s="3" t="s">
        <v>571</v>
      </c>
      <c r="E28" s="3" t="s">
        <v>4771</v>
      </c>
      <c r="F28" s="3" t="s">
        <v>4734</v>
      </c>
      <c r="G28" s="3" t="b">
        <v>0</v>
      </c>
    </row>
    <row r="29" ht="15.75" customHeight="1">
      <c r="A29" s="3" t="s">
        <v>4772</v>
      </c>
      <c r="B29" s="8">
        <v>46028.0</v>
      </c>
      <c r="C29" s="3">
        <v>2.503000217E9</v>
      </c>
      <c r="D29" s="3" t="s">
        <v>571</v>
      </c>
      <c r="E29" s="3" t="s">
        <v>4773</v>
      </c>
      <c r="F29" s="3" t="s">
        <v>4734</v>
      </c>
      <c r="G29" s="3" t="b">
        <v>0</v>
      </c>
    </row>
    <row r="30" ht="15.75" customHeight="1">
      <c r="A30" s="3" t="s">
        <v>4774</v>
      </c>
      <c r="B30" s="8">
        <v>46028.0</v>
      </c>
      <c r="C30" s="2">
        <v>2.509000371E9</v>
      </c>
      <c r="D30" s="3" t="s">
        <v>599</v>
      </c>
      <c r="E30" s="3" t="s">
        <v>4775</v>
      </c>
      <c r="F30" s="3" t="s">
        <v>4734</v>
      </c>
      <c r="G30" s="3" t="b">
        <v>0</v>
      </c>
    </row>
    <row r="31" ht="15.75" customHeight="1">
      <c r="A31" s="3" t="s">
        <v>4776</v>
      </c>
      <c r="B31" s="8">
        <v>46028.95347222222</v>
      </c>
      <c r="C31" s="3">
        <v>2.503000217E9</v>
      </c>
      <c r="D31" s="3" t="s">
        <v>599</v>
      </c>
      <c r="E31" s="3" t="s">
        <v>4777</v>
      </c>
      <c r="F31" s="3" t="s">
        <v>4734</v>
      </c>
      <c r="G31" s="3" t="b">
        <v>0</v>
      </c>
    </row>
    <row r="32" ht="15.75" customHeight="1">
      <c r="A32" s="3" t="s">
        <v>4778</v>
      </c>
      <c r="B32" s="8">
        <v>46028.98819444444</v>
      </c>
      <c r="C32" s="3">
        <v>2.411000046E9</v>
      </c>
      <c r="D32" s="3" t="s">
        <v>599</v>
      </c>
      <c r="E32" s="3" t="s">
        <v>4779</v>
      </c>
      <c r="F32" s="3" t="s">
        <v>4718</v>
      </c>
      <c r="G32" s="3" t="b">
        <v>0</v>
      </c>
    </row>
    <row r="33" ht="15.75" customHeight="1">
      <c r="A33" s="3" t="s">
        <v>4780</v>
      </c>
      <c r="B33" s="8">
        <v>46030.0</v>
      </c>
      <c r="C33" s="2">
        <v>2.509000371E9</v>
      </c>
      <c r="D33" s="3" t="s">
        <v>571</v>
      </c>
      <c r="E33" s="3" t="s">
        <v>4781</v>
      </c>
      <c r="F33" s="3" t="s">
        <v>4718</v>
      </c>
      <c r="G33" s="3" t="b">
        <v>1</v>
      </c>
    </row>
    <row r="34" ht="15.75" customHeight="1">
      <c r="A34" s="3" t="s">
        <v>4782</v>
      </c>
      <c r="B34" s="8">
        <v>46031.0</v>
      </c>
      <c r="C34" s="2">
        <v>2.509000371E9</v>
      </c>
      <c r="D34" s="3" t="s">
        <v>599</v>
      </c>
      <c r="E34" s="3" t="s">
        <v>4783</v>
      </c>
      <c r="F34" s="3" t="s">
        <v>4734</v>
      </c>
      <c r="G34" s="3" t="b">
        <v>0</v>
      </c>
      <c r="H34" s="10" t="s">
        <v>4784</v>
      </c>
    </row>
    <row r="35" ht="15.75" customHeight="1">
      <c r="A35" s="3" t="s">
        <v>4785</v>
      </c>
      <c r="B35" s="8">
        <v>46032.0</v>
      </c>
      <c r="C35" s="2">
        <v>2.509000371E9</v>
      </c>
      <c r="D35" s="3" t="s">
        <v>571</v>
      </c>
      <c r="E35" s="3" t="s">
        <v>4786</v>
      </c>
      <c r="F35" s="3" t="s">
        <v>4734</v>
      </c>
      <c r="G35" s="3" t="b">
        <v>0</v>
      </c>
    </row>
    <row r="36" ht="15.75" customHeight="1">
      <c r="A36" s="3" t="s">
        <v>4787</v>
      </c>
      <c r="B36" s="8">
        <v>46033.0</v>
      </c>
      <c r="C36" s="3">
        <v>2.411000046E9</v>
      </c>
      <c r="D36" s="3" t="s">
        <v>571</v>
      </c>
      <c r="E36" s="3" t="s">
        <v>4788</v>
      </c>
      <c r="F36" s="3" t="s">
        <v>4718</v>
      </c>
      <c r="G36" s="3" t="b">
        <v>0</v>
      </c>
    </row>
    <row r="37" ht="15.75" customHeight="1">
      <c r="A37" s="3" t="s">
        <v>4789</v>
      </c>
      <c r="B37" s="8">
        <v>46033.0</v>
      </c>
      <c r="C37" s="2">
        <v>2.509000371E9</v>
      </c>
      <c r="D37" s="3" t="s">
        <v>571</v>
      </c>
      <c r="E37" s="3" t="s">
        <v>4790</v>
      </c>
      <c r="F37" s="3" t="s">
        <v>4734</v>
      </c>
      <c r="G37" s="3" t="b">
        <v>0</v>
      </c>
    </row>
    <row r="38" ht="15.75" customHeight="1">
      <c r="A38" s="3" t="s">
        <v>4791</v>
      </c>
      <c r="B38" s="8">
        <v>46034.0</v>
      </c>
      <c r="C38" s="3">
        <v>2.509000369E9</v>
      </c>
      <c r="D38" s="3" t="s">
        <v>571</v>
      </c>
      <c r="E38" s="3" t="s">
        <v>4792</v>
      </c>
      <c r="F38" s="3" t="s">
        <v>4718</v>
      </c>
      <c r="G38" s="3" t="b">
        <v>0</v>
      </c>
    </row>
    <row r="39" ht="15.75" customHeight="1">
      <c r="A39" s="3" t="s">
        <v>4793</v>
      </c>
      <c r="B39" s="8">
        <v>46035.0</v>
      </c>
      <c r="C39" s="3">
        <v>2.503000217E9</v>
      </c>
      <c r="D39" s="3" t="s">
        <v>571</v>
      </c>
      <c r="E39" s="3" t="s">
        <v>4794</v>
      </c>
      <c r="F39" s="3" t="s">
        <v>4734</v>
      </c>
      <c r="G39" s="3" t="b">
        <v>0</v>
      </c>
    </row>
    <row r="40" ht="15.75" customHeight="1">
      <c r="A40" s="3" t="s">
        <v>4795</v>
      </c>
      <c r="B40" s="8">
        <v>46034.0</v>
      </c>
      <c r="C40" s="3">
        <v>2.503000217E9</v>
      </c>
      <c r="D40" s="3" t="s">
        <v>571</v>
      </c>
      <c r="E40" s="3" t="s">
        <v>4796</v>
      </c>
      <c r="F40" s="3" t="s">
        <v>4734</v>
      </c>
      <c r="G40" s="3" t="b">
        <v>0</v>
      </c>
    </row>
    <row r="41" ht="15.75" customHeight="1">
      <c r="A41" s="3" t="s">
        <v>4797</v>
      </c>
      <c r="B41" s="8">
        <v>46037.0</v>
      </c>
      <c r="C41" s="3">
        <v>2.411000046E9</v>
      </c>
      <c r="D41" s="3" t="s">
        <v>571</v>
      </c>
      <c r="E41" s="3" t="s">
        <v>4798</v>
      </c>
      <c r="F41" s="3" t="s">
        <v>4718</v>
      </c>
      <c r="G41" s="3" t="b">
        <v>0</v>
      </c>
    </row>
    <row r="42" ht="15.75" customHeight="1">
      <c r="A42" s="3" t="s">
        <v>4799</v>
      </c>
      <c r="B42" s="8">
        <v>46037.0</v>
      </c>
      <c r="C42" s="3">
        <v>2.503000217E9</v>
      </c>
      <c r="D42" s="3" t="s">
        <v>571</v>
      </c>
      <c r="E42" s="3" t="s">
        <v>4800</v>
      </c>
      <c r="F42" s="3" t="s">
        <v>4734</v>
      </c>
      <c r="G42" s="3" t="b">
        <v>0</v>
      </c>
    </row>
    <row r="43" ht="15.75" customHeight="1">
      <c r="A43" s="3" t="s">
        <v>4801</v>
      </c>
      <c r="B43" s="8">
        <v>46037.0</v>
      </c>
      <c r="C43" s="2">
        <v>2.509000371E9</v>
      </c>
      <c r="D43" s="3" t="s">
        <v>571</v>
      </c>
      <c r="E43" s="3" t="s">
        <v>4802</v>
      </c>
      <c r="F43" s="3" t="s">
        <v>4734</v>
      </c>
      <c r="G43" s="3" t="b">
        <v>0</v>
      </c>
    </row>
    <row r="44" ht="15.75" customHeight="1">
      <c r="A44" s="3" t="s">
        <v>4803</v>
      </c>
      <c r="B44" s="8">
        <v>46038.0</v>
      </c>
      <c r="C44" s="5" t="s">
        <v>4804</v>
      </c>
      <c r="D44" s="3" t="s">
        <v>571</v>
      </c>
      <c r="E44" s="3" t="s">
        <v>4805</v>
      </c>
      <c r="F44" s="3" t="s">
        <v>4734</v>
      </c>
      <c r="G44" s="3" t="b">
        <v>0</v>
      </c>
    </row>
    <row r="45" ht="15.75" customHeight="1">
      <c r="A45" s="3" t="s">
        <v>4806</v>
      </c>
      <c r="B45" s="8">
        <v>46038.0</v>
      </c>
      <c r="C45" s="3">
        <v>2.404120076E9</v>
      </c>
      <c r="D45" s="3" t="s">
        <v>571</v>
      </c>
      <c r="E45" s="3" t="s">
        <v>4807</v>
      </c>
      <c r="F45" s="3" t="s">
        <v>4734</v>
      </c>
      <c r="G45" s="3" t="b">
        <v>0</v>
      </c>
    </row>
    <row r="46" ht="15.75" customHeight="1">
      <c r="A46" s="3" t="s">
        <v>4808</v>
      </c>
      <c r="B46" s="8">
        <v>46039.0</v>
      </c>
      <c r="C46" s="2">
        <v>2.509000371E9</v>
      </c>
      <c r="D46" s="3" t="s">
        <v>599</v>
      </c>
      <c r="E46" s="3" t="s">
        <v>4809</v>
      </c>
      <c r="F46" s="3" t="s">
        <v>4734</v>
      </c>
      <c r="G46" s="3" t="b">
        <v>0</v>
      </c>
    </row>
    <row r="47" ht="15.75" customHeight="1">
      <c r="A47" s="3" t="s">
        <v>4810</v>
      </c>
      <c r="B47" s="8">
        <v>46040.0</v>
      </c>
      <c r="C47" s="3">
        <v>2.503000217E9</v>
      </c>
      <c r="D47" s="3" t="s">
        <v>599</v>
      </c>
      <c r="E47" s="3" t="s">
        <v>4811</v>
      </c>
      <c r="F47" s="3" t="s">
        <v>4734</v>
      </c>
      <c r="G47" s="3" t="b">
        <v>0</v>
      </c>
    </row>
    <row r="48" ht="15.75" customHeight="1">
      <c r="A48" s="3" t="s">
        <v>4812</v>
      </c>
      <c r="B48" s="8">
        <v>46040.0</v>
      </c>
      <c r="C48" s="2">
        <v>2.509000371E9</v>
      </c>
      <c r="D48" s="3" t="s">
        <v>599</v>
      </c>
      <c r="E48" s="3" t="s">
        <v>4813</v>
      </c>
      <c r="F48" s="3" t="s">
        <v>4734</v>
      </c>
      <c r="G48" s="3" t="b">
        <v>0</v>
      </c>
      <c r="H48" s="10" t="s">
        <v>4814</v>
      </c>
    </row>
    <row r="49" ht="15.75" customHeight="1">
      <c r="A49" s="3" t="s">
        <v>4815</v>
      </c>
      <c r="B49" s="8">
        <v>46040.0</v>
      </c>
      <c r="C49" s="3">
        <v>2.411000046E9</v>
      </c>
      <c r="D49" s="3" t="s">
        <v>599</v>
      </c>
      <c r="E49" s="3" t="s">
        <v>4816</v>
      </c>
      <c r="F49" s="3" t="s">
        <v>4734</v>
      </c>
      <c r="G49" s="3" t="b">
        <v>0</v>
      </c>
    </row>
    <row r="50" ht="15.75" customHeight="1">
      <c r="A50" s="3" t="s">
        <v>4817</v>
      </c>
      <c r="B50" s="8">
        <v>46041.0</v>
      </c>
      <c r="C50" s="3">
        <v>2.503000217E9</v>
      </c>
      <c r="D50" s="3" t="s">
        <v>599</v>
      </c>
      <c r="E50" s="3" t="s">
        <v>4818</v>
      </c>
      <c r="F50" s="3" t="s">
        <v>4734</v>
      </c>
      <c r="G50" s="3" t="b">
        <v>0</v>
      </c>
    </row>
    <row r="51" ht="15.75" customHeight="1">
      <c r="A51" s="3" t="s">
        <v>4819</v>
      </c>
      <c r="B51" s="8">
        <v>46041.0</v>
      </c>
      <c r="C51" s="3">
        <v>2.509000369E9</v>
      </c>
      <c r="D51" s="3" t="s">
        <v>571</v>
      </c>
      <c r="E51" s="3" t="s">
        <v>4820</v>
      </c>
      <c r="F51" s="3" t="s">
        <v>4718</v>
      </c>
      <c r="G51" s="3" t="b">
        <v>0</v>
      </c>
    </row>
    <row r="52" ht="15.75" customHeight="1">
      <c r="A52" s="3" t="s">
        <v>4821</v>
      </c>
      <c r="B52" s="8">
        <v>46042.0</v>
      </c>
      <c r="C52" s="3">
        <v>2.503000217E9</v>
      </c>
      <c r="D52" s="3" t="s">
        <v>599</v>
      </c>
      <c r="E52" s="3" t="s">
        <v>4822</v>
      </c>
      <c r="F52" s="3" t="s">
        <v>4734</v>
      </c>
      <c r="G52" s="3" t="b">
        <v>0</v>
      </c>
    </row>
    <row r="53" ht="15.75" customHeight="1">
      <c r="A53" s="3" t="s">
        <v>4823</v>
      </c>
      <c r="B53" s="8">
        <v>46043.0</v>
      </c>
      <c r="C53" s="3">
        <v>2.411000046E9</v>
      </c>
      <c r="D53" s="3" t="s">
        <v>599</v>
      </c>
      <c r="E53" s="3" t="s">
        <v>4824</v>
      </c>
      <c r="F53" s="3" t="s">
        <v>4718</v>
      </c>
      <c r="G53" s="3" t="b">
        <v>0</v>
      </c>
    </row>
    <row r="54" ht="15.75" customHeight="1">
      <c r="A54" s="3" t="s">
        <v>4825</v>
      </c>
      <c r="B54" s="8">
        <v>46043.0</v>
      </c>
      <c r="C54" s="3">
        <v>2.509000369E9</v>
      </c>
      <c r="D54" s="3" t="s">
        <v>599</v>
      </c>
      <c r="E54" s="3" t="s">
        <v>4826</v>
      </c>
      <c r="F54" s="3" t="s">
        <v>4718</v>
      </c>
      <c r="G54" s="3" t="b">
        <v>1</v>
      </c>
      <c r="H54" s="10" t="s">
        <v>4827</v>
      </c>
    </row>
    <row r="55" ht="15.75" customHeight="1">
      <c r="A55" s="3" t="s">
        <v>4828</v>
      </c>
      <c r="B55" s="8">
        <v>46043.0</v>
      </c>
      <c r="C55" s="2">
        <v>2.509000371E9</v>
      </c>
      <c r="D55" s="3" t="s">
        <v>599</v>
      </c>
      <c r="E55" s="3" t="s">
        <v>4829</v>
      </c>
      <c r="F55" s="3" t="s">
        <v>4718</v>
      </c>
      <c r="G55" s="3" t="b">
        <v>0</v>
      </c>
    </row>
    <row r="56" ht="15.75" customHeight="1">
      <c r="A56" s="3" t="s">
        <v>4830</v>
      </c>
      <c r="B56" s="8">
        <v>46043.98364583333</v>
      </c>
      <c r="C56" s="3">
        <v>2.503000217E9</v>
      </c>
      <c r="D56" s="3" t="s">
        <v>599</v>
      </c>
      <c r="E56" s="3" t="s">
        <v>4831</v>
      </c>
      <c r="F56" s="3" t="s">
        <v>4718</v>
      </c>
      <c r="G56" s="3" t="b">
        <v>0</v>
      </c>
    </row>
    <row r="57" ht="15.75" customHeight="1">
      <c r="A57" s="3" t="s">
        <v>4832</v>
      </c>
      <c r="B57" s="8">
        <v>46045.10417824074</v>
      </c>
      <c r="C57" s="3">
        <v>2.509000369E9</v>
      </c>
      <c r="D57" s="3" t="s">
        <v>599</v>
      </c>
      <c r="E57" s="3" t="s">
        <v>4833</v>
      </c>
      <c r="F57" s="3" t="s">
        <v>4718</v>
      </c>
      <c r="G57" s="3" t="b">
        <v>0</v>
      </c>
    </row>
    <row r="58" ht="15.75" customHeight="1">
      <c r="A58" s="3" t="s">
        <v>4834</v>
      </c>
      <c r="B58" s="8">
        <v>46045.65584490741</v>
      </c>
      <c r="C58" s="2">
        <v>2.509000371E9</v>
      </c>
      <c r="D58" s="3" t="s">
        <v>599</v>
      </c>
      <c r="E58" s="3" t="s">
        <v>4835</v>
      </c>
      <c r="F58" s="3" t="s">
        <v>4718</v>
      </c>
      <c r="G58" s="3" t="b">
        <v>0</v>
      </c>
    </row>
    <row r="59" ht="15.75" customHeight="1">
      <c r="A59" s="3" t="s">
        <v>4836</v>
      </c>
      <c r="B59" s="8">
        <v>46045.7391087963</v>
      </c>
      <c r="C59" s="3">
        <v>2.404120076E9</v>
      </c>
      <c r="D59" s="3" t="s">
        <v>599</v>
      </c>
      <c r="E59" s="3" t="s">
        <v>4837</v>
      </c>
      <c r="F59" s="3" t="s">
        <v>4734</v>
      </c>
      <c r="G59" s="3" t="b">
        <v>0</v>
      </c>
    </row>
    <row r="60" ht="15.75" customHeight="1">
      <c r="A60" s="3" t="s">
        <v>4838</v>
      </c>
      <c r="B60" s="8">
        <v>46046.06412037037</v>
      </c>
      <c r="C60" s="3">
        <v>2.411000046E9</v>
      </c>
      <c r="D60" s="3" t="s">
        <v>599</v>
      </c>
      <c r="E60" s="3" t="s">
        <v>4839</v>
      </c>
      <c r="F60" s="3" t="s">
        <v>4734</v>
      </c>
      <c r="G60" s="3" t="b">
        <v>0</v>
      </c>
    </row>
    <row r="61" ht="15.75" customHeight="1">
      <c r="A61" s="3" t="s">
        <v>4840</v>
      </c>
      <c r="B61" s="8">
        <v>46046.74626157407</v>
      </c>
      <c r="C61" s="2">
        <v>2.509000371E9</v>
      </c>
      <c r="D61" s="3" t="s">
        <v>599</v>
      </c>
      <c r="E61" s="3" t="s">
        <v>4841</v>
      </c>
      <c r="F61" s="3" t="s">
        <v>4734</v>
      </c>
      <c r="G61" s="3" t="b">
        <v>0</v>
      </c>
    </row>
    <row r="62" ht="15.75" customHeight="1">
      <c r="A62" s="3" t="s">
        <v>4842</v>
      </c>
      <c r="B62" s="8">
        <v>46047.07015046296</v>
      </c>
      <c r="C62" s="5" t="s">
        <v>4673</v>
      </c>
      <c r="D62" s="3" t="s">
        <v>599</v>
      </c>
      <c r="E62" s="2" t="s">
        <v>4843</v>
      </c>
      <c r="F62" s="3" t="s">
        <v>4734</v>
      </c>
      <c r="G62" s="3" t="b">
        <v>1</v>
      </c>
      <c r="H62" s="10" t="s">
        <v>4844</v>
      </c>
    </row>
    <row r="63" ht="15.75" customHeight="1">
      <c r="A63" s="3" t="s">
        <v>4845</v>
      </c>
      <c r="B63" s="8">
        <v>46047.99178240741</v>
      </c>
      <c r="C63" s="3">
        <v>2.503000217E9</v>
      </c>
      <c r="D63" s="3" t="s">
        <v>599</v>
      </c>
      <c r="E63" s="3" t="s">
        <v>4846</v>
      </c>
      <c r="F63" s="3" t="s">
        <v>4734</v>
      </c>
      <c r="G63" s="3" t="b">
        <v>1</v>
      </c>
      <c r="H63" s="10" t="s">
        <v>4847</v>
      </c>
    </row>
    <row r="64" ht="15.75" customHeight="1">
      <c r="A64" s="3" t="s">
        <v>4848</v>
      </c>
      <c r="B64" s="8">
        <v>46049.07974537037</v>
      </c>
      <c r="C64" s="3">
        <v>2.509000369E9</v>
      </c>
      <c r="D64" s="3" t="s">
        <v>599</v>
      </c>
      <c r="E64" s="3" t="s">
        <v>4849</v>
      </c>
      <c r="F64" s="3" t="s">
        <v>4734</v>
      </c>
      <c r="G64" s="3" t="b">
        <v>1</v>
      </c>
      <c r="H64" s="10" t="s">
        <v>4827</v>
      </c>
    </row>
    <row r="65" ht="15.75" customHeight="1">
      <c r="A65" s="3" t="s">
        <v>4850</v>
      </c>
      <c r="B65" s="8">
        <v>46050.7066087963</v>
      </c>
      <c r="C65" s="2">
        <v>2.509000371E9</v>
      </c>
      <c r="D65" s="3" t="s">
        <v>599</v>
      </c>
      <c r="E65" s="3" t="s">
        <v>4851</v>
      </c>
      <c r="F65" s="3" t="s">
        <v>4734</v>
      </c>
      <c r="G65" s="3" t="b">
        <v>0</v>
      </c>
    </row>
    <row r="66" ht="15.75" customHeight="1">
      <c r="A66" s="3" t="s">
        <v>4852</v>
      </c>
      <c r="B66" s="8">
        <v>46050.86375</v>
      </c>
      <c r="C66" s="3">
        <v>2.411000046E9</v>
      </c>
      <c r="D66" s="3" t="s">
        <v>599</v>
      </c>
      <c r="E66" s="3" t="s">
        <v>4853</v>
      </c>
      <c r="F66" s="3" t="s">
        <v>4734</v>
      </c>
      <c r="G66" s="3" t="b">
        <v>0</v>
      </c>
    </row>
    <row r="67" ht="15.75" customHeight="1">
      <c r="A67" s="3" t="s">
        <v>4854</v>
      </c>
      <c r="B67" s="8">
        <v>46050.89320601852</v>
      </c>
      <c r="C67" s="3">
        <v>2.503000217E9</v>
      </c>
      <c r="D67" s="3" t="s">
        <v>599</v>
      </c>
      <c r="E67" s="3" t="s">
        <v>4855</v>
      </c>
      <c r="F67" s="3" t="s">
        <v>4734</v>
      </c>
      <c r="G67" s="3" t="b">
        <v>0</v>
      </c>
    </row>
    <row r="68" ht="15.75" customHeight="1">
      <c r="A68" s="3" t="s">
        <v>4856</v>
      </c>
      <c r="B68" s="8">
        <v>46051.06559027778</v>
      </c>
      <c r="C68" s="3">
        <v>2.404120076E9</v>
      </c>
      <c r="D68" s="3" t="s">
        <v>599</v>
      </c>
      <c r="E68" s="3" t="s">
        <v>4857</v>
      </c>
      <c r="F68" s="3" t="s">
        <v>4734</v>
      </c>
      <c r="G68" s="3" t="b">
        <v>1</v>
      </c>
    </row>
    <row r="69" ht="15.75" customHeight="1">
      <c r="A69" s="2" t="s">
        <v>4858</v>
      </c>
      <c r="B69" s="6">
        <v>46052.72704861111</v>
      </c>
      <c r="C69" s="5" t="s">
        <v>4804</v>
      </c>
      <c r="D69" s="2" t="s">
        <v>599</v>
      </c>
      <c r="E69" s="2" t="s">
        <v>4859</v>
      </c>
      <c r="F69" s="2" t="s">
        <v>4718</v>
      </c>
      <c r="G69" s="2" t="b">
        <v>0</v>
      </c>
    </row>
    <row r="70" ht="15.75" customHeight="1">
      <c r="A70" s="2" t="s">
        <v>4860</v>
      </c>
      <c r="B70" s="6">
        <v>46052.76715277778</v>
      </c>
      <c r="C70" s="5" t="s">
        <v>4699</v>
      </c>
      <c r="D70" s="2" t="s">
        <v>599</v>
      </c>
      <c r="E70" s="2" t="s">
        <v>4861</v>
      </c>
      <c r="F70" s="2" t="s">
        <v>4734</v>
      </c>
      <c r="G70" s="2" t="b">
        <v>1</v>
      </c>
      <c r="H70" s="11" t="s">
        <v>4862</v>
      </c>
    </row>
    <row r="71" ht="15.75" customHeight="1">
      <c r="A71" s="2" t="s">
        <v>4863</v>
      </c>
      <c r="B71" s="6">
        <v>46053.612858796296</v>
      </c>
      <c r="C71" s="5" t="s">
        <v>4804</v>
      </c>
      <c r="D71" s="2" t="s">
        <v>599</v>
      </c>
      <c r="E71" s="2" t="s">
        <v>4864</v>
      </c>
      <c r="F71" s="2" t="s">
        <v>4734</v>
      </c>
      <c r="G71" s="2" t="b">
        <v>1</v>
      </c>
      <c r="H71" s="11" t="s">
        <v>4865</v>
      </c>
    </row>
    <row r="72" ht="15.75" customHeight="1">
      <c r="A72" s="2" t="s">
        <v>4866</v>
      </c>
      <c r="B72" s="6">
        <v>46054.052407407406</v>
      </c>
      <c r="C72" s="5" t="s">
        <v>4670</v>
      </c>
      <c r="D72" s="2" t="s">
        <v>599</v>
      </c>
      <c r="E72" s="2" t="s">
        <v>4867</v>
      </c>
      <c r="F72" s="2" t="s">
        <v>4734</v>
      </c>
      <c r="G72" s="2" t="b">
        <v>0</v>
      </c>
    </row>
    <row r="73" ht="15.75" customHeight="1">
      <c r="A73" s="2" t="s">
        <v>4868</v>
      </c>
      <c r="B73" s="6">
        <v>46054.79324074074</v>
      </c>
      <c r="C73" s="5" t="s">
        <v>4804</v>
      </c>
      <c r="D73" s="2" t="s">
        <v>599</v>
      </c>
      <c r="E73" s="2" t="s">
        <v>4869</v>
      </c>
      <c r="F73" s="2" t="s">
        <v>4734</v>
      </c>
      <c r="G73" s="2" t="b">
        <v>0</v>
      </c>
    </row>
    <row r="74" ht="15.75" customHeight="1">
      <c r="A74" s="2" t="s">
        <v>4870</v>
      </c>
      <c r="B74" s="6">
        <v>46054.9971875</v>
      </c>
      <c r="C74" s="5" t="s">
        <v>4673</v>
      </c>
      <c r="D74" s="2" t="s">
        <v>599</v>
      </c>
      <c r="E74" s="2" t="s">
        <v>4871</v>
      </c>
      <c r="F74" s="2" t="s">
        <v>4734</v>
      </c>
      <c r="G74" s="2" t="b">
        <v>0</v>
      </c>
    </row>
    <row r="75" ht="15.75" customHeight="1">
      <c r="A75" s="2" t="s">
        <v>4872</v>
      </c>
      <c r="B75" s="6">
        <v>46055.390601851854</v>
      </c>
      <c r="C75" s="5" t="s">
        <v>4873</v>
      </c>
      <c r="D75" s="2" t="s">
        <v>571</v>
      </c>
      <c r="E75" s="2" t="s">
        <v>4874</v>
      </c>
      <c r="F75" s="2" t="s">
        <v>4734</v>
      </c>
      <c r="G75" s="2" t="b">
        <v>0</v>
      </c>
    </row>
    <row r="76" ht="15.75" customHeight="1">
      <c r="A76" s="2" t="s">
        <v>4875</v>
      </c>
      <c r="B76" s="6">
        <v>46053.76527777778</v>
      </c>
      <c r="C76" s="5" t="s">
        <v>4873</v>
      </c>
      <c r="D76" s="2" t="s">
        <v>571</v>
      </c>
      <c r="E76" s="2" t="s">
        <v>4876</v>
      </c>
      <c r="F76" s="2" t="s">
        <v>4718</v>
      </c>
      <c r="G76" s="2" t="b">
        <v>0</v>
      </c>
    </row>
    <row r="77" ht="15.75" customHeight="1">
      <c r="A77" s="2" t="s">
        <v>4877</v>
      </c>
      <c r="B77" s="6">
        <v>46055.65572916667</v>
      </c>
      <c r="C77" s="5" t="s">
        <v>4804</v>
      </c>
      <c r="D77" s="2" t="s">
        <v>599</v>
      </c>
      <c r="E77" s="2" t="s">
        <v>4878</v>
      </c>
      <c r="F77" s="2" t="s">
        <v>4734</v>
      </c>
      <c r="G77" s="2" t="b">
        <v>0</v>
      </c>
    </row>
    <row r="78" ht="15.75" customHeight="1">
      <c r="A78" s="2" t="s">
        <v>4879</v>
      </c>
      <c r="B78" s="6">
        <v>46056.055289351854</v>
      </c>
      <c r="C78" s="5" t="s">
        <v>4699</v>
      </c>
      <c r="D78" s="2" t="s">
        <v>599</v>
      </c>
      <c r="E78" s="2" t="s">
        <v>4880</v>
      </c>
      <c r="F78" s="2" t="s">
        <v>4734</v>
      </c>
      <c r="G78" s="2" t="b">
        <v>0</v>
      </c>
    </row>
    <row r="79" ht="15.75" customHeight="1">
      <c r="A79" s="2" t="s">
        <v>4881</v>
      </c>
      <c r="B79" s="6">
        <v>46056.818344907406</v>
      </c>
      <c r="C79" s="5" t="s">
        <v>4873</v>
      </c>
      <c r="D79" s="2" t="s">
        <v>571</v>
      </c>
      <c r="E79" s="2" t="s">
        <v>4882</v>
      </c>
      <c r="F79" s="2" t="s">
        <v>4718</v>
      </c>
      <c r="G79" s="2" t="b">
        <v>0</v>
      </c>
    </row>
    <row r="80" ht="15.75" customHeight="1">
      <c r="A80" s="2" t="s">
        <v>4883</v>
      </c>
      <c r="B80" s="6">
        <v>46057.04739583333</v>
      </c>
      <c r="C80" s="5" t="s">
        <v>4673</v>
      </c>
      <c r="D80" s="2" t="s">
        <v>599</v>
      </c>
      <c r="E80" s="2" t="s">
        <v>4884</v>
      </c>
      <c r="F80" s="2" t="s">
        <v>4734</v>
      </c>
      <c r="G80" s="2" t="b">
        <v>0</v>
      </c>
    </row>
    <row r="81" ht="15.75" customHeight="1">
      <c r="A81" s="2" t="s">
        <v>4885</v>
      </c>
      <c r="B81" s="6">
        <v>46057.06894675926</v>
      </c>
      <c r="C81" s="5" t="s">
        <v>4670</v>
      </c>
      <c r="D81" s="2" t="s">
        <v>599</v>
      </c>
      <c r="E81" s="2" t="s">
        <v>4886</v>
      </c>
      <c r="F81" s="2" t="s">
        <v>4718</v>
      </c>
      <c r="G81" s="2" t="b">
        <v>1</v>
      </c>
      <c r="H81" s="11" t="s">
        <v>4887</v>
      </c>
    </row>
    <row r="82" ht="15.75" customHeight="1">
      <c r="A82" s="2" t="s">
        <v>4888</v>
      </c>
      <c r="B82" s="6">
        <v>46057.65957175926</v>
      </c>
      <c r="C82" s="5" t="s">
        <v>4804</v>
      </c>
      <c r="D82" s="2" t="s">
        <v>599</v>
      </c>
      <c r="E82" s="2" t="s">
        <v>4889</v>
      </c>
      <c r="F82" s="2" t="s">
        <v>4718</v>
      </c>
      <c r="G82" s="2" t="b">
        <v>0</v>
      </c>
    </row>
    <row r="83" ht="15.75" customHeight="1">
      <c r="A83" s="2" t="s">
        <v>4890</v>
      </c>
      <c r="B83" s="6">
        <v>46058.04782407408</v>
      </c>
      <c r="C83" s="5" t="s">
        <v>4673</v>
      </c>
      <c r="D83" s="2" t="s">
        <v>599</v>
      </c>
      <c r="E83" s="2" t="s">
        <v>4891</v>
      </c>
      <c r="G83" s="2" t="b">
        <v>0</v>
      </c>
    </row>
    <row r="84" ht="15.75" customHeight="1">
      <c r="A84" s="2" t="s">
        <v>4892</v>
      </c>
      <c r="B84" s="6">
        <v>46059.67915509259</v>
      </c>
      <c r="C84" s="5" t="s">
        <v>4804</v>
      </c>
      <c r="D84" s="2" t="s">
        <v>599</v>
      </c>
      <c r="E84" s="2" t="s">
        <v>4893</v>
      </c>
      <c r="F84" s="2" t="s">
        <v>4718</v>
      </c>
      <c r="G84" s="2" t="b">
        <v>1</v>
      </c>
      <c r="H84" s="11" t="s">
        <v>4752</v>
      </c>
    </row>
    <row r="85" ht="15.75" customHeight="1">
      <c r="A85" s="2" t="s">
        <v>4894</v>
      </c>
      <c r="B85" s="6">
        <v>46060.001597222225</v>
      </c>
      <c r="C85" s="5" t="s">
        <v>4699</v>
      </c>
      <c r="D85" s="2" t="s">
        <v>599</v>
      </c>
      <c r="E85" s="2" t="s">
        <v>4895</v>
      </c>
      <c r="F85" s="2" t="s">
        <v>4734</v>
      </c>
      <c r="G85" s="2" t="b">
        <v>0</v>
      </c>
    </row>
    <row r="86" ht="15.75" customHeight="1">
      <c r="A86" s="2" t="s">
        <v>4896</v>
      </c>
      <c r="B86" s="6">
        <v>46060.07115740741</v>
      </c>
      <c r="C86" s="5" t="s">
        <v>4670</v>
      </c>
      <c r="D86" s="2" t="s">
        <v>599</v>
      </c>
      <c r="E86" s="2" t="s">
        <v>4897</v>
      </c>
      <c r="F86" s="2" t="s">
        <v>4734</v>
      </c>
      <c r="G86" s="2" t="b">
        <v>1</v>
      </c>
      <c r="H86" s="11" t="s">
        <v>4898</v>
      </c>
    </row>
    <row r="87" ht="15.75" customHeight="1">
      <c r="A87" s="2" t="s">
        <v>4899</v>
      </c>
      <c r="B87" s="6">
        <v>46060.67753472222</v>
      </c>
      <c r="C87" s="5" t="s">
        <v>4804</v>
      </c>
      <c r="D87" s="2" t="s">
        <v>599</v>
      </c>
      <c r="E87" s="2" t="s">
        <v>4900</v>
      </c>
      <c r="F87" s="2" t="s">
        <v>4718</v>
      </c>
      <c r="G87" s="2" t="b">
        <v>0</v>
      </c>
    </row>
    <row r="88" ht="15.75" customHeight="1">
      <c r="A88" s="2" t="s">
        <v>4901</v>
      </c>
      <c r="B88" s="6">
        <v>46060.885879629626</v>
      </c>
      <c r="C88" s="5" t="s">
        <v>4873</v>
      </c>
      <c r="D88" s="2" t="s">
        <v>571</v>
      </c>
      <c r="E88" s="2" t="s">
        <v>4902</v>
      </c>
      <c r="F88" s="2" t="s">
        <v>4718</v>
      </c>
      <c r="G88" s="2" t="b">
        <v>0</v>
      </c>
    </row>
    <row r="89" ht="15.75" customHeight="1">
      <c r="A89" s="2" t="s">
        <v>4903</v>
      </c>
      <c r="B89" s="6">
        <v>46061.033217592594</v>
      </c>
      <c r="C89" s="5" t="s">
        <v>4673</v>
      </c>
      <c r="D89" s="2" t="s">
        <v>599</v>
      </c>
      <c r="E89" s="2" t="s">
        <v>4904</v>
      </c>
      <c r="F89" s="2" t="s">
        <v>4718</v>
      </c>
      <c r="G89" s="2" t="b">
        <v>1</v>
      </c>
      <c r="H89" s="11" t="s">
        <v>4905</v>
      </c>
    </row>
    <row r="90" ht="15.75" customHeight="1">
      <c r="A90" s="5" t="s">
        <v>4906</v>
      </c>
      <c r="B90" s="6">
        <v>46061.944548611114</v>
      </c>
      <c r="C90" s="5" t="s">
        <v>4873</v>
      </c>
      <c r="D90" s="2" t="s">
        <v>571</v>
      </c>
      <c r="E90" s="2" t="s">
        <v>4907</v>
      </c>
      <c r="F90" s="2" t="s">
        <v>4718</v>
      </c>
      <c r="G90" s="2" t="b">
        <v>0</v>
      </c>
    </row>
    <row r="91" ht="15.75" customHeight="1">
      <c r="A91" s="2" t="s">
        <v>4908</v>
      </c>
      <c r="B91" s="6">
        <v>46061.97386574074</v>
      </c>
      <c r="C91" s="5" t="s">
        <v>4673</v>
      </c>
      <c r="D91" s="2" t="s">
        <v>599</v>
      </c>
      <c r="E91" s="2" t="s">
        <v>4909</v>
      </c>
      <c r="F91" s="2" t="s">
        <v>4734</v>
      </c>
      <c r="G91" s="2" t="b">
        <v>0</v>
      </c>
    </row>
    <row r="92" ht="15.75" customHeight="1">
      <c r="A92" s="2" t="s">
        <v>4910</v>
      </c>
      <c r="B92" s="6">
        <v>46063.04770833333</v>
      </c>
      <c r="C92" s="5" t="s">
        <v>4670</v>
      </c>
      <c r="D92" s="2" t="s">
        <v>599</v>
      </c>
      <c r="E92" s="2" t="s">
        <v>4911</v>
      </c>
      <c r="F92" s="2" t="s">
        <v>4734</v>
      </c>
      <c r="G92" s="2" t="b">
        <v>0</v>
      </c>
    </row>
    <row r="93" ht="15.75" customHeight="1">
      <c r="A93" s="2" t="s">
        <v>4912</v>
      </c>
      <c r="B93" s="6">
        <v>46063.06765046297</v>
      </c>
      <c r="C93" s="5" t="s">
        <v>4673</v>
      </c>
      <c r="D93" s="2" t="s">
        <v>599</v>
      </c>
      <c r="E93" s="2" t="s">
        <v>4913</v>
      </c>
      <c r="F93" s="2" t="s">
        <v>4734</v>
      </c>
      <c r="G93" s="2" t="b">
        <v>1</v>
      </c>
      <c r="H93" s="11" t="s">
        <v>4914</v>
      </c>
    </row>
    <row r="94" ht="15.75" customHeight="1">
      <c r="A94" s="2" t="s">
        <v>4915</v>
      </c>
      <c r="B94" s="6">
        <v>46063.55590277778</v>
      </c>
      <c r="C94" s="5" t="s">
        <v>4873</v>
      </c>
      <c r="D94" s="2" t="s">
        <v>571</v>
      </c>
      <c r="E94" s="2" t="s">
        <v>4916</v>
      </c>
      <c r="F94" s="2" t="s">
        <v>4734</v>
      </c>
      <c r="G94" s="2" t="b">
        <v>0</v>
      </c>
    </row>
    <row r="95" ht="15.75" customHeight="1">
      <c r="A95" s="2" t="s">
        <v>4917</v>
      </c>
      <c r="B95" s="6">
        <v>46063.64803240741</v>
      </c>
      <c r="C95" s="5" t="s">
        <v>3816</v>
      </c>
      <c r="D95" s="2" t="s">
        <v>599</v>
      </c>
      <c r="E95" s="2" t="s">
        <v>4918</v>
      </c>
      <c r="F95" s="2" t="s">
        <v>4734</v>
      </c>
      <c r="G95" s="2" t="b">
        <v>1</v>
      </c>
      <c r="H95" s="11" t="s">
        <v>4745</v>
      </c>
    </row>
    <row r="96" ht="15.75" customHeight="1">
      <c r="A96" s="2" t="s">
        <v>4919</v>
      </c>
      <c r="B96" s="6">
        <v>46064.045335648145</v>
      </c>
      <c r="C96" s="5" t="s">
        <v>4873</v>
      </c>
      <c r="D96" s="2" t="s">
        <v>571</v>
      </c>
      <c r="E96" s="2" t="s">
        <v>4920</v>
      </c>
      <c r="F96" s="2" t="s">
        <v>4734</v>
      </c>
      <c r="G96" s="2" t="b">
        <v>0</v>
      </c>
    </row>
    <row r="97" ht="15.75" customHeight="1">
      <c r="A97" s="2" t="s">
        <v>4921</v>
      </c>
      <c r="B97" s="6">
        <v>46064.05584490741</v>
      </c>
      <c r="C97" s="5" t="s">
        <v>4673</v>
      </c>
      <c r="D97" s="2" t="s">
        <v>599</v>
      </c>
      <c r="E97" s="2" t="s">
        <v>4922</v>
      </c>
      <c r="F97" s="2" t="s">
        <v>4734</v>
      </c>
      <c r="G97" s="2" t="b">
        <v>0</v>
      </c>
    </row>
    <row r="98" ht="15.75" customHeight="1">
      <c r="A98" s="2" t="s">
        <v>4923</v>
      </c>
      <c r="B98" s="6">
        <v>46065.02877314815</v>
      </c>
      <c r="C98" s="5" t="s">
        <v>4673</v>
      </c>
      <c r="D98" s="2" t="s">
        <v>599</v>
      </c>
      <c r="E98" s="2" t="s">
        <v>4924</v>
      </c>
      <c r="F98" s="2" t="s">
        <v>4734</v>
      </c>
      <c r="G98" s="2" t="b">
        <v>0</v>
      </c>
    </row>
    <row r="99" ht="15.75" customHeight="1">
      <c r="A99" s="2" t="s">
        <v>4925</v>
      </c>
      <c r="B99" s="6">
        <v>46065.17439814815</v>
      </c>
      <c r="C99" s="5" t="s">
        <v>4670</v>
      </c>
      <c r="D99" s="2" t="s">
        <v>571</v>
      </c>
      <c r="E99" s="2" t="s">
        <v>4926</v>
      </c>
      <c r="F99" s="2" t="s">
        <v>4734</v>
      </c>
      <c r="G99" s="2" t="b">
        <v>0</v>
      </c>
    </row>
    <row r="100" ht="15.75" customHeight="1">
      <c r="A100" s="2" t="s">
        <v>4927</v>
      </c>
      <c r="B100" s="6">
        <v>46065.55164351852</v>
      </c>
      <c r="C100" s="5" t="s">
        <v>4676</v>
      </c>
      <c r="D100" s="2" t="s">
        <v>599</v>
      </c>
      <c r="E100" s="2" t="s">
        <v>4928</v>
      </c>
      <c r="F100" s="2" t="s">
        <v>4734</v>
      </c>
      <c r="G100" s="2" t="b">
        <v>1</v>
      </c>
      <c r="H100" s="11" t="s">
        <v>4929</v>
      </c>
    </row>
    <row r="101" ht="15.75" customHeight="1">
      <c r="A101" s="2" t="s">
        <v>4930</v>
      </c>
      <c r="B101" s="6">
        <v>46066.06285879629</v>
      </c>
      <c r="C101" s="5" t="s">
        <v>4699</v>
      </c>
      <c r="D101" s="2" t="s">
        <v>599</v>
      </c>
      <c r="E101" s="2" t="s">
        <v>4931</v>
      </c>
      <c r="F101" s="2" t="s">
        <v>4734</v>
      </c>
      <c r="G101" s="2" t="b">
        <v>0</v>
      </c>
    </row>
    <row r="102" ht="15.75" customHeight="1">
      <c r="A102" s="2" t="s">
        <v>4932</v>
      </c>
      <c r="B102" s="6">
        <v>46066.688622685186</v>
      </c>
      <c r="C102" s="5" t="s">
        <v>3816</v>
      </c>
      <c r="D102" s="2" t="s">
        <v>599</v>
      </c>
      <c r="E102" s="2" t="s">
        <v>4933</v>
      </c>
      <c r="F102" s="2" t="s">
        <v>4718</v>
      </c>
      <c r="G102" s="2" t="b">
        <v>0</v>
      </c>
    </row>
    <row r="103" ht="15.75" customHeight="1">
      <c r="A103" s="2" t="s">
        <v>4934</v>
      </c>
      <c r="B103" s="6">
        <v>46066.71517361111</v>
      </c>
      <c r="C103" s="5" t="s">
        <v>4804</v>
      </c>
      <c r="D103" s="2" t="s">
        <v>599</v>
      </c>
      <c r="E103" s="2" t="s">
        <v>4935</v>
      </c>
      <c r="F103" s="2" t="s">
        <v>4718</v>
      </c>
      <c r="G103" s="2" t="b">
        <v>1</v>
      </c>
    </row>
    <row r="104" ht="15.75" customHeight="1">
      <c r="A104" s="2" t="s">
        <v>4936</v>
      </c>
      <c r="B104" s="6">
        <v>46067.74030092593</v>
      </c>
      <c r="C104" s="5" t="s">
        <v>3816</v>
      </c>
      <c r="D104" s="2" t="s">
        <v>599</v>
      </c>
      <c r="E104" s="2" t="s">
        <v>4937</v>
      </c>
      <c r="F104" s="2" t="s">
        <v>4734</v>
      </c>
      <c r="G104" s="2" t="b">
        <v>0</v>
      </c>
    </row>
    <row r="105" ht="15.75" customHeight="1">
      <c r="A105" s="2" t="s">
        <v>4938</v>
      </c>
      <c r="B105" s="6">
        <v>46067.98268518518</v>
      </c>
      <c r="C105" s="5" t="s">
        <v>4670</v>
      </c>
      <c r="D105" s="2" t="s">
        <v>599</v>
      </c>
      <c r="E105" s="2" t="s">
        <v>4939</v>
      </c>
      <c r="F105" s="2" t="s">
        <v>4734</v>
      </c>
      <c r="G105" s="2" t="b">
        <v>0</v>
      </c>
    </row>
    <row r="106" ht="15.75" customHeight="1">
      <c r="A106" s="2" t="s">
        <v>4940</v>
      </c>
      <c r="B106" s="6">
        <v>46068.01359953704</v>
      </c>
      <c r="C106" s="5" t="s">
        <v>4673</v>
      </c>
      <c r="D106" s="2" t="s">
        <v>599</v>
      </c>
      <c r="E106" s="2" t="s">
        <v>4941</v>
      </c>
      <c r="F106" s="2" t="s">
        <v>4734</v>
      </c>
      <c r="G106" s="2" t="b">
        <v>0</v>
      </c>
    </row>
    <row r="107" ht="15.75" customHeight="1">
      <c r="A107" s="2" t="s">
        <v>4942</v>
      </c>
      <c r="B107" s="6">
        <v>46068.7215625</v>
      </c>
      <c r="C107" s="5" t="s">
        <v>4804</v>
      </c>
      <c r="D107" s="2" t="s">
        <v>599</v>
      </c>
      <c r="E107" s="2" t="s">
        <v>4943</v>
      </c>
      <c r="F107" s="2" t="s">
        <v>4734</v>
      </c>
      <c r="G107" s="2" t="b">
        <v>0</v>
      </c>
    </row>
    <row r="108" ht="15.75" customHeight="1">
      <c r="A108" s="2" t="s">
        <v>4944</v>
      </c>
      <c r="B108" s="6">
        <v>46068.73950231481</v>
      </c>
      <c r="C108" s="5" t="s">
        <v>3816</v>
      </c>
      <c r="D108" s="2" t="s">
        <v>599</v>
      </c>
      <c r="E108" s="2" t="s">
        <v>4945</v>
      </c>
      <c r="F108" s="2" t="s">
        <v>4734</v>
      </c>
      <c r="G108" s="2" t="b">
        <v>0</v>
      </c>
    </row>
    <row r="109" ht="15.75" customHeight="1">
      <c r="A109" s="2" t="s">
        <v>4946</v>
      </c>
      <c r="B109" s="6">
        <v>46068.83577546296</v>
      </c>
      <c r="C109" s="5" t="s">
        <v>4699</v>
      </c>
      <c r="D109" s="2" t="s">
        <v>599</v>
      </c>
      <c r="E109" s="2" t="s">
        <v>4947</v>
      </c>
      <c r="F109" s="2" t="s">
        <v>4734</v>
      </c>
      <c r="G109" s="2" t="b">
        <v>0</v>
      </c>
    </row>
    <row r="110" ht="15.75" customHeight="1">
      <c r="A110" s="2" t="s">
        <v>4948</v>
      </c>
      <c r="B110" s="6">
        <v>46069.0072337963</v>
      </c>
      <c r="C110" s="5" t="s">
        <v>4673</v>
      </c>
      <c r="D110" s="2" t="s">
        <v>599</v>
      </c>
      <c r="E110" s="2" t="s">
        <v>4949</v>
      </c>
      <c r="F110" s="2" t="s">
        <v>4734</v>
      </c>
      <c r="G110" s="2" t="b">
        <v>0</v>
      </c>
    </row>
    <row r="111" ht="15.75" customHeight="1">
      <c r="A111" s="2" t="s">
        <v>4950</v>
      </c>
      <c r="B111" s="6">
        <v>46069.04857638889</v>
      </c>
      <c r="C111" s="5" t="s">
        <v>4670</v>
      </c>
      <c r="D111" s="2" t="s">
        <v>599</v>
      </c>
      <c r="E111" s="2" t="s">
        <v>4951</v>
      </c>
      <c r="F111" s="2" t="s">
        <v>4734</v>
      </c>
      <c r="G111" s="2" t="b">
        <v>0</v>
      </c>
    </row>
    <row r="112" ht="15.75" customHeight="1">
      <c r="A112" s="2" t="s">
        <v>4952</v>
      </c>
      <c r="B112" s="6">
        <v>46069.717256944445</v>
      </c>
      <c r="C112" s="5" t="s">
        <v>4804</v>
      </c>
      <c r="D112" s="2" t="s">
        <v>599</v>
      </c>
      <c r="E112" s="2" t="s">
        <v>4953</v>
      </c>
      <c r="F112" s="2" t="s">
        <v>4734</v>
      </c>
      <c r="G112" s="2" t="b">
        <v>0</v>
      </c>
    </row>
    <row r="113" ht="15.75" customHeight="1">
      <c r="A113" s="2" t="s">
        <v>4954</v>
      </c>
      <c r="B113" s="6">
        <v>46070.576377314814</v>
      </c>
      <c r="C113" s="5" t="s">
        <v>4804</v>
      </c>
      <c r="D113" s="2" t="s">
        <v>599</v>
      </c>
      <c r="E113" s="2" t="s">
        <v>4955</v>
      </c>
      <c r="F113" s="2" t="s">
        <v>4734</v>
      </c>
      <c r="G113" s="2" t="b">
        <v>0</v>
      </c>
    </row>
    <row r="114" ht="15.75" customHeight="1">
      <c r="A114" s="2" t="s">
        <v>4956</v>
      </c>
      <c r="B114" s="6">
        <v>46070.599386574075</v>
      </c>
      <c r="C114" s="5" t="s">
        <v>4699</v>
      </c>
      <c r="D114" s="2" t="s">
        <v>599</v>
      </c>
      <c r="E114" s="2" t="s">
        <v>4957</v>
      </c>
      <c r="F114" s="2" t="s">
        <v>4734</v>
      </c>
      <c r="G114" s="2" t="b">
        <v>0</v>
      </c>
    </row>
    <row r="115" ht="15.75" customHeight="1">
      <c r="A115" s="2" t="s">
        <v>4958</v>
      </c>
      <c r="B115" s="6">
        <v>46071.03601851852</v>
      </c>
      <c r="C115" s="5" t="s">
        <v>4670</v>
      </c>
      <c r="D115" s="2" t="s">
        <v>599</v>
      </c>
      <c r="E115" s="2" t="s">
        <v>4959</v>
      </c>
      <c r="F115" s="2" t="s">
        <v>4734</v>
      </c>
      <c r="G115" s="2" t="b">
        <v>0</v>
      </c>
    </row>
    <row r="116" ht="15.75" customHeight="1">
      <c r="A116" s="2" t="s">
        <v>4960</v>
      </c>
      <c r="B116" s="6">
        <v>46072.72230324074</v>
      </c>
      <c r="C116" s="5" t="s">
        <v>3816</v>
      </c>
      <c r="D116" s="2" t="s">
        <v>599</v>
      </c>
      <c r="E116" s="2" t="s">
        <v>4961</v>
      </c>
      <c r="F116" s="2" t="s">
        <v>4734</v>
      </c>
      <c r="G116" s="2" t="b">
        <v>0</v>
      </c>
    </row>
    <row r="117" ht="15.75" customHeight="1">
      <c r="A117" s="2" t="s">
        <v>4962</v>
      </c>
      <c r="B117" s="6">
        <v>46074.71501157407</v>
      </c>
      <c r="C117" s="5" t="s">
        <v>3816</v>
      </c>
      <c r="D117" s="2" t="s">
        <v>599</v>
      </c>
      <c r="E117" s="2" t="s">
        <v>4963</v>
      </c>
      <c r="F117" s="2" t="s">
        <v>4734</v>
      </c>
      <c r="G117" s="2" t="b">
        <v>0</v>
      </c>
    </row>
    <row r="118" ht="15.75" customHeight="1">
      <c r="A118" s="2" t="s">
        <v>4964</v>
      </c>
      <c r="B118" s="6">
        <v>46074.71679398148</v>
      </c>
      <c r="C118" s="5" t="s">
        <v>4804</v>
      </c>
      <c r="D118" s="2" t="s">
        <v>599</v>
      </c>
      <c r="E118" s="2" t="s">
        <v>4965</v>
      </c>
      <c r="F118" s="2" t="s">
        <v>4734</v>
      </c>
      <c r="G118" s="2" t="b">
        <v>0</v>
      </c>
    </row>
    <row r="119" ht="15.75" customHeight="1">
      <c r="A119" s="2" t="s">
        <v>4966</v>
      </c>
      <c r="B119" s="6">
        <v>46074.98594907407</v>
      </c>
      <c r="C119" s="5" t="s">
        <v>4670</v>
      </c>
      <c r="D119" s="2" t="s">
        <v>599</v>
      </c>
      <c r="E119" s="2" t="s">
        <v>4967</v>
      </c>
      <c r="F119" s="2" t="s">
        <v>4734</v>
      </c>
      <c r="G119" s="2" t="b">
        <v>1</v>
      </c>
      <c r="H119" s="11" t="s">
        <v>4745</v>
      </c>
    </row>
    <row r="120" ht="15.75" customHeight="1">
      <c r="A120" s="2" t="s">
        <v>4968</v>
      </c>
      <c r="B120" s="6">
        <v>46076.77039351852</v>
      </c>
      <c r="C120" s="5" t="s">
        <v>4804</v>
      </c>
      <c r="D120" s="2" t="s">
        <v>599</v>
      </c>
      <c r="E120" s="2" t="s">
        <v>4969</v>
      </c>
      <c r="F120" s="2" t="s">
        <v>4734</v>
      </c>
      <c r="G120" s="2" t="b">
        <v>1</v>
      </c>
      <c r="H120" s="11" t="s">
        <v>4970</v>
      </c>
    </row>
    <row r="121" ht="15.75" customHeight="1">
      <c r="A121" s="2" t="s">
        <v>4971</v>
      </c>
      <c r="B121" s="6">
        <v>46079.118726851855</v>
      </c>
      <c r="C121" s="5" t="s">
        <v>4699</v>
      </c>
      <c r="D121" s="2" t="s">
        <v>599</v>
      </c>
      <c r="E121" s="2" t="s">
        <v>4972</v>
      </c>
      <c r="F121" s="2" t="s">
        <v>4718</v>
      </c>
      <c r="G121" s="2" t="b">
        <v>0</v>
      </c>
    </row>
    <row r="122" ht="15.75" customHeight="1">
      <c r="A122" s="2" t="s">
        <v>4973</v>
      </c>
      <c r="B122" s="6">
        <v>46079.68380787037</v>
      </c>
      <c r="C122" s="5" t="s">
        <v>4804</v>
      </c>
      <c r="D122" s="2" t="s">
        <v>599</v>
      </c>
      <c r="E122" s="2" t="s">
        <v>4974</v>
      </c>
      <c r="F122" s="2" t="s">
        <v>4734</v>
      </c>
      <c r="G122" s="2" t="b">
        <v>0</v>
      </c>
    </row>
    <row r="123" ht="15.75" customHeight="1">
      <c r="A123" s="2" t="s">
        <v>4975</v>
      </c>
      <c r="B123" s="6">
        <v>46079.70819444444</v>
      </c>
      <c r="C123" s="5" t="s">
        <v>3816</v>
      </c>
      <c r="D123" s="2" t="s">
        <v>599</v>
      </c>
      <c r="E123" s="2" t="s">
        <v>4976</v>
      </c>
      <c r="F123" s="2" t="s">
        <v>4734</v>
      </c>
      <c r="G123" s="2" t="b">
        <v>0</v>
      </c>
    </row>
    <row r="124" ht="15.75" customHeight="1">
      <c r="A124" s="2" t="s">
        <v>4977</v>
      </c>
      <c r="B124" s="6">
        <v>46080.752754629626</v>
      </c>
      <c r="C124" s="5" t="s">
        <v>4804</v>
      </c>
      <c r="D124" s="2" t="s">
        <v>599</v>
      </c>
      <c r="E124" s="2" t="s">
        <v>4978</v>
      </c>
      <c r="F124" s="2" t="s">
        <v>4734</v>
      </c>
      <c r="G124" s="2" t="b">
        <v>0</v>
      </c>
    </row>
    <row r="125" ht="15.75" customHeight="1">
      <c r="A125" s="2" t="s">
        <v>4979</v>
      </c>
      <c r="B125" s="6">
        <v>46080.76253472222</v>
      </c>
      <c r="C125" s="5" t="s">
        <v>3816</v>
      </c>
      <c r="D125" s="2" t="s">
        <v>599</v>
      </c>
      <c r="E125" s="2" t="s">
        <v>4980</v>
      </c>
      <c r="F125" s="2" t="s">
        <v>4734</v>
      </c>
      <c r="G125" s="2" t="b">
        <v>0</v>
      </c>
    </row>
    <row r="126" ht="15.75" customHeight="1">
      <c r="A126" s="5" t="s">
        <v>4981</v>
      </c>
      <c r="B126" s="6">
        <v>46081.638645833336</v>
      </c>
      <c r="C126" s="5" t="s">
        <v>4670</v>
      </c>
      <c r="D126" s="2" t="s">
        <v>599</v>
      </c>
      <c r="E126" s="2" t="s">
        <v>4982</v>
      </c>
      <c r="F126" s="2" t="s">
        <v>4734</v>
      </c>
      <c r="G126" s="2" t="b">
        <v>0</v>
      </c>
    </row>
    <row r="127" ht="15.75" customHeight="1">
      <c r="A127" s="2" t="s">
        <v>4983</v>
      </c>
      <c r="B127" s="6">
        <v>46081.708136574074</v>
      </c>
      <c r="C127" s="5" t="s">
        <v>4804</v>
      </c>
      <c r="D127" s="2" t="s">
        <v>599</v>
      </c>
      <c r="E127" s="2" t="s">
        <v>4984</v>
      </c>
      <c r="F127" s="2" t="s">
        <v>4734</v>
      </c>
      <c r="G127" s="2" t="b">
        <v>0</v>
      </c>
    </row>
    <row r="128" ht="15.75" customHeight="1">
      <c r="A128" s="2" t="s">
        <v>4985</v>
      </c>
      <c r="B128" s="6">
        <v>46081.72153935185</v>
      </c>
      <c r="C128" s="5" t="s">
        <v>3816</v>
      </c>
      <c r="D128" s="2" t="s">
        <v>599</v>
      </c>
      <c r="E128" s="2" t="s">
        <v>4986</v>
      </c>
      <c r="F128" s="2" t="s">
        <v>4734</v>
      </c>
      <c r="G128" s="2" t="b">
        <v>0</v>
      </c>
    </row>
    <row r="129" ht="15.75" customHeight="1">
      <c r="A129" s="2" t="s">
        <v>4987</v>
      </c>
      <c r="B129" s="6">
        <v>46082.75787037037</v>
      </c>
      <c r="C129" s="5" t="s">
        <v>4804</v>
      </c>
      <c r="D129" s="2" t="s">
        <v>599</v>
      </c>
      <c r="E129" s="2" t="s">
        <v>4988</v>
      </c>
      <c r="F129" s="2" t="s">
        <v>4734</v>
      </c>
      <c r="G129" s="2" t="b">
        <v>0</v>
      </c>
    </row>
    <row r="130" ht="15.75" customHeight="1">
      <c r="A130" s="2" t="s">
        <v>4989</v>
      </c>
      <c r="B130" s="6">
        <v>46082.962534722225</v>
      </c>
      <c r="C130" s="5" t="s">
        <v>4990</v>
      </c>
      <c r="D130" s="2" t="s">
        <v>599</v>
      </c>
      <c r="E130" s="2" t="s">
        <v>4991</v>
      </c>
      <c r="F130" s="2" t="s">
        <v>4734</v>
      </c>
      <c r="G130" s="2" t="b">
        <v>1</v>
      </c>
      <c r="H130" s="11" t="s">
        <v>4752</v>
      </c>
    </row>
    <row r="131" ht="15.75" customHeight="1">
      <c r="A131" s="2" t="s">
        <v>4992</v>
      </c>
      <c r="B131" s="6">
        <v>46083.61623842592</v>
      </c>
      <c r="C131" s="5" t="s">
        <v>4804</v>
      </c>
      <c r="D131" s="2" t="s">
        <v>599</v>
      </c>
      <c r="E131" s="2" t="s">
        <v>4993</v>
      </c>
      <c r="F131" s="2" t="s">
        <v>4734</v>
      </c>
      <c r="G131" s="2" t="b">
        <v>0</v>
      </c>
    </row>
    <row r="132" ht="15.75" customHeight="1">
      <c r="A132" s="2" t="s">
        <v>4994</v>
      </c>
      <c r="B132" s="6">
        <v>46083.63658564815</v>
      </c>
      <c r="C132" s="5" t="s">
        <v>3816</v>
      </c>
      <c r="D132" s="2" t="s">
        <v>599</v>
      </c>
      <c r="E132" s="2" t="s">
        <v>4995</v>
      </c>
      <c r="F132" s="2" t="s">
        <v>4734</v>
      </c>
      <c r="G132" s="2" t="b">
        <v>0</v>
      </c>
    </row>
    <row r="133" ht="15.75" customHeight="1">
      <c r="A133" s="2" t="s">
        <v>4996</v>
      </c>
      <c r="B133" s="6">
        <v>46085.55075231481</v>
      </c>
      <c r="C133" s="5" t="s">
        <v>4676</v>
      </c>
      <c r="D133" s="2" t="s">
        <v>599</v>
      </c>
      <c r="E133" s="2" t="s">
        <v>4997</v>
      </c>
      <c r="F133" s="2" t="s">
        <v>4734</v>
      </c>
      <c r="G133" s="2" t="b">
        <v>0</v>
      </c>
    </row>
    <row r="134" ht="15.75" customHeight="1">
      <c r="A134" s="2" t="s">
        <v>4998</v>
      </c>
      <c r="B134" s="6">
        <v>46085.612604166665</v>
      </c>
      <c r="C134" s="5" t="s">
        <v>4804</v>
      </c>
      <c r="D134" s="2" t="s">
        <v>599</v>
      </c>
      <c r="E134" s="2" t="s">
        <v>4999</v>
      </c>
      <c r="F134" s="2" t="s">
        <v>4734</v>
      </c>
      <c r="G134" s="2" t="b">
        <v>1</v>
      </c>
      <c r="H134" s="11" t="s">
        <v>4752</v>
      </c>
    </row>
    <row r="135" ht="15.75" customHeight="1">
      <c r="A135" s="2" t="s">
        <v>5000</v>
      </c>
      <c r="B135" s="6">
        <v>46085.643055555556</v>
      </c>
      <c r="C135" s="5" t="s">
        <v>3816</v>
      </c>
      <c r="D135" s="2" t="s">
        <v>599</v>
      </c>
      <c r="E135" s="2" t="s">
        <v>5001</v>
      </c>
      <c r="F135" s="2" t="s">
        <v>4734</v>
      </c>
      <c r="G135" s="2" t="b">
        <v>0</v>
      </c>
    </row>
    <row r="136" ht="15.75" customHeight="1">
      <c r="A136" s="2" t="s">
        <v>5002</v>
      </c>
      <c r="B136" s="6">
        <v>46085.982627314814</v>
      </c>
      <c r="C136" s="5" t="s">
        <v>4670</v>
      </c>
      <c r="D136" s="2" t="s">
        <v>599</v>
      </c>
      <c r="E136" s="2" t="s">
        <v>5003</v>
      </c>
      <c r="F136" s="2" t="s">
        <v>4718</v>
      </c>
      <c r="G136" s="2" t="b">
        <v>0</v>
      </c>
    </row>
    <row r="137" ht="15.75" customHeight="1">
      <c r="A137" s="2" t="s">
        <v>5004</v>
      </c>
      <c r="B137" s="6">
        <v>46086.75623842593</v>
      </c>
      <c r="C137" s="5" t="s">
        <v>4804</v>
      </c>
      <c r="D137" s="2" t="s">
        <v>599</v>
      </c>
      <c r="E137" s="2" t="s">
        <v>5005</v>
      </c>
      <c r="F137" s="2" t="s">
        <v>4734</v>
      </c>
      <c r="G137" s="2" t="b">
        <v>0</v>
      </c>
    </row>
    <row r="138" ht="15.75" customHeight="1">
      <c r="A138" s="2" t="s">
        <v>5006</v>
      </c>
      <c r="B138" s="6">
        <v>46088.791666666664</v>
      </c>
      <c r="C138" s="5" t="s">
        <v>4804</v>
      </c>
      <c r="D138" s="2" t="s">
        <v>599</v>
      </c>
      <c r="E138" s="2" t="s">
        <v>5007</v>
      </c>
      <c r="F138" s="2" t="s">
        <v>4718</v>
      </c>
      <c r="G138" s="2" t="b">
        <v>0</v>
      </c>
    </row>
    <row r="139" ht="15.75" customHeight="1">
      <c r="A139" s="2" t="s">
        <v>5008</v>
      </c>
      <c r="B139" s="6">
        <v>46089.42265046296</v>
      </c>
      <c r="C139" s="5" t="s">
        <v>3816</v>
      </c>
      <c r="D139" s="2" t="s">
        <v>599</v>
      </c>
      <c r="E139" s="2" t="s">
        <v>5009</v>
      </c>
      <c r="F139" s="2" t="s">
        <v>4734</v>
      </c>
      <c r="G139" s="2" t="b">
        <v>1</v>
      </c>
      <c r="H139" s="11" t="s">
        <v>4723</v>
      </c>
    </row>
    <row r="140" ht="15.75" customHeight="1">
      <c r="A140" s="2" t="s">
        <v>5010</v>
      </c>
      <c r="B140" s="6">
        <v>46089.715891203705</v>
      </c>
      <c r="C140" s="5" t="s">
        <v>4670</v>
      </c>
      <c r="D140" s="2" t="s">
        <v>599</v>
      </c>
      <c r="E140" s="2" t="s">
        <v>5011</v>
      </c>
      <c r="F140" s="2" t="s">
        <v>4734</v>
      </c>
      <c r="G140" s="2" t="b">
        <v>1</v>
      </c>
      <c r="H140" s="11" t="s">
        <v>5012</v>
      </c>
    </row>
    <row r="141" ht="15.75" customHeight="1">
      <c r="A141" s="2" t="s">
        <v>5013</v>
      </c>
      <c r="B141" s="6">
        <v>46089.91347222222</v>
      </c>
      <c r="C141" s="5" t="s">
        <v>4676</v>
      </c>
      <c r="D141" s="2" t="s">
        <v>599</v>
      </c>
      <c r="E141" s="2" t="s">
        <v>5014</v>
      </c>
      <c r="F141" s="2" t="s">
        <v>4734</v>
      </c>
      <c r="G141" s="2" t="b">
        <v>1</v>
      </c>
      <c r="H141" s="11" t="s">
        <v>5015</v>
      </c>
    </row>
    <row r="142" ht="15.75" customHeight="1">
      <c r="A142" s="2" t="s">
        <v>5016</v>
      </c>
      <c r="B142" s="6">
        <v>46091.58258101852</v>
      </c>
      <c r="C142" s="5" t="s">
        <v>4676</v>
      </c>
      <c r="D142" s="2" t="s">
        <v>599</v>
      </c>
      <c r="E142" s="2" t="s">
        <v>5017</v>
      </c>
      <c r="F142" s="2" t="s">
        <v>4734</v>
      </c>
      <c r="G142" s="2" t="b">
        <v>0</v>
      </c>
    </row>
    <row r="143" ht="15.75" customHeight="1">
      <c r="A143" s="2" t="s">
        <v>5018</v>
      </c>
      <c r="B143" s="6">
        <v>46091.661157407405</v>
      </c>
      <c r="C143" s="5" t="s">
        <v>4804</v>
      </c>
      <c r="D143" s="2" t="s">
        <v>599</v>
      </c>
      <c r="E143" s="2" t="s">
        <v>5019</v>
      </c>
      <c r="F143" s="2" t="s">
        <v>4718</v>
      </c>
      <c r="G143" s="2" t="b">
        <v>0</v>
      </c>
    </row>
    <row r="144" ht="15.75" customHeight="1">
      <c r="A144" s="2" t="s">
        <v>5020</v>
      </c>
      <c r="B144" s="6">
        <v>46091.785358796296</v>
      </c>
      <c r="C144" s="5" t="s">
        <v>4699</v>
      </c>
      <c r="D144" s="2" t="s">
        <v>599</v>
      </c>
      <c r="E144" s="2" t="s">
        <v>5021</v>
      </c>
      <c r="F144" s="2" t="s">
        <v>4734</v>
      </c>
      <c r="G144" s="2" t="b">
        <v>0</v>
      </c>
    </row>
    <row r="145" ht="15.75" customHeight="1">
      <c r="A145" s="2" t="s">
        <v>5022</v>
      </c>
      <c r="B145" s="6">
        <v>46093.15526620371</v>
      </c>
      <c r="C145" s="5" t="s">
        <v>4670</v>
      </c>
      <c r="D145" s="2" t="s">
        <v>599</v>
      </c>
      <c r="E145" s="2" t="s">
        <v>5023</v>
      </c>
      <c r="F145" s="2" t="s">
        <v>4734</v>
      </c>
      <c r="G145" s="2" t="b">
        <v>0</v>
      </c>
    </row>
    <row r="146" ht="15.75" customHeight="1">
      <c r="A146" s="2" t="s">
        <v>5024</v>
      </c>
      <c r="B146" s="6">
        <v>46093.63170138889</v>
      </c>
      <c r="C146" s="5" t="s">
        <v>4699</v>
      </c>
      <c r="D146" s="2" t="s">
        <v>599</v>
      </c>
      <c r="E146" s="2" t="s">
        <v>5025</v>
      </c>
      <c r="F146" s="2" t="s">
        <v>4734</v>
      </c>
      <c r="G146" s="2" t="b">
        <v>0</v>
      </c>
    </row>
    <row r="147" ht="15.75" customHeight="1">
      <c r="A147" s="2" t="s">
        <v>5026</v>
      </c>
      <c r="B147" s="6">
        <v>46093.67204861111</v>
      </c>
      <c r="C147" s="5" t="s">
        <v>4804</v>
      </c>
      <c r="D147" s="2" t="s">
        <v>599</v>
      </c>
      <c r="E147" s="2" t="s">
        <v>5027</v>
      </c>
      <c r="F147" s="2" t="s">
        <v>4718</v>
      </c>
      <c r="G147" s="2" t="b">
        <v>0</v>
      </c>
    </row>
    <row r="148" ht="15.75" customHeight="1">
      <c r="A148" s="2" t="s">
        <v>5028</v>
      </c>
      <c r="B148" s="6">
        <v>46093.74070601852</v>
      </c>
      <c r="C148" s="5" t="s">
        <v>4676</v>
      </c>
      <c r="D148" s="2" t="s">
        <v>599</v>
      </c>
      <c r="E148" s="2" t="s">
        <v>5029</v>
      </c>
      <c r="F148" s="2" t="s">
        <v>4734</v>
      </c>
      <c r="G148" s="2" t="b">
        <v>0</v>
      </c>
    </row>
    <row r="149" ht="15.75" customHeight="1">
      <c r="A149" s="2" t="s">
        <v>5030</v>
      </c>
      <c r="B149" s="6">
        <v>46094.66982638889</v>
      </c>
      <c r="C149" s="5" t="s">
        <v>4676</v>
      </c>
      <c r="D149" s="2" t="s">
        <v>599</v>
      </c>
      <c r="E149" s="2" t="s">
        <v>5031</v>
      </c>
      <c r="F149" s="2" t="s">
        <v>4734</v>
      </c>
      <c r="G149" s="2" t="b">
        <v>0</v>
      </c>
    </row>
    <row r="150" ht="15.75" customHeight="1">
      <c r="A150" s="2" t="s">
        <v>5032</v>
      </c>
      <c r="B150" s="6">
        <v>46094.730717592596</v>
      </c>
      <c r="C150" s="5" t="s">
        <v>4804</v>
      </c>
      <c r="D150" s="2" t="s">
        <v>599</v>
      </c>
      <c r="E150" s="2" t="s">
        <v>5033</v>
      </c>
      <c r="F150" s="2" t="s">
        <v>4734</v>
      </c>
      <c r="G150" s="2" t="b">
        <v>0</v>
      </c>
    </row>
    <row r="151" ht="15.75" customHeight="1">
      <c r="A151" s="5" t="s">
        <v>5034</v>
      </c>
      <c r="B151" s="6">
        <v>46095.65252314815</v>
      </c>
      <c r="C151" s="5" t="s">
        <v>4676</v>
      </c>
      <c r="D151" s="2" t="s">
        <v>599</v>
      </c>
      <c r="E151" s="2" t="s">
        <v>5035</v>
      </c>
      <c r="F151" s="2" t="s">
        <v>4734</v>
      </c>
      <c r="G151" s="2" t="b">
        <v>0</v>
      </c>
    </row>
    <row r="152" ht="15.75" customHeight="1">
      <c r="A152" s="2" t="s">
        <v>5036</v>
      </c>
      <c r="B152" s="6">
        <v>46095.71057870371</v>
      </c>
      <c r="C152" s="5" t="s">
        <v>4804</v>
      </c>
      <c r="D152" s="2" t="s">
        <v>599</v>
      </c>
      <c r="E152" s="2" t="s">
        <v>5037</v>
      </c>
      <c r="F152" s="2" t="s">
        <v>4734</v>
      </c>
      <c r="G152" s="2" t="b">
        <v>0</v>
      </c>
    </row>
    <row r="153" ht="15.75" customHeight="1">
      <c r="A153" s="2" t="s">
        <v>5038</v>
      </c>
      <c r="B153" s="6">
        <v>46097.09165509259</v>
      </c>
      <c r="C153" s="5" t="s">
        <v>4699</v>
      </c>
      <c r="D153" s="2" t="s">
        <v>599</v>
      </c>
      <c r="E153" s="2" t="s">
        <v>5039</v>
      </c>
      <c r="F153" s="2" t="s">
        <v>4734</v>
      </c>
      <c r="G153" s="2" t="b">
        <v>0</v>
      </c>
    </row>
    <row r="154" ht="15.75" customHeight="1">
      <c r="A154" s="2" t="s">
        <v>5040</v>
      </c>
      <c r="B154" s="6">
        <v>46097.768159722225</v>
      </c>
      <c r="C154" s="5" t="s">
        <v>4804</v>
      </c>
      <c r="D154" s="2" t="s">
        <v>599</v>
      </c>
      <c r="E154" s="2" t="s">
        <v>5041</v>
      </c>
      <c r="F154" s="2" t="s">
        <v>4734</v>
      </c>
      <c r="G154" s="2" t="b">
        <v>0</v>
      </c>
    </row>
    <row r="155" ht="15.75" customHeight="1">
      <c r="A155" s="2" t="s">
        <v>5042</v>
      </c>
      <c r="B155" s="6">
        <v>46098.15642361111</v>
      </c>
      <c r="C155" s="5" t="s">
        <v>4670</v>
      </c>
      <c r="D155" s="2" t="s">
        <v>599</v>
      </c>
      <c r="E155" s="2" t="s">
        <v>5043</v>
      </c>
      <c r="F155" s="2" t="s">
        <v>4734</v>
      </c>
      <c r="G155" s="2" t="b">
        <v>0</v>
      </c>
    </row>
    <row r="156" ht="15.75" customHeight="1">
      <c r="A156" s="2" t="s">
        <v>5044</v>
      </c>
      <c r="B156" s="6">
        <v>46099.73684027778</v>
      </c>
      <c r="C156" s="5" t="s">
        <v>4804</v>
      </c>
      <c r="D156" s="2" t="s">
        <v>599</v>
      </c>
      <c r="E156" s="2" t="s">
        <v>5045</v>
      </c>
      <c r="F156" s="2" t="s">
        <v>4734</v>
      </c>
      <c r="G156" s="2" t="b">
        <v>0</v>
      </c>
    </row>
    <row r="157" ht="15.75" customHeight="1">
      <c r="A157" s="2" t="s">
        <v>5046</v>
      </c>
      <c r="B157" s="6">
        <v>46101.03685185185</v>
      </c>
      <c r="C157" s="5" t="s">
        <v>4804</v>
      </c>
      <c r="D157" s="2" t="s">
        <v>599</v>
      </c>
      <c r="E157" s="2" t="s">
        <v>5047</v>
      </c>
      <c r="F157" s="2" t="s">
        <v>4734</v>
      </c>
      <c r="G157" s="2" t="b">
        <v>0</v>
      </c>
    </row>
    <row r="158" ht="15.75" customHeight="1">
      <c r="A158" s="2" t="s">
        <v>5048</v>
      </c>
      <c r="B158" s="6">
        <v>46101.037141203706</v>
      </c>
      <c r="C158" s="5" t="s">
        <v>3816</v>
      </c>
      <c r="D158" s="2" t="s">
        <v>599</v>
      </c>
      <c r="E158" s="2" t="s">
        <v>5049</v>
      </c>
      <c r="F158" s="2" t="s">
        <v>4734</v>
      </c>
      <c r="G158" s="2" t="b">
        <v>0</v>
      </c>
    </row>
    <row r="159" ht="15.75" customHeight="1">
      <c r="A159" s="2" t="s">
        <v>5050</v>
      </c>
      <c r="B159" s="6">
        <v>46101.062731481485</v>
      </c>
      <c r="C159" s="5" t="s">
        <v>4699</v>
      </c>
      <c r="D159" s="2" t="s">
        <v>599</v>
      </c>
      <c r="E159" s="2" t="s">
        <v>5051</v>
      </c>
      <c r="F159" s="2" t="s">
        <v>4734</v>
      </c>
      <c r="G159" s="2" t="b">
        <v>0</v>
      </c>
    </row>
    <row r="160" ht="15.75" customHeight="1">
      <c r="A160" s="2" t="s">
        <v>5052</v>
      </c>
      <c r="B160" s="6">
        <v>46101.69118055556</v>
      </c>
      <c r="C160" s="5" t="s">
        <v>4676</v>
      </c>
      <c r="D160" s="2" t="s">
        <v>571</v>
      </c>
      <c r="E160" s="2" t="s">
        <v>5053</v>
      </c>
      <c r="F160" s="2" t="s">
        <v>4718</v>
      </c>
      <c r="G160" s="2" t="b">
        <v>0</v>
      </c>
    </row>
    <row r="161" ht="15.75" customHeight="1">
      <c r="A161" s="2" t="s">
        <v>5054</v>
      </c>
      <c r="B161" s="6">
        <v>46102.58813657407</v>
      </c>
      <c r="C161" s="5" t="s">
        <v>4804</v>
      </c>
      <c r="D161" s="2" t="s">
        <v>599</v>
      </c>
      <c r="E161" s="2" t="s">
        <v>5055</v>
      </c>
      <c r="F161" s="2" t="s">
        <v>4734</v>
      </c>
      <c r="G161" s="2" t="b">
        <v>0</v>
      </c>
    </row>
    <row r="162" ht="15.75" customHeight="1">
      <c r="A162" s="2" t="s">
        <v>5056</v>
      </c>
      <c r="B162" s="6">
        <v>46102.70590277778</v>
      </c>
      <c r="C162" s="5" t="s">
        <v>4676</v>
      </c>
      <c r="D162" s="2" t="s">
        <v>599</v>
      </c>
      <c r="E162" s="2" t="s">
        <v>5057</v>
      </c>
      <c r="F162" s="2" t="s">
        <v>4734</v>
      </c>
      <c r="G162" s="2" t="b">
        <v>0</v>
      </c>
    </row>
    <row r="163" ht="15.75" customHeight="1">
      <c r="A163" s="2" t="s">
        <v>5058</v>
      </c>
      <c r="B163" s="6">
        <v>46103.631203703706</v>
      </c>
      <c r="C163" s="5" t="s">
        <v>4676</v>
      </c>
      <c r="D163" s="2" t="s">
        <v>599</v>
      </c>
      <c r="E163" s="2" t="s">
        <v>5059</v>
      </c>
      <c r="F163" s="2" t="s">
        <v>4734</v>
      </c>
      <c r="G163" s="2" t="b">
        <v>1</v>
      </c>
      <c r="H163" s="11" t="s">
        <v>5060</v>
      </c>
    </row>
    <row r="164" ht="15.75" customHeight="1">
      <c r="A164" s="2" t="s">
        <v>5061</v>
      </c>
      <c r="B164" s="6">
        <v>46103.70974537037</v>
      </c>
      <c r="C164" s="5" t="s">
        <v>3816</v>
      </c>
      <c r="D164" s="2" t="s">
        <v>599</v>
      </c>
      <c r="E164" s="2" t="s">
        <v>5062</v>
      </c>
      <c r="F164" s="2" t="s">
        <v>4734</v>
      </c>
      <c r="G164" s="2" t="b">
        <v>0</v>
      </c>
    </row>
    <row r="165" ht="15.75" customHeight="1">
      <c r="A165" s="2" t="s">
        <v>5063</v>
      </c>
      <c r="B165" s="6">
        <v>46103.74306712963</v>
      </c>
      <c r="C165" s="5" t="s">
        <v>4804</v>
      </c>
      <c r="D165" s="2" t="s">
        <v>599</v>
      </c>
      <c r="E165" s="2" t="s">
        <v>5064</v>
      </c>
      <c r="F165" s="2" t="s">
        <v>4734</v>
      </c>
      <c r="G165" s="2" t="b">
        <v>0</v>
      </c>
    </row>
    <row r="166" ht="15.75" customHeight="1">
      <c r="A166" s="2" t="s">
        <v>5065</v>
      </c>
      <c r="B166" s="6">
        <v>46104.59923611111</v>
      </c>
      <c r="C166" s="5" t="s">
        <v>4804</v>
      </c>
      <c r="D166" s="2" t="s">
        <v>599</v>
      </c>
      <c r="E166" s="2" t="s">
        <v>5066</v>
      </c>
      <c r="F166" s="2" t="s">
        <v>4734</v>
      </c>
      <c r="G166" s="2" t="b">
        <v>0</v>
      </c>
    </row>
    <row r="167" ht="15.75" customHeight="1">
      <c r="A167" s="2" t="s">
        <v>5067</v>
      </c>
      <c r="B167" s="6">
        <v>46104.6303587963</v>
      </c>
      <c r="C167" s="5" t="s">
        <v>3816</v>
      </c>
      <c r="D167" s="2" t="s">
        <v>599</v>
      </c>
      <c r="E167" s="2" t="s">
        <v>5068</v>
      </c>
      <c r="F167" s="2" t="s">
        <v>4734</v>
      </c>
      <c r="G167" s="2" t="b">
        <v>1</v>
      </c>
      <c r="H167" s="11" t="s">
        <v>5069</v>
      </c>
    </row>
    <row r="168" ht="15.75" customHeight="1">
      <c r="A168" s="2" t="s">
        <v>5070</v>
      </c>
      <c r="B168" s="6">
        <v>46104.68949074074</v>
      </c>
      <c r="C168" s="5" t="s">
        <v>4676</v>
      </c>
      <c r="D168" s="2" t="s">
        <v>599</v>
      </c>
      <c r="E168" s="2" t="s">
        <v>5071</v>
      </c>
      <c r="F168" s="2" t="s">
        <v>4734</v>
      </c>
      <c r="G168" s="2" t="b">
        <v>0</v>
      </c>
    </row>
    <row r="169" ht="15.75" customHeight="1">
      <c r="A169" s="2" t="s">
        <v>5072</v>
      </c>
      <c r="B169" s="6">
        <v>46104.92724537037</v>
      </c>
      <c r="C169" s="5" t="s">
        <v>4873</v>
      </c>
      <c r="D169" s="2" t="s">
        <v>571</v>
      </c>
      <c r="E169" s="2" t="s">
        <v>5073</v>
      </c>
      <c r="F169" s="2" t="s">
        <v>4718</v>
      </c>
      <c r="G169" s="2" t="b">
        <v>0</v>
      </c>
    </row>
    <row r="170" ht="15.75" customHeight="1">
      <c r="A170" s="2" t="s">
        <v>5074</v>
      </c>
      <c r="B170" s="6">
        <v>46104.92888888889</v>
      </c>
      <c r="C170" s="5" t="s">
        <v>4670</v>
      </c>
      <c r="D170" s="2" t="s">
        <v>599</v>
      </c>
      <c r="E170" s="2" t="s">
        <v>5075</v>
      </c>
      <c r="F170" s="2" t="s">
        <v>4734</v>
      </c>
      <c r="G170" s="2" t="b">
        <v>0</v>
      </c>
    </row>
    <row r="171" ht="15.75" customHeight="1">
      <c r="A171" s="5" t="s">
        <v>5076</v>
      </c>
      <c r="B171" s="6">
        <v>46105.840949074074</v>
      </c>
      <c r="C171" s="5" t="s">
        <v>4676</v>
      </c>
      <c r="D171" s="2" t="s">
        <v>599</v>
      </c>
      <c r="E171" s="2" t="s">
        <v>5077</v>
      </c>
      <c r="F171" s="2" t="s">
        <v>4734</v>
      </c>
      <c r="G171" s="2" t="b">
        <v>1</v>
      </c>
      <c r="H171" s="11" t="s">
        <v>5078</v>
      </c>
    </row>
    <row r="172" ht="15.75" customHeight="1">
      <c r="A172" s="2" t="s">
        <v>5079</v>
      </c>
      <c r="B172" s="6">
        <v>46105.88826388889</v>
      </c>
      <c r="C172" s="5" t="s">
        <v>4804</v>
      </c>
      <c r="D172" s="2" t="s">
        <v>599</v>
      </c>
      <c r="E172" s="2" t="s">
        <v>5080</v>
      </c>
      <c r="F172" s="2" t="s">
        <v>4734</v>
      </c>
      <c r="G172" s="2" t="b">
        <v>0</v>
      </c>
    </row>
    <row r="173" ht="15.75" customHeight="1">
      <c r="A173" s="2" t="s">
        <v>5081</v>
      </c>
      <c r="B173" s="6">
        <v>46105.91511574074</v>
      </c>
      <c r="C173" s="5" t="s">
        <v>3816</v>
      </c>
      <c r="D173" s="2" t="s">
        <v>599</v>
      </c>
      <c r="E173" s="2" t="s">
        <v>5082</v>
      </c>
      <c r="F173" s="2" t="s">
        <v>4734</v>
      </c>
      <c r="G173" s="2" t="b">
        <v>1</v>
      </c>
    </row>
    <row r="174" ht="15.75" customHeight="1">
      <c r="A174" s="2" t="s">
        <v>5083</v>
      </c>
      <c r="B174" s="6">
        <v>46106.52232638889</v>
      </c>
      <c r="C174" s="5" t="s">
        <v>4699</v>
      </c>
      <c r="D174" s="2" t="s">
        <v>599</v>
      </c>
      <c r="E174" s="2" t="s">
        <v>5084</v>
      </c>
      <c r="F174" s="2" t="s">
        <v>4734</v>
      </c>
      <c r="G174" s="2" t="b">
        <v>0</v>
      </c>
    </row>
    <row r="175" ht="15.75" customHeight="1">
      <c r="A175" s="2" t="s">
        <v>5085</v>
      </c>
      <c r="B175" s="6">
        <v>46106.97111111111</v>
      </c>
      <c r="C175" s="5" t="s">
        <v>4873</v>
      </c>
      <c r="D175" s="2" t="s">
        <v>571</v>
      </c>
      <c r="E175" s="2" t="s">
        <v>5086</v>
      </c>
      <c r="F175" s="2" t="s">
        <v>4718</v>
      </c>
      <c r="G175" s="2" t="b">
        <v>0</v>
      </c>
    </row>
    <row r="176" ht="15.75" customHeight="1">
      <c r="A176" s="2" t="s">
        <v>5087</v>
      </c>
      <c r="B176" s="6">
        <v>46107.505324074074</v>
      </c>
      <c r="C176" s="5" t="s">
        <v>4676</v>
      </c>
      <c r="D176" s="2" t="s">
        <v>599</v>
      </c>
      <c r="E176" s="2" t="s">
        <v>5088</v>
      </c>
      <c r="F176" s="2" t="s">
        <v>4734</v>
      </c>
      <c r="G176" s="2" t="b">
        <v>0</v>
      </c>
    </row>
    <row r="177" ht="15.75" customHeight="1">
      <c r="A177" s="2" t="s">
        <v>5089</v>
      </c>
      <c r="B177" s="6">
        <v>46107.57365740741</v>
      </c>
      <c r="C177" s="5" t="s">
        <v>3816</v>
      </c>
      <c r="D177" s="2" t="s">
        <v>599</v>
      </c>
      <c r="E177" s="2" t="s">
        <v>5090</v>
      </c>
      <c r="F177" s="2" t="s">
        <v>4734</v>
      </c>
      <c r="G177" s="2" t="b">
        <v>0</v>
      </c>
    </row>
    <row r="178" ht="15.75" customHeight="1">
      <c r="A178" s="2" t="s">
        <v>5091</v>
      </c>
      <c r="B178" s="6">
        <v>46107.59793981481</v>
      </c>
      <c r="C178" s="5" t="s">
        <v>4804</v>
      </c>
      <c r="D178" s="2" t="s">
        <v>599</v>
      </c>
      <c r="E178" s="2" t="s">
        <v>5092</v>
      </c>
      <c r="F178" s="2" t="s">
        <v>4734</v>
      </c>
      <c r="G178" s="2" t="b">
        <v>0</v>
      </c>
    </row>
    <row r="179" ht="15.75" customHeight="1">
      <c r="A179" s="2" t="s">
        <v>5093</v>
      </c>
      <c r="B179" s="6">
        <v>46108.65008101852</v>
      </c>
      <c r="C179" s="5" t="s">
        <v>4804</v>
      </c>
      <c r="D179" s="2" t="s">
        <v>599</v>
      </c>
      <c r="E179" s="2" t="s">
        <v>5094</v>
      </c>
      <c r="F179" s="2" t="s">
        <v>4734</v>
      </c>
      <c r="G179" s="2" t="b">
        <v>0</v>
      </c>
    </row>
    <row r="180" ht="15.75" customHeight="1">
      <c r="A180" s="2" t="s">
        <v>5095</v>
      </c>
      <c r="B180" s="6">
        <v>46108.68541666667</v>
      </c>
      <c r="C180" s="5" t="s">
        <v>4676</v>
      </c>
      <c r="D180" s="2" t="s">
        <v>599</v>
      </c>
      <c r="E180" s="2" t="s">
        <v>5096</v>
      </c>
      <c r="F180" s="2" t="s">
        <v>4734</v>
      </c>
      <c r="G180" s="2" t="b">
        <v>0</v>
      </c>
    </row>
    <row r="181" ht="15.75" customHeight="1">
      <c r="A181" s="2" t="s">
        <v>5097</v>
      </c>
      <c r="B181" s="6">
        <v>46109.12657407407</v>
      </c>
      <c r="C181" s="5" t="s">
        <v>4670</v>
      </c>
      <c r="D181" s="2" t="s">
        <v>571</v>
      </c>
      <c r="E181" s="2" t="s">
        <v>5098</v>
      </c>
      <c r="F181" s="2" t="s">
        <v>4718</v>
      </c>
      <c r="G181" s="2" t="b">
        <v>1</v>
      </c>
      <c r="H181" s="2" t="s">
        <v>5099</v>
      </c>
    </row>
    <row r="182" ht="15.75" customHeight="1">
      <c r="A182" s="2" t="s">
        <v>5100</v>
      </c>
      <c r="B182" s="6">
        <v>46109.574421296296</v>
      </c>
      <c r="C182" s="5" t="s">
        <v>4676</v>
      </c>
      <c r="D182" s="2" t="s">
        <v>599</v>
      </c>
      <c r="E182" s="2" t="s">
        <v>5101</v>
      </c>
      <c r="F182" s="2" t="s">
        <v>4734</v>
      </c>
      <c r="G182" s="2" t="b">
        <v>0</v>
      </c>
    </row>
    <row r="183" ht="15.75" customHeight="1">
      <c r="A183" s="2" t="s">
        <v>5102</v>
      </c>
      <c r="B183" s="6">
        <v>46109.635196759256</v>
      </c>
      <c r="C183" s="5" t="s">
        <v>3816</v>
      </c>
      <c r="D183" s="2" t="s">
        <v>599</v>
      </c>
      <c r="E183" s="2" t="s">
        <v>5103</v>
      </c>
      <c r="F183" s="2" t="s">
        <v>4734</v>
      </c>
      <c r="G183" s="2" t="b">
        <v>0</v>
      </c>
    </row>
    <row r="184" ht="15.75" customHeight="1">
      <c r="A184" s="2" t="s">
        <v>5104</v>
      </c>
      <c r="B184" s="6">
        <v>46110.57896990741</v>
      </c>
      <c r="C184" s="5" t="s">
        <v>4804</v>
      </c>
      <c r="D184" s="2" t="s">
        <v>599</v>
      </c>
      <c r="E184" s="2" t="s">
        <v>5105</v>
      </c>
      <c r="F184" s="2" t="s">
        <v>4734</v>
      </c>
      <c r="G184" s="2" t="b">
        <v>0</v>
      </c>
    </row>
    <row r="185" ht="15.75" customHeight="1">
      <c r="A185" s="2" t="s">
        <v>5106</v>
      </c>
      <c r="B185" s="6">
        <v>46111.49930555555</v>
      </c>
      <c r="C185" s="5" t="s">
        <v>4699</v>
      </c>
      <c r="D185" s="2" t="s">
        <v>599</v>
      </c>
      <c r="E185" s="2" t="s">
        <v>5107</v>
      </c>
      <c r="F185" s="2" t="s">
        <v>4734</v>
      </c>
      <c r="G185" s="2" t="b">
        <v>0</v>
      </c>
    </row>
    <row r="186" ht="15.75" customHeight="1">
      <c r="A186" s="2" t="s">
        <v>5108</v>
      </c>
      <c r="B186" s="6">
        <v>46113.55359953704</v>
      </c>
      <c r="C186" s="5" t="s">
        <v>3816</v>
      </c>
      <c r="D186" s="2" t="s">
        <v>599</v>
      </c>
      <c r="E186" s="2" t="s">
        <v>5109</v>
      </c>
      <c r="F186" s="2" t="s">
        <v>4734</v>
      </c>
      <c r="G186" s="2" t="b">
        <v>0</v>
      </c>
    </row>
    <row r="187" ht="15.75" customHeight="1">
      <c r="A187" s="5" t="s">
        <v>5110</v>
      </c>
      <c r="B187" s="6">
        <v>46113.56476851852</v>
      </c>
      <c r="C187" s="5" t="s">
        <v>4804</v>
      </c>
      <c r="D187" s="2" t="s">
        <v>599</v>
      </c>
      <c r="E187" s="2" t="s">
        <v>5111</v>
      </c>
      <c r="F187" s="2" t="s">
        <v>4734</v>
      </c>
      <c r="G187" s="2" t="b">
        <v>0</v>
      </c>
    </row>
    <row r="188" ht="15.75" customHeight="1">
      <c r="A188" s="2" t="s">
        <v>5112</v>
      </c>
      <c r="B188" s="6">
        <v>46113.62431712963</v>
      </c>
      <c r="C188" s="5" t="s">
        <v>4670</v>
      </c>
      <c r="D188" s="2" t="s">
        <v>599</v>
      </c>
      <c r="E188" s="2" t="s">
        <v>5113</v>
      </c>
      <c r="F188" s="2" t="s">
        <v>4734</v>
      </c>
      <c r="G188" s="2" t="b">
        <v>0</v>
      </c>
    </row>
    <row r="189" ht="15.75" customHeight="1">
      <c r="A189" s="2" t="s">
        <v>5114</v>
      </c>
      <c r="B189" s="6">
        <v>46114.05741898148</v>
      </c>
      <c r="C189" s="5" t="s">
        <v>4873</v>
      </c>
      <c r="D189" s="2" t="s">
        <v>571</v>
      </c>
      <c r="E189" s="2" t="s">
        <v>5115</v>
      </c>
      <c r="F189" s="2" t="s">
        <v>4734</v>
      </c>
      <c r="G189" s="2" t="b">
        <v>0</v>
      </c>
    </row>
    <row r="190" ht="15.75" customHeight="1">
      <c r="A190" s="2" t="s">
        <v>5116</v>
      </c>
      <c r="B190" s="6">
        <v>46115.64037037037</v>
      </c>
      <c r="C190" s="5" t="s">
        <v>4804</v>
      </c>
      <c r="D190" s="2" t="s">
        <v>599</v>
      </c>
      <c r="E190" s="2" t="s">
        <v>5117</v>
      </c>
      <c r="F190" s="2" t="s">
        <v>4734</v>
      </c>
      <c r="G190" s="2" t="b">
        <v>0</v>
      </c>
    </row>
    <row r="191" ht="15.75" customHeight="1">
      <c r="A191" s="2" t="s">
        <v>5118</v>
      </c>
      <c r="B191" s="6">
        <v>46116.014085648145</v>
      </c>
      <c r="C191" s="5" t="s">
        <v>4873</v>
      </c>
      <c r="D191" s="2" t="s">
        <v>571</v>
      </c>
      <c r="E191" s="2" t="s">
        <v>5119</v>
      </c>
      <c r="F191" s="2" t="s">
        <v>4734</v>
      </c>
      <c r="G191" s="2" t="b">
        <v>0</v>
      </c>
    </row>
    <row r="192" ht="15.75" customHeight="1">
      <c r="A192" s="2" t="s">
        <v>5120</v>
      </c>
      <c r="B192" s="6">
        <v>46116.63947916667</v>
      </c>
      <c r="C192" s="5" t="s">
        <v>3816</v>
      </c>
      <c r="D192" s="2" t="s">
        <v>599</v>
      </c>
      <c r="E192" s="2" t="s">
        <v>5121</v>
      </c>
      <c r="F192" s="2" t="s">
        <v>4734</v>
      </c>
      <c r="G192" s="2" t="b">
        <v>0</v>
      </c>
    </row>
    <row r="193" ht="15.75" customHeight="1">
      <c r="A193" s="2" t="s">
        <v>5122</v>
      </c>
      <c r="B193" s="6">
        <v>46116.70545138889</v>
      </c>
      <c r="C193" s="5" t="s">
        <v>4699</v>
      </c>
      <c r="D193" s="2" t="s">
        <v>599</v>
      </c>
      <c r="E193" s="2" t="s">
        <v>5123</v>
      </c>
      <c r="F193" s="2" t="s">
        <v>4734</v>
      </c>
      <c r="G193" s="2" t="b">
        <v>0</v>
      </c>
    </row>
    <row r="194" ht="15.75" customHeight="1">
      <c r="A194" s="2" t="s">
        <v>5124</v>
      </c>
      <c r="B194" s="6">
        <v>46117.67289351852</v>
      </c>
      <c r="C194" s="5" t="s">
        <v>4804</v>
      </c>
      <c r="D194" s="2" t="s">
        <v>599</v>
      </c>
      <c r="E194" s="2" t="s">
        <v>5125</v>
      </c>
      <c r="F194" s="2" t="s">
        <v>4734</v>
      </c>
      <c r="G194" s="2" t="b">
        <v>0</v>
      </c>
    </row>
    <row r="195" ht="15.75" customHeight="1">
      <c r="A195" s="2" t="s">
        <v>5126</v>
      </c>
      <c r="B195" s="6">
        <v>46117.83572916667</v>
      </c>
      <c r="C195" s="5" t="s">
        <v>4873</v>
      </c>
      <c r="D195" s="2" t="s">
        <v>571</v>
      </c>
      <c r="E195" s="2" t="s">
        <v>5127</v>
      </c>
      <c r="F195" s="2" t="s">
        <v>4734</v>
      </c>
      <c r="G195" s="2" t="b">
        <v>0</v>
      </c>
    </row>
    <row r="196" ht="15.75" customHeight="1">
      <c r="A196" s="2" t="s">
        <v>5128</v>
      </c>
      <c r="B196" s="6">
        <v>46118.93917824074</v>
      </c>
      <c r="C196" s="2">
        <v>2.510001719E9</v>
      </c>
      <c r="D196" s="2" t="s">
        <v>571</v>
      </c>
      <c r="E196" s="2" t="s">
        <v>5129</v>
      </c>
      <c r="F196" s="2" t="s">
        <v>4734</v>
      </c>
      <c r="G196" s="2" t="b">
        <v>0</v>
      </c>
    </row>
    <row r="197" ht="15.75" customHeight="1">
      <c r="A197" s="2" t="s">
        <v>5130</v>
      </c>
      <c r="B197" s="6">
        <v>46119.16185185185</v>
      </c>
      <c r="C197" s="5" t="s">
        <v>4670</v>
      </c>
      <c r="D197" s="2" t="s">
        <v>571</v>
      </c>
      <c r="E197" s="2" t="s">
        <v>5131</v>
      </c>
      <c r="F197" s="2" t="s">
        <v>4718</v>
      </c>
      <c r="G197" s="2" t="b">
        <v>0</v>
      </c>
    </row>
    <row r="198" ht="15.75" customHeight="1">
      <c r="A198" s="2" t="s">
        <v>5132</v>
      </c>
      <c r="B198" s="6">
        <v>46119.90358796297</v>
      </c>
      <c r="C198" s="2">
        <v>2.510001719E9</v>
      </c>
      <c r="D198" s="2" t="s">
        <v>571</v>
      </c>
      <c r="E198" s="2" t="s">
        <v>5133</v>
      </c>
      <c r="F198" s="2" t="s">
        <v>4718</v>
      </c>
      <c r="G198" s="2" t="b">
        <v>0</v>
      </c>
    </row>
    <row r="199" ht="15.75" customHeight="1">
      <c r="A199" s="2" t="s">
        <v>5134</v>
      </c>
      <c r="B199" s="6">
        <v>46119.84097222222</v>
      </c>
      <c r="C199" s="5" t="s">
        <v>4873</v>
      </c>
      <c r="D199" s="2" t="s">
        <v>571</v>
      </c>
      <c r="E199" s="2" t="s">
        <v>5135</v>
      </c>
      <c r="F199" s="2" t="s">
        <v>4734</v>
      </c>
      <c r="G199" s="2" t="b">
        <v>0</v>
      </c>
    </row>
    <row r="200" ht="15.75" customHeight="1">
      <c r="A200" s="2" t="s">
        <v>5136</v>
      </c>
      <c r="B200" s="6">
        <v>46120.697650462964</v>
      </c>
      <c r="C200" s="5" t="s">
        <v>4804</v>
      </c>
      <c r="D200" s="2" t="s">
        <v>599</v>
      </c>
      <c r="E200" s="2" t="s">
        <v>5137</v>
      </c>
      <c r="F200" s="2" t="s">
        <v>4718</v>
      </c>
      <c r="G200" s="2" t="b">
        <v>0</v>
      </c>
    </row>
    <row r="201" ht="15.75" customHeight="1">
      <c r="A201" s="2" t="s">
        <v>5138</v>
      </c>
      <c r="B201" s="6">
        <v>46120.90369212963</v>
      </c>
      <c r="C201" s="2">
        <v>2.510001719E9</v>
      </c>
      <c r="D201" s="2" t="s">
        <v>571</v>
      </c>
      <c r="E201" s="2" t="s">
        <v>5139</v>
      </c>
      <c r="F201" s="2" t="s">
        <v>4734</v>
      </c>
      <c r="G201" s="2" t="b">
        <v>0</v>
      </c>
    </row>
    <row r="202" ht="15.75" customHeight="1">
      <c r="A202" s="2" t="s">
        <v>5140</v>
      </c>
      <c r="B202" s="6">
        <v>46121.73474537037</v>
      </c>
      <c r="C202" s="5" t="s">
        <v>3816</v>
      </c>
      <c r="D202" s="2" t="s">
        <v>599</v>
      </c>
      <c r="E202" s="2" t="s">
        <v>5141</v>
      </c>
      <c r="F202" s="2" t="s">
        <v>4734</v>
      </c>
      <c r="G202" s="2" t="b">
        <v>0</v>
      </c>
    </row>
    <row r="203" ht="15.75" customHeight="1">
      <c r="A203" s="2" t="s">
        <v>5142</v>
      </c>
      <c r="B203" s="6">
        <v>46122.07638888889</v>
      </c>
      <c r="C203" s="5" t="s">
        <v>4699</v>
      </c>
      <c r="D203" s="2" t="s">
        <v>599</v>
      </c>
      <c r="E203" s="2" t="s">
        <v>5143</v>
      </c>
      <c r="F203" s="2" t="s">
        <v>4734</v>
      </c>
      <c r="G203" s="2" t="b">
        <v>0</v>
      </c>
    </row>
    <row r="204" ht="15.75" customHeight="1">
      <c r="A204" s="2" t="s">
        <v>5144</v>
      </c>
      <c r="B204" s="6">
        <v>46122.6397337963</v>
      </c>
      <c r="C204" s="5" t="s">
        <v>4804</v>
      </c>
      <c r="D204" s="2" t="s">
        <v>599</v>
      </c>
      <c r="E204" s="2" t="s">
        <v>5145</v>
      </c>
      <c r="F204" s="2" t="s">
        <v>4734</v>
      </c>
      <c r="G204" s="2" t="b">
        <v>0</v>
      </c>
    </row>
    <row r="205" ht="15.75" customHeight="1">
      <c r="A205" s="2" t="s">
        <v>5146</v>
      </c>
      <c r="B205" s="6">
        <v>46122.90765046296</v>
      </c>
      <c r="C205" s="5" t="s">
        <v>4873</v>
      </c>
      <c r="D205" s="2" t="s">
        <v>571</v>
      </c>
      <c r="E205" s="2" t="s">
        <v>5147</v>
      </c>
      <c r="F205" s="2" t="s">
        <v>4734</v>
      </c>
      <c r="G205" s="2" t="b">
        <v>0</v>
      </c>
    </row>
    <row r="206" ht="15.75" customHeight="1">
      <c r="A206" s="2" t="s">
        <v>5148</v>
      </c>
      <c r="B206" s="6">
        <v>46124.14434027778</v>
      </c>
      <c r="C206" s="5" t="s">
        <v>4670</v>
      </c>
      <c r="D206" s="2" t="s">
        <v>571</v>
      </c>
      <c r="E206" s="2" t="s">
        <v>5149</v>
      </c>
      <c r="F206" s="2" t="s">
        <v>4734</v>
      </c>
      <c r="G206" s="2" t="b">
        <v>0</v>
      </c>
    </row>
    <row r="207" ht="15.75" customHeight="1">
      <c r="A207" s="2" t="s">
        <v>5150</v>
      </c>
      <c r="B207" s="6">
        <v>46124.64040509259</v>
      </c>
      <c r="C207" s="5" t="s">
        <v>4804</v>
      </c>
      <c r="D207" s="2" t="s">
        <v>599</v>
      </c>
      <c r="E207" s="2" t="s">
        <v>5151</v>
      </c>
      <c r="F207" s="2" t="s">
        <v>4718</v>
      </c>
      <c r="G207" s="2" t="b">
        <v>0</v>
      </c>
    </row>
    <row r="208" ht="15.75" customHeight="1">
      <c r="A208" s="2" t="s">
        <v>5152</v>
      </c>
      <c r="B208" s="6">
        <v>46124.66458333333</v>
      </c>
      <c r="C208" s="5" t="s">
        <v>3816</v>
      </c>
      <c r="D208" s="2" t="s">
        <v>599</v>
      </c>
      <c r="E208" s="2" t="s">
        <v>5153</v>
      </c>
      <c r="F208" s="2" t="s">
        <v>4734</v>
      </c>
      <c r="G208" s="2" t="b">
        <v>1</v>
      </c>
      <c r="H208" s="11" t="s">
        <v>5154</v>
      </c>
    </row>
    <row r="209" ht="15.75" customHeight="1">
      <c r="A209" s="2" t="s">
        <v>5155</v>
      </c>
      <c r="B209" s="6">
        <v>46123.01111111111</v>
      </c>
      <c r="C209" s="5" t="s">
        <v>4873</v>
      </c>
      <c r="D209" s="2" t="s">
        <v>571</v>
      </c>
      <c r="E209" s="2" t="s">
        <v>5156</v>
      </c>
      <c r="F209" s="2" t="s">
        <v>4734</v>
      </c>
      <c r="G209" s="2" t="b">
        <v>0</v>
      </c>
    </row>
    <row r="210" ht="15.75" customHeight="1">
      <c r="A210" s="2" t="s">
        <v>5157</v>
      </c>
      <c r="B210" s="6">
        <v>46124.970138888886</v>
      </c>
      <c r="C210" s="5" t="s">
        <v>4873</v>
      </c>
      <c r="D210" s="2" t="s">
        <v>571</v>
      </c>
      <c r="E210" s="2" t="s">
        <v>5158</v>
      </c>
      <c r="F210" s="2" t="s">
        <v>4734</v>
      </c>
      <c r="G210" s="2" t="b">
        <v>0</v>
      </c>
    </row>
    <row r="211" ht="15.75" customHeight="1">
      <c r="A211" s="2" t="s">
        <v>5159</v>
      </c>
      <c r="B211" s="6">
        <v>46125.0125</v>
      </c>
      <c r="C211" s="2">
        <v>2.510001719E9</v>
      </c>
      <c r="D211" s="2" t="s">
        <v>571</v>
      </c>
      <c r="E211" s="2" t="s">
        <v>5160</v>
      </c>
      <c r="F211" s="2" t="s">
        <v>4718</v>
      </c>
      <c r="G211" s="2" t="b">
        <v>0</v>
      </c>
    </row>
    <row r="212" ht="15.75" customHeight="1">
      <c r="A212" s="2" t="s">
        <v>5161</v>
      </c>
      <c r="B212" s="6">
        <v>46125.92986111111</v>
      </c>
      <c r="C212" s="2">
        <v>2.510001719E9</v>
      </c>
      <c r="D212" s="2" t="s">
        <v>571</v>
      </c>
      <c r="E212" s="2" t="s">
        <v>5162</v>
      </c>
      <c r="F212" s="2" t="s">
        <v>4734</v>
      </c>
      <c r="G212" s="2" t="b">
        <v>0</v>
      </c>
    </row>
    <row r="213" ht="15.75" customHeight="1">
      <c r="A213" s="2" t="s">
        <v>5163</v>
      </c>
      <c r="B213" s="6">
        <v>46126.847916666666</v>
      </c>
      <c r="C213" s="5" t="s">
        <v>4873</v>
      </c>
      <c r="D213" s="2" t="s">
        <v>571</v>
      </c>
      <c r="E213" s="2" t="s">
        <v>5164</v>
      </c>
      <c r="F213" s="2" t="s">
        <v>4734</v>
      </c>
      <c r="G213" s="2" t="b">
        <v>0</v>
      </c>
    </row>
    <row r="214" ht="15.75" customHeight="1">
      <c r="A214" s="2" t="s">
        <v>5165</v>
      </c>
      <c r="B214" s="6">
        <v>46127.097708333335</v>
      </c>
      <c r="C214" s="5" t="s">
        <v>4699</v>
      </c>
      <c r="D214" s="2" t="s">
        <v>599</v>
      </c>
      <c r="E214" s="2" t="s">
        <v>5166</v>
      </c>
      <c r="F214" s="2" t="s">
        <v>4718</v>
      </c>
      <c r="G214" s="2" t="b">
        <v>0</v>
      </c>
    </row>
    <row r="215" ht="15.75" customHeight="1">
      <c r="A215" s="2" t="s">
        <v>5167</v>
      </c>
      <c r="B215" s="6">
        <v>46128.04525462963</v>
      </c>
      <c r="C215" s="5" t="s">
        <v>4670</v>
      </c>
      <c r="D215" s="2" t="s">
        <v>599</v>
      </c>
      <c r="E215" s="2" t="s">
        <v>5168</v>
      </c>
      <c r="F215" s="2" t="s">
        <v>4718</v>
      </c>
      <c r="G215" s="2" t="b">
        <v>1</v>
      </c>
      <c r="H215" s="11" t="s">
        <v>4745</v>
      </c>
    </row>
    <row r="216" ht="15.75" customHeight="1">
      <c r="A216" s="2" t="s">
        <v>5169</v>
      </c>
      <c r="B216" s="6">
        <v>46128.09719907407</v>
      </c>
      <c r="C216" s="2">
        <v>2.510001719E9</v>
      </c>
      <c r="D216" s="2" t="s">
        <v>571</v>
      </c>
      <c r="E216" s="2" t="s">
        <v>5170</v>
      </c>
      <c r="F216" s="2" t="s">
        <v>4734</v>
      </c>
      <c r="G216" s="2" t="b">
        <v>0</v>
      </c>
    </row>
    <row r="217" ht="15.75" customHeight="1">
      <c r="A217" s="2" t="s">
        <v>5171</v>
      </c>
      <c r="B217" s="6">
        <v>46127.84722222222</v>
      </c>
      <c r="C217" s="5" t="s">
        <v>4873</v>
      </c>
      <c r="D217" s="2" t="s">
        <v>571</v>
      </c>
      <c r="E217" s="2" t="s">
        <v>5172</v>
      </c>
      <c r="F217" s="2" t="s">
        <v>4734</v>
      </c>
      <c r="G217" s="2" t="b">
        <v>0</v>
      </c>
    </row>
    <row r="218" ht="15.75" customHeight="1">
      <c r="A218" s="2" t="s">
        <v>5173</v>
      </c>
      <c r="B218" s="6">
        <v>46128.81972222222</v>
      </c>
      <c r="C218" s="5" t="s">
        <v>4804</v>
      </c>
      <c r="D218" s="2" t="s">
        <v>599</v>
      </c>
      <c r="E218" s="2" t="s">
        <v>5174</v>
      </c>
      <c r="F218" s="2" t="s">
        <v>4718</v>
      </c>
      <c r="G218" s="2" t="b">
        <v>0</v>
      </c>
    </row>
    <row r="219" ht="15.75" customHeight="1">
      <c r="A219" s="2" t="s">
        <v>5175</v>
      </c>
      <c r="B219" s="6">
        <v>46129.74712962963</v>
      </c>
      <c r="C219" s="5" t="s">
        <v>3816</v>
      </c>
      <c r="D219" s="2" t="s">
        <v>599</v>
      </c>
      <c r="E219" s="2" t="s">
        <v>5176</v>
      </c>
      <c r="F219" s="2" t="s">
        <v>4734</v>
      </c>
      <c r="G219" s="2" t="b">
        <v>0</v>
      </c>
    </row>
    <row r="220" ht="15.75" customHeight="1">
      <c r="A220" s="2" t="s">
        <v>5177</v>
      </c>
      <c r="B220" s="6">
        <v>46130.07056712963</v>
      </c>
      <c r="C220" s="2">
        <v>2.510001719E9</v>
      </c>
      <c r="D220" s="2" t="s">
        <v>571</v>
      </c>
      <c r="E220" s="2" t="s">
        <v>5178</v>
      </c>
      <c r="F220" s="2" t="s">
        <v>4734</v>
      </c>
      <c r="G220" s="2" t="b">
        <v>0</v>
      </c>
    </row>
    <row r="221" ht="15.75" customHeight="1">
      <c r="A221" s="2" t="s">
        <v>5179</v>
      </c>
      <c r="B221" s="6">
        <v>46130.80763888889</v>
      </c>
      <c r="C221" s="5" t="s">
        <v>4873</v>
      </c>
      <c r="D221" s="2" t="s">
        <v>571</v>
      </c>
      <c r="E221" s="2" t="s">
        <v>5180</v>
      </c>
      <c r="F221" s="2" t="s">
        <v>4734</v>
      </c>
      <c r="G221" s="2" t="b">
        <v>0</v>
      </c>
    </row>
    <row r="222" ht="15.75" customHeight="1">
      <c r="A222" s="2" t="s">
        <v>5181</v>
      </c>
      <c r="B222" s="6">
        <v>46131.05912037037</v>
      </c>
      <c r="C222" s="2">
        <v>2.510001719E9</v>
      </c>
      <c r="D222" s="2" t="s">
        <v>571</v>
      </c>
      <c r="E222" s="2" t="s">
        <v>5182</v>
      </c>
      <c r="F222" s="2" t="s">
        <v>4734</v>
      </c>
      <c r="G222" s="2" t="b">
        <v>1</v>
      </c>
    </row>
    <row r="223" ht="15.75" customHeight="1">
      <c r="A223" s="2" t="s">
        <v>5183</v>
      </c>
      <c r="B223" s="6">
        <v>46129.76736111111</v>
      </c>
      <c r="C223" s="5" t="s">
        <v>4873</v>
      </c>
      <c r="D223" s="2" t="s">
        <v>571</v>
      </c>
      <c r="E223" s="2" t="s">
        <v>5184</v>
      </c>
      <c r="F223" s="2" t="s">
        <v>4734</v>
      </c>
      <c r="G223" s="2" t="b">
        <v>0</v>
      </c>
    </row>
    <row r="224" ht="15.75" customHeight="1">
      <c r="A224" s="2" t="s">
        <v>5185</v>
      </c>
      <c r="B224" s="6">
        <v>46131.76696759259</v>
      </c>
      <c r="C224" s="5" t="s">
        <v>4804</v>
      </c>
      <c r="D224" s="2" t="s">
        <v>599</v>
      </c>
      <c r="E224" s="2" t="s">
        <v>5186</v>
      </c>
      <c r="F224" s="2" t="s">
        <v>4734</v>
      </c>
      <c r="G224" s="2" t="b">
        <v>0</v>
      </c>
    </row>
    <row r="225" ht="15.75" customHeight="1">
      <c r="A225" s="2" t="s">
        <v>5187</v>
      </c>
      <c r="B225" s="6">
        <v>46131.767175925925</v>
      </c>
      <c r="C225" s="5" t="s">
        <v>3816</v>
      </c>
      <c r="D225" s="2" t="s">
        <v>599</v>
      </c>
      <c r="E225" s="2" t="s">
        <v>5188</v>
      </c>
      <c r="F225" s="2" t="s">
        <v>4734</v>
      </c>
      <c r="G225" s="2" t="b">
        <v>0</v>
      </c>
    </row>
    <row r="226" ht="15.75" customHeight="1">
      <c r="A226" s="2" t="s">
        <v>5189</v>
      </c>
      <c r="B226" s="6">
        <v>46132.015439814815</v>
      </c>
      <c r="C226" s="5" t="s">
        <v>4699</v>
      </c>
      <c r="D226" s="2" t="s">
        <v>599</v>
      </c>
      <c r="E226" s="2" t="s">
        <v>5190</v>
      </c>
      <c r="F226" s="2" t="s">
        <v>4734</v>
      </c>
      <c r="G226" s="2" t="b">
        <v>0</v>
      </c>
    </row>
    <row r="227" ht="15.75" customHeight="1">
      <c r="A227" s="2" t="s">
        <v>5191</v>
      </c>
      <c r="B227" s="6">
        <v>46132.103055555555</v>
      </c>
      <c r="C227" s="2">
        <v>2.510001719E9</v>
      </c>
      <c r="D227" s="2" t="s">
        <v>571</v>
      </c>
      <c r="E227" s="2" t="s">
        <v>5192</v>
      </c>
      <c r="F227" s="2" t="s">
        <v>4734</v>
      </c>
      <c r="G227" s="2" t="b">
        <v>0</v>
      </c>
    </row>
    <row r="228" ht="15.75" customHeight="1">
      <c r="A228" s="2" t="s">
        <v>5193</v>
      </c>
      <c r="B228" s="6">
        <v>46131.83611111111</v>
      </c>
      <c r="C228" s="5" t="s">
        <v>4873</v>
      </c>
      <c r="D228" s="2" t="s">
        <v>571</v>
      </c>
      <c r="E228" s="2" t="s">
        <v>5194</v>
      </c>
      <c r="F228" s="2" t="s">
        <v>4734</v>
      </c>
      <c r="G228" s="2" t="b">
        <v>0</v>
      </c>
    </row>
    <row r="229" ht="15.75" customHeight="1">
      <c r="A229" s="2" t="s">
        <v>5195</v>
      </c>
      <c r="B229" s="6">
        <v>46132.85138888889</v>
      </c>
      <c r="C229" s="5" t="s">
        <v>4873</v>
      </c>
      <c r="D229" s="2" t="s">
        <v>571</v>
      </c>
      <c r="E229" s="2" t="s">
        <v>5196</v>
      </c>
      <c r="F229" s="2" t="s">
        <v>4734</v>
      </c>
      <c r="G229" s="2" t="b">
        <v>0</v>
      </c>
    </row>
    <row r="230" ht="15.75" customHeight="1">
      <c r="A230" s="2" t="s">
        <v>5197</v>
      </c>
      <c r="B230" s="6">
        <v>46132.93472222222</v>
      </c>
      <c r="C230" s="2">
        <v>2.510001719E9</v>
      </c>
      <c r="D230" s="2" t="s">
        <v>571</v>
      </c>
      <c r="E230" s="2" t="s">
        <v>5198</v>
      </c>
      <c r="F230" s="2" t="s">
        <v>4734</v>
      </c>
      <c r="G230" s="2" t="b">
        <v>0</v>
      </c>
    </row>
    <row r="231" ht="15.75" customHeight="1">
      <c r="A231" s="5" t="s">
        <v>5199</v>
      </c>
      <c r="B231" s="6">
        <v>46134.51394675926</v>
      </c>
      <c r="C231" s="5" t="s">
        <v>4804</v>
      </c>
      <c r="D231" s="2" t="s">
        <v>599</v>
      </c>
      <c r="E231" s="2" t="s">
        <v>5200</v>
      </c>
      <c r="F231" s="2" t="s">
        <v>4734</v>
      </c>
      <c r="G231" s="2" t="b">
        <v>0</v>
      </c>
    </row>
    <row r="232" ht="15.75" customHeight="1">
      <c r="A232" s="2" t="s">
        <v>5201</v>
      </c>
      <c r="B232" s="6">
        <v>46134.97381944444</v>
      </c>
      <c r="C232" s="5" t="s">
        <v>4670</v>
      </c>
      <c r="D232" s="2" t="s">
        <v>599</v>
      </c>
      <c r="E232" s="2" t="s">
        <v>5202</v>
      </c>
      <c r="F232" s="2" t="s">
        <v>4734</v>
      </c>
      <c r="G232" s="2" t="b">
        <v>0</v>
      </c>
    </row>
    <row r="233" ht="15.75" customHeight="1">
      <c r="A233" s="2" t="s">
        <v>5203</v>
      </c>
      <c r="B233" s="6">
        <v>46137.06180555555</v>
      </c>
      <c r="C233" s="2">
        <v>2.510001719E9</v>
      </c>
      <c r="D233" s="2" t="s">
        <v>5204</v>
      </c>
      <c r="E233" s="2" t="s">
        <v>5205</v>
      </c>
      <c r="F233" s="2" t="s">
        <v>4734</v>
      </c>
      <c r="G233" s="2" t="b">
        <v>0</v>
      </c>
    </row>
    <row r="234" ht="15.75" customHeight="1">
      <c r="A234" s="2" t="s">
        <v>5206</v>
      </c>
      <c r="B234" s="6">
        <v>46136.68472222222</v>
      </c>
      <c r="C234" s="5" t="s">
        <v>4804</v>
      </c>
      <c r="D234" s="2" t="s">
        <v>599</v>
      </c>
      <c r="E234" s="2" t="s">
        <v>5207</v>
      </c>
      <c r="F234" s="2" t="s">
        <v>4734</v>
      </c>
      <c r="G234" s="2" t="b">
        <v>0</v>
      </c>
    </row>
    <row r="235" ht="15.75" customHeight="1">
      <c r="A235" s="2" t="s">
        <v>5208</v>
      </c>
      <c r="B235" s="6">
        <v>46136.68472222222</v>
      </c>
      <c r="C235" s="5" t="s">
        <v>3816</v>
      </c>
      <c r="D235" s="2" t="s">
        <v>599</v>
      </c>
      <c r="E235" s="2" t="s">
        <v>5209</v>
      </c>
      <c r="F235" s="2" t="s">
        <v>4734</v>
      </c>
      <c r="G235" s="2" t="b">
        <v>0</v>
      </c>
    </row>
    <row r="236" ht="15.75" customHeight="1">
      <c r="A236" s="2" t="s">
        <v>5210</v>
      </c>
      <c r="B236" s="6">
        <v>46137.829618055555</v>
      </c>
      <c r="C236" s="5" t="s">
        <v>4873</v>
      </c>
      <c r="D236" s="2" t="s">
        <v>571</v>
      </c>
      <c r="E236" s="2" t="s">
        <v>5211</v>
      </c>
      <c r="F236" s="2" t="s">
        <v>4734</v>
      </c>
      <c r="G236" s="2" t="b">
        <v>0</v>
      </c>
    </row>
    <row r="237" ht="15.75" customHeight="1">
      <c r="A237" s="2"/>
      <c r="B237" s="6"/>
      <c r="C237" s="2"/>
      <c r="D237" s="2"/>
      <c r="E237" s="2"/>
      <c r="F237" s="2"/>
      <c r="G237" s="2"/>
    </row>
    <row r="238" ht="15.75" customHeight="1">
      <c r="A238" s="2" t="s">
        <v>5212</v>
      </c>
      <c r="B238" s="6">
        <v>46138.06875</v>
      </c>
      <c r="C238" s="5" t="s">
        <v>4670</v>
      </c>
      <c r="D238" s="2" t="s">
        <v>571</v>
      </c>
      <c r="E238" s="2" t="s">
        <v>5213</v>
      </c>
      <c r="F238" s="2" t="s">
        <v>4734</v>
      </c>
      <c r="G238" s="2" t="b">
        <v>0</v>
      </c>
    </row>
    <row r="239" ht="15.75" customHeight="1">
      <c r="A239" s="2" t="s">
        <v>5214</v>
      </c>
      <c r="B239" s="6">
        <v>46138.20416666667</v>
      </c>
      <c r="C239" s="2">
        <v>2.510001719E9</v>
      </c>
      <c r="D239" s="2" t="s">
        <v>571</v>
      </c>
      <c r="E239" s="2" t="s">
        <v>5215</v>
      </c>
      <c r="F239" s="2" t="s">
        <v>4718</v>
      </c>
      <c r="G239" s="2" t="b">
        <v>1</v>
      </c>
      <c r="H239" s="2" t="s">
        <v>5099</v>
      </c>
    </row>
    <row r="240" ht="15.75" customHeight="1">
      <c r="A240" s="2" t="s">
        <v>5216</v>
      </c>
      <c r="B240" s="6">
        <v>46138.802083333336</v>
      </c>
      <c r="C240" s="5" t="s">
        <v>4873</v>
      </c>
      <c r="D240" s="2" t="s">
        <v>571</v>
      </c>
      <c r="E240" s="2" t="s">
        <v>5217</v>
      </c>
      <c r="F240" s="2" t="s">
        <v>4734</v>
      </c>
      <c r="G240" s="2" t="b">
        <v>0</v>
      </c>
    </row>
    <row r="241" ht="15.75" customHeight="1">
      <c r="A241" s="2" t="s">
        <v>5218</v>
      </c>
      <c r="B241" s="6">
        <v>46139.052083333336</v>
      </c>
      <c r="C241" s="2">
        <v>2.510001719E9</v>
      </c>
      <c r="D241" s="2" t="s">
        <v>571</v>
      </c>
      <c r="E241" s="2" t="s">
        <v>5219</v>
      </c>
      <c r="F241" s="2" t="s">
        <v>4734</v>
      </c>
      <c r="G241" s="2" t="b">
        <v>0</v>
      </c>
    </row>
    <row r="242" ht="15.75" customHeight="1">
      <c r="A242" s="2" t="s">
        <v>5220</v>
      </c>
      <c r="B242" s="6">
        <v>46139.502175925925</v>
      </c>
      <c r="C242" s="5" t="s">
        <v>4804</v>
      </c>
      <c r="D242" s="2" t="s">
        <v>599</v>
      </c>
      <c r="E242" s="2" t="s">
        <v>5221</v>
      </c>
      <c r="F242" s="2" t="s">
        <v>4734</v>
      </c>
      <c r="G242" s="2" t="b">
        <v>0</v>
      </c>
    </row>
    <row r="243" ht="15.75" customHeight="1">
      <c r="A243" s="2" t="s">
        <v>5222</v>
      </c>
      <c r="B243" s="6">
        <v>46139.95763888889</v>
      </c>
      <c r="C243" s="2">
        <v>2.510001719E9</v>
      </c>
      <c r="D243" s="2" t="s">
        <v>571</v>
      </c>
      <c r="E243" s="2" t="s">
        <v>5223</v>
      </c>
      <c r="F243" s="2" t="s">
        <v>4734</v>
      </c>
      <c r="G243" s="2" t="b">
        <v>1</v>
      </c>
      <c r="H243" s="2" t="s">
        <v>5099</v>
      </c>
    </row>
    <row r="244" ht="15.75" customHeight="1">
      <c r="A244" s="2" t="s">
        <v>5224</v>
      </c>
      <c r="B244" s="6">
        <v>46139.833333333336</v>
      </c>
      <c r="C244" s="5" t="s">
        <v>4873</v>
      </c>
      <c r="D244" s="2" t="s">
        <v>571</v>
      </c>
      <c r="E244" s="2" t="s">
        <v>5225</v>
      </c>
      <c r="F244" s="2" t="s">
        <v>4734</v>
      </c>
      <c r="G244" s="2" t="b">
        <v>0</v>
      </c>
    </row>
    <row r="245" ht="15.75" customHeight="1">
      <c r="A245" s="2" t="s">
        <v>5226</v>
      </c>
      <c r="B245" s="6">
        <v>46141.084027777775</v>
      </c>
      <c r="C245" s="5" t="s">
        <v>4670</v>
      </c>
      <c r="D245" s="2" t="s">
        <v>571</v>
      </c>
      <c r="E245" s="2" t="s">
        <v>5227</v>
      </c>
      <c r="F245" s="2" t="s">
        <v>4734</v>
      </c>
      <c r="G245" s="2" t="b">
        <v>0</v>
      </c>
    </row>
    <row r="246" ht="15.75" customHeight="1">
      <c r="A246" s="2" t="s">
        <v>5228</v>
      </c>
      <c r="B246" s="6">
        <v>46140.84583333333</v>
      </c>
      <c r="C246" s="5" t="s">
        <v>4873</v>
      </c>
      <c r="D246" s="2" t="s">
        <v>571</v>
      </c>
      <c r="E246" s="2" t="s">
        <v>5229</v>
      </c>
      <c r="F246" s="2" t="s">
        <v>4734</v>
      </c>
      <c r="G246" s="2" t="b">
        <v>0</v>
      </c>
    </row>
    <row r="247" ht="15.75" customHeight="1">
      <c r="A247" s="2" t="s">
        <v>5230</v>
      </c>
      <c r="B247" s="6">
        <v>46142.66805555556</v>
      </c>
      <c r="C247" s="5" t="s">
        <v>3816</v>
      </c>
      <c r="D247" s="2" t="s">
        <v>571</v>
      </c>
      <c r="E247" s="2" t="s">
        <v>5231</v>
      </c>
      <c r="F247" s="2" t="s">
        <v>4734</v>
      </c>
      <c r="G247" s="2" t="b">
        <v>0</v>
      </c>
    </row>
    <row r="248" ht="15.75" customHeight="1">
      <c r="A248" s="2" t="s">
        <v>5232</v>
      </c>
      <c r="B248" s="6">
        <v>46142.709027777775</v>
      </c>
      <c r="C248" s="5" t="s">
        <v>4804</v>
      </c>
      <c r="D248" s="2" t="s">
        <v>571</v>
      </c>
      <c r="E248" s="2" t="s">
        <v>5233</v>
      </c>
      <c r="F248" s="2" t="s">
        <v>4734</v>
      </c>
      <c r="G248" s="2" t="b">
        <v>0</v>
      </c>
    </row>
    <row r="249" ht="15.75" customHeight="1">
      <c r="A249" s="2" t="s">
        <v>5234</v>
      </c>
      <c r="B249" s="6">
        <v>46143.54263888889</v>
      </c>
      <c r="C249" s="5" t="s">
        <v>4804</v>
      </c>
      <c r="D249" s="2" t="s">
        <v>571</v>
      </c>
      <c r="E249" s="2" t="s">
        <v>5235</v>
      </c>
      <c r="F249" s="2" t="s">
        <v>4734</v>
      </c>
      <c r="G249" s="2" t="b">
        <v>0</v>
      </c>
    </row>
    <row r="250" ht="15.75" customHeight="1">
      <c r="A250" s="2" t="s">
        <v>5236</v>
      </c>
      <c r="B250" s="6">
        <v>46143.54293981481</v>
      </c>
      <c r="C250" s="5" t="s">
        <v>4699</v>
      </c>
      <c r="D250" s="2" t="s">
        <v>571</v>
      </c>
      <c r="E250" s="2" t="s">
        <v>5237</v>
      </c>
      <c r="F250" s="2" t="s">
        <v>4734</v>
      </c>
      <c r="G250" s="2" t="b">
        <v>0</v>
      </c>
    </row>
    <row r="251" ht="15.75" customHeight="1">
      <c r="A251" s="2" t="s">
        <v>5238</v>
      </c>
      <c r="B251" s="6">
        <v>46143.60292824074</v>
      </c>
      <c r="C251" s="5" t="s">
        <v>4670</v>
      </c>
      <c r="D251" s="2" t="s">
        <v>571</v>
      </c>
      <c r="E251" s="2" t="s">
        <v>5239</v>
      </c>
      <c r="F251" s="2" t="s">
        <v>4718</v>
      </c>
      <c r="G251" s="2" t="b">
        <v>0</v>
      </c>
    </row>
    <row r="252" ht="15.75" customHeight="1">
      <c r="A252" s="5" t="s">
        <v>5240</v>
      </c>
      <c r="B252" s="6">
        <v>46144.14287037037</v>
      </c>
      <c r="C252" s="2">
        <v>2.510001719E9</v>
      </c>
      <c r="D252" s="2" t="s">
        <v>571</v>
      </c>
      <c r="E252" s="2" t="s">
        <v>5241</v>
      </c>
      <c r="F252" s="2" t="s">
        <v>4718</v>
      </c>
      <c r="G252" s="2" t="b">
        <v>0</v>
      </c>
    </row>
    <row r="253" ht="15.75" customHeight="1">
      <c r="A253" s="2" t="s">
        <v>5242</v>
      </c>
      <c r="B253" s="6">
        <v>46144.916354166664</v>
      </c>
      <c r="C253" s="5" t="s">
        <v>4873</v>
      </c>
      <c r="D253" s="2" t="s">
        <v>571</v>
      </c>
      <c r="E253" s="2" t="s">
        <v>5243</v>
      </c>
      <c r="F253" s="2" t="s">
        <v>4734</v>
      </c>
      <c r="G253" s="2" t="b">
        <v>0</v>
      </c>
    </row>
    <row r="254" ht="15.75" customHeight="1">
      <c r="A254" s="2" t="s">
        <v>5244</v>
      </c>
      <c r="B254" s="6">
        <v>46144.95295138889</v>
      </c>
      <c r="C254" s="2">
        <v>2.510001719E9</v>
      </c>
      <c r="D254" s="2" t="s">
        <v>571</v>
      </c>
      <c r="E254" s="2" t="s">
        <v>5245</v>
      </c>
      <c r="F254" s="2" t="s">
        <v>4718</v>
      </c>
      <c r="G254" s="2" t="b">
        <v>0</v>
      </c>
    </row>
    <row r="255" ht="15.75" customHeight="1">
      <c r="A255" s="2" t="s">
        <v>5246</v>
      </c>
      <c r="B255" s="6">
        <v>46146.09600694444</v>
      </c>
      <c r="C255" s="2">
        <v>2.510001719E9</v>
      </c>
      <c r="D255" s="2" t="s">
        <v>571</v>
      </c>
      <c r="E255" s="2" t="s">
        <v>5247</v>
      </c>
      <c r="F255" s="2" t="s">
        <v>4734</v>
      </c>
      <c r="G255" s="2" t="b">
        <v>1</v>
      </c>
    </row>
    <row r="256" ht="15.75" customHeight="1">
      <c r="A256" s="2" t="s">
        <v>5248</v>
      </c>
      <c r="B256" s="6">
        <v>46146.05416666667</v>
      </c>
      <c r="C256" s="5" t="s">
        <v>4670</v>
      </c>
      <c r="D256" s="2" t="s">
        <v>571</v>
      </c>
      <c r="E256" s="2" t="s">
        <v>5249</v>
      </c>
      <c r="F256" s="2" t="s">
        <v>4734</v>
      </c>
      <c r="G256" s="2" t="b">
        <v>1</v>
      </c>
      <c r="H256" s="11" t="s">
        <v>5250</v>
      </c>
    </row>
    <row r="257" ht="15.75" customHeight="1">
      <c r="A257" s="2" t="s">
        <v>5251</v>
      </c>
      <c r="B257" s="6">
        <v>46145.89166666667</v>
      </c>
      <c r="C257" s="5" t="s">
        <v>4873</v>
      </c>
      <c r="D257" s="2" t="s">
        <v>571</v>
      </c>
      <c r="E257" s="2" t="s">
        <v>5252</v>
      </c>
      <c r="F257" s="2" t="s">
        <v>4734</v>
      </c>
      <c r="G257" s="2" t="b">
        <v>0</v>
      </c>
    </row>
    <row r="258" ht="15.75" customHeight="1">
      <c r="A258" s="2" t="s">
        <v>5253</v>
      </c>
      <c r="B258" s="6">
        <v>46147.00471064815</v>
      </c>
      <c r="C258" s="5" t="s">
        <v>4990</v>
      </c>
      <c r="D258" s="2" t="s">
        <v>571</v>
      </c>
      <c r="E258" s="2" t="s">
        <v>5254</v>
      </c>
      <c r="F258" s="2" t="s">
        <v>4718</v>
      </c>
      <c r="G258" s="2" t="b">
        <v>1</v>
      </c>
      <c r="H258" s="2" t="s">
        <v>5099</v>
      </c>
    </row>
    <row r="259" ht="15.75" customHeight="1">
      <c r="A259" s="2" t="s">
        <v>5255</v>
      </c>
      <c r="B259" s="6">
        <v>46147.50582175926</v>
      </c>
      <c r="C259" s="5" t="s">
        <v>4804</v>
      </c>
      <c r="D259" s="2" t="s">
        <v>571</v>
      </c>
      <c r="E259" s="2" t="s">
        <v>5256</v>
      </c>
      <c r="F259" s="2" t="s">
        <v>4734</v>
      </c>
      <c r="G259" s="2" t="b">
        <v>0</v>
      </c>
    </row>
    <row r="260" ht="15.75" customHeight="1">
      <c r="A260" s="2" t="s">
        <v>5257</v>
      </c>
      <c r="B260" s="6">
        <v>46148.016238425924</v>
      </c>
      <c r="C260" s="5" t="s">
        <v>4873</v>
      </c>
      <c r="D260" s="2" t="s">
        <v>571</v>
      </c>
      <c r="E260" s="2" t="s">
        <v>5258</v>
      </c>
      <c r="F260" s="2" t="s">
        <v>4734</v>
      </c>
      <c r="G260" s="2" t="b">
        <v>0</v>
      </c>
    </row>
    <row r="261" ht="15.75" customHeight="1">
      <c r="A261" s="2" t="s">
        <v>5259</v>
      </c>
      <c r="B261" s="6">
        <v>46148.04578703704</v>
      </c>
      <c r="C261" s="5" t="s">
        <v>4990</v>
      </c>
      <c r="D261" s="2" t="s">
        <v>571</v>
      </c>
      <c r="E261" s="2" t="s">
        <v>5260</v>
      </c>
      <c r="F261" s="2" t="s">
        <v>4718</v>
      </c>
      <c r="G261" s="2" t="b">
        <v>0</v>
      </c>
    </row>
    <row r="262" ht="15.75" customHeight="1">
      <c r="A262" s="2" t="s">
        <v>5261</v>
      </c>
      <c r="B262" s="6">
        <v>46148.92591435185</v>
      </c>
      <c r="C262" s="5" t="s">
        <v>4699</v>
      </c>
      <c r="D262" s="2" t="s">
        <v>599</v>
      </c>
      <c r="E262" s="2" t="s">
        <v>5262</v>
      </c>
      <c r="F262" s="2" t="s">
        <v>4734</v>
      </c>
      <c r="G262" s="2" t="b">
        <v>0</v>
      </c>
    </row>
    <row r="263" ht="15.75" customHeight="1">
      <c r="A263" s="2" t="s">
        <v>5263</v>
      </c>
      <c r="B263" s="6">
        <v>46148.927083333336</v>
      </c>
      <c r="C263" s="5" t="s">
        <v>4990</v>
      </c>
      <c r="D263" s="2" t="s">
        <v>571</v>
      </c>
      <c r="E263" s="2" t="s">
        <v>5264</v>
      </c>
      <c r="F263" s="2" t="s">
        <v>4718</v>
      </c>
      <c r="G263" s="2" t="b">
        <v>0</v>
      </c>
    </row>
    <row r="264" ht="15.75" customHeight="1">
      <c r="A264" s="2" t="s">
        <v>5265</v>
      </c>
      <c r="B264" s="6">
        <v>46149.63055555556</v>
      </c>
      <c r="C264" s="5" t="s">
        <v>4804</v>
      </c>
      <c r="D264" s="2" t="s">
        <v>599</v>
      </c>
      <c r="E264" s="2" t="s">
        <v>5266</v>
      </c>
      <c r="F264" s="2" t="s">
        <v>4734</v>
      </c>
      <c r="G264" s="2" t="b">
        <v>0</v>
      </c>
    </row>
    <row r="265" ht="15.75" customHeight="1">
      <c r="A265" s="2" t="s">
        <v>5267</v>
      </c>
      <c r="B265" s="6">
        <v>46150.64412037037</v>
      </c>
      <c r="C265" s="5" t="s">
        <v>4804</v>
      </c>
      <c r="D265" s="2" t="s">
        <v>599</v>
      </c>
      <c r="E265" s="2" t="s">
        <v>5268</v>
      </c>
      <c r="F265" s="2" t="s">
        <v>4734</v>
      </c>
      <c r="G265" s="2" t="b">
        <v>0</v>
      </c>
    </row>
    <row r="266" ht="15.75" customHeight="1">
      <c r="A266" s="2" t="s">
        <v>5269</v>
      </c>
      <c r="B266" s="6">
        <v>46150.657175925924</v>
      </c>
      <c r="C266" s="5" t="s">
        <v>3816</v>
      </c>
      <c r="D266" s="2" t="s">
        <v>599</v>
      </c>
      <c r="E266" s="2" t="s">
        <v>5270</v>
      </c>
      <c r="F266" s="2" t="s">
        <v>4734</v>
      </c>
      <c r="G266" s="2" t="b">
        <v>0</v>
      </c>
    </row>
    <row r="267" ht="15.75" customHeight="1">
      <c r="A267" s="2" t="s">
        <v>5271</v>
      </c>
      <c r="B267" s="6">
        <v>46150.789375</v>
      </c>
      <c r="C267" s="5" t="s">
        <v>4670</v>
      </c>
      <c r="D267" s="2" t="s">
        <v>599</v>
      </c>
      <c r="E267" s="2" t="s">
        <v>5272</v>
      </c>
      <c r="F267" s="2" t="s">
        <v>4734</v>
      </c>
      <c r="G267" s="2" t="b">
        <v>0</v>
      </c>
    </row>
    <row r="268" ht="15.75" customHeight="1">
      <c r="A268" s="2" t="s">
        <v>5273</v>
      </c>
      <c r="B268" s="6">
        <v>46151.101377314815</v>
      </c>
      <c r="C268" s="5" t="s">
        <v>4990</v>
      </c>
      <c r="D268" s="2" t="s">
        <v>571</v>
      </c>
      <c r="E268" s="2" t="s">
        <v>5274</v>
      </c>
      <c r="F268" s="2" t="s">
        <v>4718</v>
      </c>
      <c r="G268" s="2" t="b">
        <v>1</v>
      </c>
      <c r="H268" s="2" t="s">
        <v>5099</v>
      </c>
    </row>
    <row r="269" ht="15.75" customHeight="1">
      <c r="A269" s="2" t="s">
        <v>5275</v>
      </c>
      <c r="B269" s="6">
        <v>46151.94600694445</v>
      </c>
      <c r="C269" s="5" t="s">
        <v>4990</v>
      </c>
      <c r="D269" s="2" t="s">
        <v>571</v>
      </c>
      <c r="E269" s="2" t="s">
        <v>5276</v>
      </c>
      <c r="F269" s="2" t="s">
        <v>4734</v>
      </c>
      <c r="G269" s="2" t="b">
        <v>0</v>
      </c>
    </row>
    <row r="270" ht="15.75" customHeight="1">
      <c r="A270" s="2" t="s">
        <v>5277</v>
      </c>
      <c r="B270" s="6">
        <v>46152.900300925925</v>
      </c>
      <c r="C270" s="5" t="s">
        <v>4699</v>
      </c>
      <c r="D270" s="2" t="s">
        <v>571</v>
      </c>
      <c r="E270" s="2" t="s">
        <v>5278</v>
      </c>
      <c r="F270" s="2" t="s">
        <v>4734</v>
      </c>
      <c r="G270" s="2" t="b">
        <v>0</v>
      </c>
    </row>
    <row r="271" ht="15.75" customHeight="1">
      <c r="A271" s="2" t="s">
        <v>5279</v>
      </c>
      <c r="B271" s="6">
        <v>46152.932905092595</v>
      </c>
      <c r="C271" s="5" t="s">
        <v>4873</v>
      </c>
      <c r="D271" s="2" t="s">
        <v>571</v>
      </c>
      <c r="E271" s="2" t="s">
        <v>5280</v>
      </c>
      <c r="F271" s="2" t="s">
        <v>4734</v>
      </c>
      <c r="G271" s="2" t="b">
        <v>0</v>
      </c>
    </row>
    <row r="272" ht="15.75" customHeight="1">
      <c r="A272" s="2" t="s">
        <v>5281</v>
      </c>
      <c r="B272" s="6">
        <v>46152.96969907408</v>
      </c>
      <c r="C272" s="5" t="s">
        <v>4990</v>
      </c>
      <c r="D272" s="2" t="s">
        <v>571</v>
      </c>
      <c r="E272" s="2" t="s">
        <v>5282</v>
      </c>
      <c r="F272" s="2" t="s">
        <v>4734</v>
      </c>
      <c r="G272" s="2" t="b">
        <v>1</v>
      </c>
      <c r="H272" s="2" t="s">
        <v>5099</v>
      </c>
    </row>
    <row r="273" ht="15.75" customHeight="1">
      <c r="A273" s="2" t="s">
        <v>5283</v>
      </c>
      <c r="B273" s="6">
        <v>46153.01060185185</v>
      </c>
      <c r="C273" s="5" t="s">
        <v>4670</v>
      </c>
      <c r="D273" s="2" t="s">
        <v>571</v>
      </c>
      <c r="E273" s="2" t="s">
        <v>5284</v>
      </c>
      <c r="F273" s="2" t="s">
        <v>4734</v>
      </c>
      <c r="G273" s="2" t="b">
        <v>1</v>
      </c>
      <c r="H273" s="2" t="s">
        <v>5099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566</v>
      </c>
      <c r="B1" s="1" t="s">
        <v>5285</v>
      </c>
      <c r="C1" s="1" t="s">
        <v>5286</v>
      </c>
      <c r="D1" s="1" t="s">
        <v>5287</v>
      </c>
      <c r="E1" s="1" t="s">
        <v>4658</v>
      </c>
      <c r="F1" s="1" t="s">
        <v>5288</v>
      </c>
    </row>
    <row r="2">
      <c r="A2" s="3" t="s">
        <v>571</v>
      </c>
      <c r="B2" s="3" t="s">
        <v>5289</v>
      </c>
      <c r="C2" s="3">
        <v>9.17669886E8</v>
      </c>
      <c r="E2" s="3" t="b">
        <v>1</v>
      </c>
      <c r="F2" s="3" t="b">
        <v>1</v>
      </c>
    </row>
    <row r="3">
      <c r="A3" s="3" t="s">
        <v>599</v>
      </c>
      <c r="B3" s="3" t="s">
        <v>5290</v>
      </c>
      <c r="C3" s="3">
        <v>9.42986031E8</v>
      </c>
      <c r="E3" s="3" t="b">
        <v>1</v>
      </c>
      <c r="F3" s="3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5291</v>
      </c>
      <c r="B1" s="1" t="s">
        <v>561</v>
      </c>
      <c r="C1" s="1" t="s">
        <v>566</v>
      </c>
      <c r="D1" s="1" t="s">
        <v>5292</v>
      </c>
      <c r="E1" s="1" t="s">
        <v>562</v>
      </c>
      <c r="F1" s="1" t="s">
        <v>5293</v>
      </c>
      <c r="G1" s="1" t="s">
        <v>3937</v>
      </c>
      <c r="H1" s="1" t="s">
        <v>5294</v>
      </c>
    </row>
    <row r="2">
      <c r="A2" s="3" t="s">
        <v>5295</v>
      </c>
      <c r="B2" s="8">
        <v>45992.0</v>
      </c>
      <c r="C2" s="3" t="s">
        <v>599</v>
      </c>
      <c r="D2" s="10" t="s">
        <v>5296</v>
      </c>
      <c r="E2" s="3">
        <v>10656.0</v>
      </c>
      <c r="G2" s="10" t="s">
        <v>5297</v>
      </c>
    </row>
    <row r="3">
      <c r="A3" s="3" t="s">
        <v>5298</v>
      </c>
      <c r="B3" s="8">
        <v>46017.0</v>
      </c>
      <c r="C3" s="3" t="s">
        <v>599</v>
      </c>
      <c r="D3" s="10" t="s">
        <v>5299</v>
      </c>
      <c r="E3" s="3">
        <v>0.0</v>
      </c>
    </row>
    <row r="5">
      <c r="A5" s="3" t="s">
        <v>5300</v>
      </c>
      <c r="B5" s="8">
        <v>46020.0</v>
      </c>
      <c r="C5" s="3" t="s">
        <v>599</v>
      </c>
      <c r="D5" s="10" t="s">
        <v>5296</v>
      </c>
      <c r="E5" s="3">
        <v>1050.0</v>
      </c>
      <c r="G5" s="10" t="s">
        <v>5301</v>
      </c>
    </row>
    <row r="6">
      <c r="A6" s="3" t="s">
        <v>5302</v>
      </c>
      <c r="B6" s="8">
        <v>46019.0</v>
      </c>
      <c r="C6" s="3" t="s">
        <v>599</v>
      </c>
      <c r="D6" s="10" t="s">
        <v>5299</v>
      </c>
      <c r="E6" s="3">
        <v>10656.0</v>
      </c>
      <c r="G6" s="10" t="s">
        <v>5303</v>
      </c>
    </row>
    <row r="7">
      <c r="A7" s="3" t="s">
        <v>5304</v>
      </c>
      <c r="B7" s="8">
        <v>46022.0</v>
      </c>
      <c r="C7" s="3" t="s">
        <v>599</v>
      </c>
      <c r="E7" s="3">
        <v>9.0</v>
      </c>
      <c r="H7" s="3" t="s">
        <v>3632</v>
      </c>
    </row>
    <row r="8">
      <c r="A8" s="3" t="s">
        <v>5305</v>
      </c>
      <c r="B8" s="8">
        <v>46023.0</v>
      </c>
      <c r="C8" s="3" t="s">
        <v>599</v>
      </c>
      <c r="E8" s="3">
        <v>110.0</v>
      </c>
      <c r="H8" s="3" t="s">
        <v>3662</v>
      </c>
    </row>
    <row r="9">
      <c r="A9" s="3" t="s">
        <v>5306</v>
      </c>
      <c r="B9" s="8">
        <v>46023.0</v>
      </c>
      <c r="C9" s="3" t="s">
        <v>599</v>
      </c>
      <c r="E9" s="3">
        <v>402.0</v>
      </c>
      <c r="H9" s="3" t="s">
        <v>3664</v>
      </c>
    </row>
    <row r="10">
      <c r="A10" s="3" t="s">
        <v>5307</v>
      </c>
      <c r="B10" s="8">
        <v>46023.0</v>
      </c>
      <c r="C10" s="3" t="s">
        <v>599</v>
      </c>
      <c r="E10" s="3">
        <v>323.0</v>
      </c>
      <c r="H10" s="3" t="s">
        <v>3673</v>
      </c>
    </row>
    <row r="11">
      <c r="A11" s="3" t="s">
        <v>5308</v>
      </c>
      <c r="B11" s="8">
        <v>46023.0</v>
      </c>
      <c r="C11" s="3" t="s">
        <v>599</v>
      </c>
      <c r="D11" s="10" t="s">
        <v>5299</v>
      </c>
      <c r="E11" s="3">
        <v>5.0</v>
      </c>
      <c r="G11" s="10" t="s">
        <v>5309</v>
      </c>
    </row>
    <row r="12">
      <c r="A12" s="3" t="s">
        <v>5310</v>
      </c>
      <c r="B12" s="8">
        <v>46023.0</v>
      </c>
      <c r="C12" s="3" t="s">
        <v>599</v>
      </c>
      <c r="E12" s="3">
        <v>138.0</v>
      </c>
      <c r="H12" s="3" t="s">
        <v>3695</v>
      </c>
    </row>
    <row r="13">
      <c r="A13" s="3" t="s">
        <v>5311</v>
      </c>
      <c r="B13" s="8">
        <v>46023.0</v>
      </c>
      <c r="C13" s="3" t="s">
        <v>599</v>
      </c>
      <c r="E13" s="3">
        <v>22.0</v>
      </c>
      <c r="H13" s="3" t="s">
        <v>3699</v>
      </c>
    </row>
    <row r="14">
      <c r="A14" s="3" t="s">
        <v>5312</v>
      </c>
      <c r="B14" s="8">
        <v>46023.0</v>
      </c>
      <c r="C14" s="3" t="s">
        <v>599</v>
      </c>
      <c r="E14" s="3">
        <v>42.0</v>
      </c>
      <c r="H14" s="3" t="s">
        <v>3701</v>
      </c>
    </row>
    <row r="15">
      <c r="A15" s="3" t="s">
        <v>5313</v>
      </c>
      <c r="B15" s="8">
        <v>46024.0</v>
      </c>
      <c r="C15" s="3" t="s">
        <v>571</v>
      </c>
      <c r="E15" s="3">
        <v>224.0</v>
      </c>
      <c r="H15" s="3" t="s">
        <v>3729</v>
      </c>
    </row>
    <row r="16">
      <c r="A16" s="3" t="s">
        <v>5314</v>
      </c>
      <c r="B16" s="8">
        <v>46024.0</v>
      </c>
      <c r="C16" s="3" t="s">
        <v>571</v>
      </c>
      <c r="E16" s="3">
        <v>87.0</v>
      </c>
      <c r="H16" s="3" t="s">
        <v>3732</v>
      </c>
    </row>
    <row r="17">
      <c r="A17" s="3" t="s">
        <v>5315</v>
      </c>
      <c r="B17" s="8">
        <v>46025.0</v>
      </c>
      <c r="C17" s="3" t="s">
        <v>571</v>
      </c>
      <c r="E17" s="3">
        <v>114.0</v>
      </c>
      <c r="H17" s="3" t="s">
        <v>5316</v>
      </c>
    </row>
    <row r="18">
      <c r="A18" s="3" t="s">
        <v>5317</v>
      </c>
      <c r="B18" s="8">
        <v>46025.0</v>
      </c>
      <c r="C18" s="3" t="s">
        <v>571</v>
      </c>
      <c r="E18" s="3">
        <v>1456.0</v>
      </c>
      <c r="H18" s="3" t="s">
        <v>3737</v>
      </c>
    </row>
    <row r="19">
      <c r="A19" s="3" t="s">
        <v>5318</v>
      </c>
      <c r="B19" s="8">
        <v>46025.0</v>
      </c>
      <c r="C19" s="3" t="s">
        <v>571</v>
      </c>
      <c r="E19" s="3">
        <v>732.0</v>
      </c>
      <c r="H19" s="3" t="s">
        <v>3740</v>
      </c>
    </row>
    <row r="20">
      <c r="A20" s="3" t="s">
        <v>5319</v>
      </c>
      <c r="B20" s="8">
        <v>46025.0</v>
      </c>
      <c r="C20" s="3" t="s">
        <v>571</v>
      </c>
      <c r="E20" s="3">
        <v>722.0</v>
      </c>
      <c r="H20" s="3" t="s">
        <v>3747</v>
      </c>
    </row>
    <row r="21" ht="15.75" customHeight="1">
      <c r="A21" s="3" t="s">
        <v>5320</v>
      </c>
      <c r="B21" s="8">
        <v>46030.0</v>
      </c>
      <c r="C21" s="3" t="s">
        <v>571</v>
      </c>
      <c r="D21" s="10" t="s">
        <v>5299</v>
      </c>
      <c r="E21" s="3">
        <v>64.0</v>
      </c>
      <c r="G21" s="10" t="s">
        <v>5321</v>
      </c>
    </row>
    <row r="22" ht="15.75" customHeight="1">
      <c r="A22" s="3" t="s">
        <v>5322</v>
      </c>
      <c r="B22" s="8">
        <v>46046.0</v>
      </c>
      <c r="C22" s="3" t="s">
        <v>599</v>
      </c>
      <c r="D22" s="10" t="s">
        <v>5299</v>
      </c>
      <c r="E22" s="3">
        <v>5.0</v>
      </c>
      <c r="G22" s="10" t="s">
        <v>5323</v>
      </c>
    </row>
    <row r="23" ht="15.75" customHeight="1">
      <c r="A23" s="2" t="s">
        <v>5324</v>
      </c>
      <c r="B23" s="9">
        <v>46052.0</v>
      </c>
      <c r="C23" s="2" t="s">
        <v>599</v>
      </c>
      <c r="D23" s="11" t="s">
        <v>5299</v>
      </c>
      <c r="E23" s="2">
        <v>5.0</v>
      </c>
      <c r="G23" s="11" t="s">
        <v>5325</v>
      </c>
    </row>
    <row r="24" ht="15.75" customHeight="1">
      <c r="A24" s="2" t="s">
        <v>5326</v>
      </c>
      <c r="B24" s="9">
        <v>46054.0</v>
      </c>
      <c r="C24" s="2" t="s">
        <v>571</v>
      </c>
      <c r="D24" s="11" t="s">
        <v>5299</v>
      </c>
      <c r="E24" s="2">
        <v>200.0</v>
      </c>
      <c r="G24" s="11" t="s">
        <v>5327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